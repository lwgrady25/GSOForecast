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mrn-my.sharepoint.com/personal/lo908083_bmrn_com/Documents/Desktop/"/>
    </mc:Choice>
  </mc:AlternateContent>
  <xr:revisionPtr revIDLastSave="1494" documentId="8_{AAFEE1A2-E236-4FE4-941E-C28EB001CB6E}" xr6:coauthVersionLast="47" xr6:coauthVersionMax="47" xr10:uidLastSave="{D37FFD52-9D6A-4942-AB09-3382CF5622C8}"/>
  <bookViews>
    <workbookView xWindow="28680" yWindow="-120" windowWidth="29040" windowHeight="16440" tabRatio="789" activeTab="2" xr2:uid="{D4CA624A-9FBD-4A48-B142-15ADE4BC5FD7}"/>
  </bookViews>
  <sheets>
    <sheet name="Study Information" sheetId="15" r:id="rId1"/>
    <sheet name="Site Information" sheetId="1" r:id="rId2"/>
    <sheet name="Scenario Tool" sheetId="17" r:id="rId3"/>
    <sheet name="Dashboard" sheetId="8" r:id="rId4"/>
    <sheet name="Country StartUp" sheetId="16" r:id="rId5"/>
    <sheet name="Enrollment Forecast" sheetId="2" r:id="rId6"/>
    <sheet name="ER Scenarios" sheetId="5" r:id="rId7"/>
    <sheet name="Scenario Enrollment Forecast" sheetId="18" r:id="rId8"/>
    <sheet name="Country Enrollment By Month" sheetId="4" r:id="rId9"/>
    <sheet name="Country Data" sheetId="7" r:id="rId10"/>
    <sheet name="PowerBI_KPIs" sheetId="9" r:id="rId11"/>
    <sheet name="PBI Country Data" sheetId="12" r:id="rId12"/>
    <sheet name="PBI Enrollment by CountryXMonth" sheetId="13" r:id="rId13"/>
    <sheet name="PBI_EnrollmentCurve" sheetId="11" r:id="rId14"/>
  </sheets>
  <calcPr calcId="191029" calcCompleted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3" i="18" l="1" a="1"/>
  <c r="C43" i="18" s="1"/>
  <c r="D43" i="18"/>
  <c r="E43" i="18"/>
  <c r="F43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AA43" i="18"/>
  <c r="AB43" i="18"/>
  <c r="AC43" i="18"/>
  <c r="C44" i="18" a="1"/>
  <c r="C44" i="18" s="1"/>
  <c r="D44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AA44" i="18"/>
  <c r="AB44" i="18"/>
  <c r="AC44" i="18"/>
  <c r="C45" i="18" a="1"/>
  <c r="C45" i="18" s="1"/>
  <c r="D45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C46" i="18" a="1"/>
  <c r="C46" i="18" s="1"/>
  <c r="D46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U46" i="18"/>
  <c r="V46" i="18"/>
  <c r="W46" i="18"/>
  <c r="X46" i="18"/>
  <c r="Y46" i="18"/>
  <c r="Z46" i="18"/>
  <c r="AA46" i="18"/>
  <c r="AB46" i="18"/>
  <c r="AC46" i="18"/>
  <c r="C47" i="18" a="1"/>
  <c r="C47" i="18" s="1"/>
  <c r="D47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C48" i="18" a="1"/>
  <c r="C48" i="18" s="1"/>
  <c r="D48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AB48" i="18"/>
  <c r="AC48" i="18"/>
  <c r="C49" i="18" a="1"/>
  <c r="C49" i="18" s="1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C50" i="18" a="1"/>
  <c r="C50" i="18" s="1"/>
  <c r="D50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C51" i="18" a="1"/>
  <c r="C51" i="18" s="1"/>
  <c r="D51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C52" i="18" a="1"/>
  <c r="C52" i="18" s="1"/>
  <c r="D52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C53" i="18" a="1"/>
  <c r="C53" i="18" s="1"/>
  <c r="D53" i="18"/>
  <c r="E53" i="18"/>
  <c r="F53" i="18"/>
  <c r="G53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T53" i="18"/>
  <c r="U53" i="18"/>
  <c r="V53" i="18"/>
  <c r="W53" i="18"/>
  <c r="X53" i="18"/>
  <c r="Y53" i="18"/>
  <c r="Z53" i="18"/>
  <c r="AA53" i="18"/>
  <c r="AB53" i="18"/>
  <c r="AC53" i="18"/>
  <c r="C54" i="18" a="1"/>
  <c r="C54" i="18" s="1"/>
  <c r="D54" i="18"/>
  <c r="E54" i="18"/>
  <c r="F54" i="18"/>
  <c r="G54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T54" i="18"/>
  <c r="U54" i="18"/>
  <c r="V54" i="18"/>
  <c r="W54" i="18"/>
  <c r="X54" i="18"/>
  <c r="Y54" i="18"/>
  <c r="Z54" i="18"/>
  <c r="AA54" i="18"/>
  <c r="AB54" i="18"/>
  <c r="AC54" i="18"/>
  <c r="C55" i="18" a="1"/>
  <c r="C55" i="18" s="1"/>
  <c r="D55" i="18"/>
  <c r="E55" i="18"/>
  <c r="F55" i="18"/>
  <c r="G55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T55" i="18"/>
  <c r="U55" i="18"/>
  <c r="V55" i="18"/>
  <c r="W55" i="18"/>
  <c r="X55" i="18"/>
  <c r="Y55" i="18"/>
  <c r="Z55" i="18"/>
  <c r="AA55" i="18"/>
  <c r="AB55" i="18"/>
  <c r="AC55" i="18"/>
  <c r="C56" i="18" a="1"/>
  <c r="C56" i="18" s="1"/>
  <c r="D56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C57" i="18" a="1"/>
  <c r="C57" i="18" s="1"/>
  <c r="D57" i="18"/>
  <c r="E57" i="18"/>
  <c r="F57" i="18"/>
  <c r="G57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C58" i="18" a="1"/>
  <c r="C58" i="18" s="1"/>
  <c r="D58" i="18"/>
  <c r="E58" i="18"/>
  <c r="F58" i="18"/>
  <c r="G58" i="18"/>
  <c r="H58" i="18"/>
  <c r="I58" i="18"/>
  <c r="J58" i="18"/>
  <c r="K58" i="18"/>
  <c r="L58" i="18"/>
  <c r="M58" i="18"/>
  <c r="N58" i="18"/>
  <c r="O58" i="18"/>
  <c r="P58" i="18"/>
  <c r="Q58" i="18"/>
  <c r="R58" i="18"/>
  <c r="S58" i="18"/>
  <c r="T58" i="18"/>
  <c r="U58" i="18"/>
  <c r="V58" i="18"/>
  <c r="W58" i="18"/>
  <c r="X58" i="18"/>
  <c r="Y58" i="18"/>
  <c r="Z58" i="18"/>
  <c r="AA58" i="18"/>
  <c r="AB58" i="18"/>
  <c r="AC58" i="18"/>
  <c r="C59" i="18" a="1"/>
  <c r="C59" i="18" s="1"/>
  <c r="D59" i="18"/>
  <c r="E59" i="18"/>
  <c r="F59" i="18"/>
  <c r="G59" i="18"/>
  <c r="H59" i="18"/>
  <c r="I59" i="18"/>
  <c r="J59" i="18"/>
  <c r="K59" i="18"/>
  <c r="L59" i="18"/>
  <c r="M59" i="18"/>
  <c r="N59" i="18"/>
  <c r="O59" i="18"/>
  <c r="P59" i="18"/>
  <c r="Q59" i="18"/>
  <c r="R59" i="18"/>
  <c r="S59" i="18"/>
  <c r="T59" i="18"/>
  <c r="U59" i="18"/>
  <c r="V59" i="18"/>
  <c r="W59" i="18"/>
  <c r="X59" i="18"/>
  <c r="Y59" i="18"/>
  <c r="Z59" i="18"/>
  <c r="AA59" i="18"/>
  <c r="AB59" i="18"/>
  <c r="AC59" i="18"/>
  <c r="C60" i="18" a="1"/>
  <c r="C60" i="18" s="1"/>
  <c r="D60" i="18"/>
  <c r="E60" i="18"/>
  <c r="F60" i="18"/>
  <c r="G60" i="18"/>
  <c r="H60" i="18"/>
  <c r="I60" i="18"/>
  <c r="J60" i="18"/>
  <c r="K60" i="18"/>
  <c r="L60" i="18"/>
  <c r="M60" i="18"/>
  <c r="N60" i="18"/>
  <c r="O60" i="18"/>
  <c r="P60" i="18"/>
  <c r="Q60" i="18"/>
  <c r="R60" i="18"/>
  <c r="S60" i="18"/>
  <c r="T60" i="18"/>
  <c r="U60" i="18"/>
  <c r="V60" i="18"/>
  <c r="W60" i="18"/>
  <c r="X60" i="18"/>
  <c r="Y60" i="18"/>
  <c r="Z60" i="18"/>
  <c r="AA60" i="18"/>
  <c r="AB60" i="18"/>
  <c r="AC60" i="18"/>
  <c r="C61" i="18" a="1"/>
  <c r="C61" i="18" s="1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C62" i="18" a="1"/>
  <c r="C62" i="18" s="1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C63" i="18" a="1"/>
  <c r="C63" i="18" s="1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C64" i="18" a="1"/>
  <c r="C64" i="18" s="1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C65" i="18" a="1"/>
  <c r="C65" i="18" s="1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C66" i="18" a="1"/>
  <c r="C66" i="18" s="1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C67" i="18" a="1"/>
  <c r="C67" i="18" s="1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C68" i="18" a="1"/>
  <c r="C68" i="18" s="1"/>
  <c r="D68" i="18"/>
  <c r="E68" i="18"/>
  <c r="F68" i="18"/>
  <c r="G68" i="18"/>
  <c r="H68" i="18"/>
  <c r="I68" i="18"/>
  <c r="J68" i="18"/>
  <c r="K68" i="18"/>
  <c r="L68" i="18"/>
  <c r="M68" i="18"/>
  <c r="N68" i="18"/>
  <c r="O68" i="18"/>
  <c r="P68" i="18"/>
  <c r="Q68" i="18"/>
  <c r="R68" i="18"/>
  <c r="S68" i="18"/>
  <c r="T68" i="18"/>
  <c r="U68" i="18"/>
  <c r="V68" i="18"/>
  <c r="W68" i="18"/>
  <c r="X68" i="18"/>
  <c r="Y68" i="18"/>
  <c r="Z68" i="18"/>
  <c r="AA68" i="18"/>
  <c r="AB68" i="18"/>
  <c r="AC68" i="18"/>
  <c r="C69" i="18" a="1"/>
  <c r="C69" i="18" s="1"/>
  <c r="D69" i="18"/>
  <c r="E69" i="18"/>
  <c r="F69" i="18"/>
  <c r="G69" i="18"/>
  <c r="H69" i="18"/>
  <c r="I69" i="18"/>
  <c r="J69" i="18"/>
  <c r="K69" i="18"/>
  <c r="L69" i="18"/>
  <c r="M69" i="18"/>
  <c r="N69" i="18"/>
  <c r="O69" i="18"/>
  <c r="P69" i="18"/>
  <c r="Q69" i="18"/>
  <c r="R69" i="18"/>
  <c r="S69" i="18"/>
  <c r="T69" i="18"/>
  <c r="U69" i="18"/>
  <c r="V69" i="18"/>
  <c r="W69" i="18"/>
  <c r="X69" i="18"/>
  <c r="Y69" i="18"/>
  <c r="Z69" i="18"/>
  <c r="AA69" i="18"/>
  <c r="AB69" i="18"/>
  <c r="AC69" i="18"/>
  <c r="C70" i="18" a="1"/>
  <c r="C70" i="18" s="1"/>
  <c r="D70" i="18"/>
  <c r="E70" i="18"/>
  <c r="F70" i="18"/>
  <c r="G70" i="18"/>
  <c r="H70" i="18"/>
  <c r="I70" i="18"/>
  <c r="J70" i="18"/>
  <c r="K70" i="18"/>
  <c r="L70" i="18"/>
  <c r="M70" i="18"/>
  <c r="N70" i="18"/>
  <c r="O70" i="18"/>
  <c r="P70" i="18"/>
  <c r="Q70" i="18"/>
  <c r="R70" i="18"/>
  <c r="S70" i="18"/>
  <c r="T70" i="18"/>
  <c r="U70" i="18"/>
  <c r="V70" i="18"/>
  <c r="W70" i="18"/>
  <c r="X70" i="18"/>
  <c r="Y70" i="18"/>
  <c r="Z70" i="18"/>
  <c r="AA70" i="18"/>
  <c r="AB70" i="18"/>
  <c r="AC70" i="18"/>
  <c r="C71" i="18" a="1"/>
  <c r="C71" i="18" s="1"/>
  <c r="D71" i="18"/>
  <c r="E71" i="18"/>
  <c r="F71" i="18"/>
  <c r="G71" i="18"/>
  <c r="H71" i="18"/>
  <c r="I71" i="18"/>
  <c r="J71" i="18"/>
  <c r="K71" i="18"/>
  <c r="L71" i="18"/>
  <c r="M71" i="18"/>
  <c r="N71" i="18"/>
  <c r="O71" i="18"/>
  <c r="P71" i="18"/>
  <c r="Q71" i="18"/>
  <c r="R71" i="18"/>
  <c r="S71" i="18"/>
  <c r="T71" i="18"/>
  <c r="U71" i="18"/>
  <c r="V71" i="18"/>
  <c r="W71" i="18"/>
  <c r="X71" i="18"/>
  <c r="Y71" i="18"/>
  <c r="Z71" i="18"/>
  <c r="AA71" i="18"/>
  <c r="AB71" i="18"/>
  <c r="AC71" i="18"/>
  <c r="C72" i="18" a="1"/>
  <c r="C72" i="18" s="1"/>
  <c r="D72" i="18"/>
  <c r="E72" i="18"/>
  <c r="F72" i="18"/>
  <c r="G72" i="18"/>
  <c r="H72" i="18"/>
  <c r="I72" i="18"/>
  <c r="J72" i="18"/>
  <c r="K72" i="18"/>
  <c r="L72" i="18"/>
  <c r="M72" i="18"/>
  <c r="N72" i="18"/>
  <c r="O72" i="18"/>
  <c r="P72" i="18"/>
  <c r="Q72" i="18"/>
  <c r="R72" i="18"/>
  <c r="S72" i="18"/>
  <c r="T72" i="18"/>
  <c r="U72" i="18"/>
  <c r="V72" i="18"/>
  <c r="W72" i="18"/>
  <c r="X72" i="18"/>
  <c r="Y72" i="18"/>
  <c r="Z72" i="18"/>
  <c r="AA72" i="18"/>
  <c r="AB72" i="18"/>
  <c r="AC72" i="18"/>
  <c r="C73" i="18" a="1"/>
  <c r="C73" i="18" s="1"/>
  <c r="D73" i="18"/>
  <c r="E73" i="18"/>
  <c r="F73" i="18"/>
  <c r="G73" i="18"/>
  <c r="H73" i="18"/>
  <c r="I73" i="18"/>
  <c r="J73" i="18"/>
  <c r="K73" i="18"/>
  <c r="L73" i="18"/>
  <c r="M73" i="18"/>
  <c r="N73" i="18"/>
  <c r="O73" i="18"/>
  <c r="P73" i="18"/>
  <c r="Q73" i="18"/>
  <c r="R73" i="18"/>
  <c r="S73" i="18"/>
  <c r="T73" i="18"/>
  <c r="U73" i="18"/>
  <c r="V73" i="18"/>
  <c r="W73" i="18"/>
  <c r="X73" i="18"/>
  <c r="Y73" i="18"/>
  <c r="Z73" i="18"/>
  <c r="AA73" i="18"/>
  <c r="AB73" i="18"/>
  <c r="AC73" i="18"/>
  <c r="C74" i="18" a="1"/>
  <c r="C74" i="18" s="1"/>
  <c r="D74" i="18"/>
  <c r="E74" i="18"/>
  <c r="F74" i="18"/>
  <c r="G74" i="18"/>
  <c r="H74" i="18"/>
  <c r="I74" i="18"/>
  <c r="J74" i="18"/>
  <c r="K74" i="18"/>
  <c r="L74" i="18"/>
  <c r="M74" i="18"/>
  <c r="N74" i="18"/>
  <c r="O74" i="18"/>
  <c r="P74" i="18"/>
  <c r="Q74" i="18"/>
  <c r="R74" i="18"/>
  <c r="S74" i="18"/>
  <c r="T74" i="18"/>
  <c r="U74" i="18"/>
  <c r="V74" i="18"/>
  <c r="W74" i="18"/>
  <c r="X74" i="18"/>
  <c r="Y74" i="18"/>
  <c r="Z74" i="18"/>
  <c r="AA74" i="18"/>
  <c r="AB74" i="18"/>
  <c r="AC74" i="18"/>
  <c r="C75" i="18" a="1"/>
  <c r="C75" i="18" s="1"/>
  <c r="D75" i="18"/>
  <c r="E75" i="18"/>
  <c r="F75" i="18"/>
  <c r="G75" i="18"/>
  <c r="H75" i="18"/>
  <c r="I75" i="18"/>
  <c r="J75" i="18"/>
  <c r="K75" i="18"/>
  <c r="L75" i="18"/>
  <c r="M75" i="18"/>
  <c r="N75" i="18"/>
  <c r="O75" i="18"/>
  <c r="P75" i="18"/>
  <c r="Q75" i="18"/>
  <c r="R75" i="18"/>
  <c r="S75" i="18"/>
  <c r="T75" i="18"/>
  <c r="U75" i="18"/>
  <c r="V75" i="18"/>
  <c r="W75" i="18"/>
  <c r="X75" i="18"/>
  <c r="Y75" i="18"/>
  <c r="Z75" i="18"/>
  <c r="AA75" i="18"/>
  <c r="AB75" i="18"/>
  <c r="AC75" i="18"/>
  <c r="C76" i="18" a="1"/>
  <c r="C76" i="18" s="1"/>
  <c r="D76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C77" i="18" a="1"/>
  <c r="C77" i="18" s="1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Q77" i="18"/>
  <c r="R77" i="18"/>
  <c r="S77" i="18"/>
  <c r="T77" i="18"/>
  <c r="U77" i="18"/>
  <c r="V77" i="18"/>
  <c r="W77" i="18"/>
  <c r="X77" i="18"/>
  <c r="Y77" i="18"/>
  <c r="Z77" i="18"/>
  <c r="AA77" i="18"/>
  <c r="AB77" i="18"/>
  <c r="AC77" i="18"/>
  <c r="C78" i="18" a="1"/>
  <c r="C78" i="18" s="1"/>
  <c r="D78" i="18"/>
  <c r="E78" i="18"/>
  <c r="F78" i="18"/>
  <c r="G78" i="18"/>
  <c r="H78" i="18"/>
  <c r="I78" i="18"/>
  <c r="J78" i="18"/>
  <c r="K78" i="18"/>
  <c r="L78" i="18"/>
  <c r="M78" i="18"/>
  <c r="N78" i="18"/>
  <c r="O78" i="18"/>
  <c r="P78" i="18"/>
  <c r="Q78" i="18"/>
  <c r="R78" i="18"/>
  <c r="S78" i="18"/>
  <c r="T78" i="18"/>
  <c r="U78" i="18"/>
  <c r="V78" i="18"/>
  <c r="W78" i="18"/>
  <c r="X78" i="18"/>
  <c r="Y78" i="18"/>
  <c r="Z78" i="18"/>
  <c r="AA78" i="18"/>
  <c r="AB78" i="18"/>
  <c r="AC78" i="18"/>
  <c r="C79" i="18" a="1"/>
  <c r="C79" i="18" s="1"/>
  <c r="D79" i="18"/>
  <c r="E79" i="18"/>
  <c r="F79" i="18"/>
  <c r="G79" i="18"/>
  <c r="H79" i="18"/>
  <c r="I79" i="18"/>
  <c r="J79" i="18"/>
  <c r="K79" i="18"/>
  <c r="L79" i="18"/>
  <c r="M79" i="18"/>
  <c r="N79" i="18"/>
  <c r="O79" i="18"/>
  <c r="P79" i="18"/>
  <c r="Q79" i="18"/>
  <c r="R79" i="18"/>
  <c r="S79" i="18"/>
  <c r="T79" i="18"/>
  <c r="U79" i="18"/>
  <c r="V79" i="18"/>
  <c r="W79" i="18"/>
  <c r="X79" i="18"/>
  <c r="Y79" i="18"/>
  <c r="Z79" i="18"/>
  <c r="AA79" i="18"/>
  <c r="AB79" i="18"/>
  <c r="AC79" i="18"/>
  <c r="C80" i="18" a="1"/>
  <c r="C80" i="18" s="1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Q80" i="18"/>
  <c r="R80" i="18"/>
  <c r="S80" i="18"/>
  <c r="T80" i="18"/>
  <c r="U80" i="18"/>
  <c r="V80" i="18"/>
  <c r="W80" i="18"/>
  <c r="X80" i="18"/>
  <c r="Y80" i="18"/>
  <c r="Z80" i="18"/>
  <c r="AA80" i="18"/>
  <c r="AB80" i="18"/>
  <c r="AC80" i="18"/>
  <c r="C81" i="18" a="1"/>
  <c r="C81" i="18" s="1"/>
  <c r="D81" i="18"/>
  <c r="E81" i="18"/>
  <c r="F81" i="18"/>
  <c r="G81" i="18"/>
  <c r="H81" i="18"/>
  <c r="I81" i="18"/>
  <c r="J81" i="18"/>
  <c r="K81" i="18"/>
  <c r="L81" i="18"/>
  <c r="M81" i="18"/>
  <c r="N81" i="18"/>
  <c r="O81" i="18"/>
  <c r="P81" i="18"/>
  <c r="Q81" i="18"/>
  <c r="R81" i="18"/>
  <c r="S81" i="18"/>
  <c r="T81" i="18"/>
  <c r="U81" i="18"/>
  <c r="V81" i="18"/>
  <c r="W81" i="18"/>
  <c r="X81" i="18"/>
  <c r="Y81" i="18"/>
  <c r="Z81" i="18"/>
  <c r="AA81" i="18"/>
  <c r="AB81" i="18"/>
  <c r="AC81" i="18"/>
  <c r="C82" i="18" a="1"/>
  <c r="C82" i="18" s="1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Q82" i="18"/>
  <c r="R82" i="18"/>
  <c r="S82" i="18"/>
  <c r="T82" i="18"/>
  <c r="U82" i="18"/>
  <c r="V82" i="18"/>
  <c r="W82" i="18"/>
  <c r="X82" i="18"/>
  <c r="Y82" i="18"/>
  <c r="Z82" i="18"/>
  <c r="AA82" i="18"/>
  <c r="AB82" i="18"/>
  <c r="AC82" i="18"/>
  <c r="C83" i="18" a="1"/>
  <c r="C83" i="18" s="1"/>
  <c r="D83" i="18"/>
  <c r="E83" i="18"/>
  <c r="F83" i="18"/>
  <c r="G83" i="18"/>
  <c r="H83" i="18"/>
  <c r="I83" i="18"/>
  <c r="J83" i="18"/>
  <c r="K83" i="18"/>
  <c r="L83" i="18"/>
  <c r="M83" i="18"/>
  <c r="N83" i="18"/>
  <c r="O83" i="18"/>
  <c r="P83" i="18"/>
  <c r="Q83" i="18"/>
  <c r="R83" i="18"/>
  <c r="S83" i="18"/>
  <c r="T83" i="18"/>
  <c r="U83" i="18"/>
  <c r="V83" i="18"/>
  <c r="W83" i="18"/>
  <c r="X83" i="18"/>
  <c r="Y83" i="18"/>
  <c r="Z83" i="18"/>
  <c r="AA83" i="18"/>
  <c r="AB83" i="18"/>
  <c r="AC83" i="18"/>
  <c r="C84" i="18" a="1"/>
  <c r="C84" i="18" s="1"/>
  <c r="D84" i="18"/>
  <c r="E84" i="18"/>
  <c r="F84" i="18"/>
  <c r="G84" i="18"/>
  <c r="H84" i="18"/>
  <c r="I84" i="18"/>
  <c r="J84" i="18"/>
  <c r="K84" i="18"/>
  <c r="L84" i="18"/>
  <c r="M84" i="18"/>
  <c r="N84" i="18"/>
  <c r="O84" i="18"/>
  <c r="P84" i="18"/>
  <c r="Q84" i="18"/>
  <c r="R84" i="18"/>
  <c r="S84" i="18"/>
  <c r="T84" i="18"/>
  <c r="U84" i="18"/>
  <c r="V84" i="18"/>
  <c r="W84" i="18"/>
  <c r="X84" i="18"/>
  <c r="Y84" i="18"/>
  <c r="Z84" i="18"/>
  <c r="AA84" i="18"/>
  <c r="AB84" i="18"/>
  <c r="AC84" i="18"/>
  <c r="C85" i="18" a="1"/>
  <c r="C85" i="18" s="1"/>
  <c r="D85" i="18"/>
  <c r="E85" i="18"/>
  <c r="F85" i="18"/>
  <c r="G85" i="18"/>
  <c r="H85" i="18"/>
  <c r="I85" i="18"/>
  <c r="J85" i="18"/>
  <c r="K85" i="18"/>
  <c r="L85" i="18"/>
  <c r="M85" i="18"/>
  <c r="N85" i="18"/>
  <c r="O85" i="18"/>
  <c r="P85" i="18"/>
  <c r="Q85" i="18"/>
  <c r="R85" i="18"/>
  <c r="S85" i="18"/>
  <c r="T85" i="18"/>
  <c r="U85" i="18"/>
  <c r="V85" i="18"/>
  <c r="W85" i="18"/>
  <c r="X85" i="18"/>
  <c r="Y85" i="18"/>
  <c r="Z85" i="18"/>
  <c r="AA85" i="18"/>
  <c r="AB85" i="18"/>
  <c r="AC85" i="18"/>
  <c r="C86" i="18" a="1"/>
  <c r="C86" i="18" s="1"/>
  <c r="D86" i="18"/>
  <c r="E86" i="18"/>
  <c r="F86" i="18"/>
  <c r="G86" i="18"/>
  <c r="H86" i="18"/>
  <c r="I86" i="18"/>
  <c r="J86" i="18"/>
  <c r="K86" i="18"/>
  <c r="L86" i="18"/>
  <c r="M86" i="18"/>
  <c r="N86" i="18"/>
  <c r="O86" i="18"/>
  <c r="P86" i="18"/>
  <c r="Q86" i="18"/>
  <c r="R86" i="18"/>
  <c r="S86" i="18"/>
  <c r="T86" i="18"/>
  <c r="U86" i="18"/>
  <c r="V86" i="18"/>
  <c r="W86" i="18"/>
  <c r="X86" i="18"/>
  <c r="Y86" i="18"/>
  <c r="Z86" i="18"/>
  <c r="AA86" i="18"/>
  <c r="AB86" i="18"/>
  <c r="AC86" i="18"/>
  <c r="C87" i="18" a="1"/>
  <c r="C87" i="18" s="1"/>
  <c r="D87" i="18"/>
  <c r="E87" i="18"/>
  <c r="F87" i="18"/>
  <c r="G87" i="18"/>
  <c r="H87" i="18"/>
  <c r="I87" i="18"/>
  <c r="J87" i="18"/>
  <c r="K87" i="18"/>
  <c r="L87" i="18"/>
  <c r="M87" i="18"/>
  <c r="N87" i="18"/>
  <c r="O87" i="18"/>
  <c r="P87" i="18"/>
  <c r="Q87" i="18"/>
  <c r="R87" i="18"/>
  <c r="S87" i="18"/>
  <c r="T87" i="18"/>
  <c r="U87" i="18"/>
  <c r="V87" i="18"/>
  <c r="W87" i="18"/>
  <c r="X87" i="18"/>
  <c r="Y87" i="18"/>
  <c r="Z87" i="18"/>
  <c r="AA87" i="18"/>
  <c r="AB87" i="18"/>
  <c r="AC87" i="18"/>
  <c r="C88" i="18" a="1"/>
  <c r="C88" i="18" s="1"/>
  <c r="D88" i="18"/>
  <c r="E88" i="18"/>
  <c r="F88" i="18"/>
  <c r="G88" i="18"/>
  <c r="H88" i="18"/>
  <c r="I88" i="18"/>
  <c r="J88" i="18"/>
  <c r="K88" i="18"/>
  <c r="L88" i="18"/>
  <c r="M88" i="18"/>
  <c r="N88" i="18"/>
  <c r="O88" i="18"/>
  <c r="P88" i="18"/>
  <c r="Q88" i="18"/>
  <c r="R88" i="18"/>
  <c r="S88" i="18"/>
  <c r="T88" i="18"/>
  <c r="U88" i="18"/>
  <c r="V88" i="18"/>
  <c r="W88" i="18"/>
  <c r="X88" i="18"/>
  <c r="Y88" i="18"/>
  <c r="Z88" i="18"/>
  <c r="AA88" i="18"/>
  <c r="AB88" i="18"/>
  <c r="AC88" i="18"/>
  <c r="C89" i="18" a="1"/>
  <c r="C89" i="18" s="1"/>
  <c r="D89" i="18"/>
  <c r="E89" i="18"/>
  <c r="F89" i="18"/>
  <c r="G89" i="18"/>
  <c r="H89" i="18"/>
  <c r="I89" i="18"/>
  <c r="J89" i="18"/>
  <c r="K89" i="18"/>
  <c r="L89" i="18"/>
  <c r="M89" i="18"/>
  <c r="N89" i="18"/>
  <c r="O89" i="18"/>
  <c r="P89" i="18"/>
  <c r="Q89" i="18"/>
  <c r="R89" i="18"/>
  <c r="S89" i="18"/>
  <c r="T89" i="18"/>
  <c r="U89" i="18"/>
  <c r="V89" i="18"/>
  <c r="W89" i="18"/>
  <c r="X89" i="18"/>
  <c r="Y89" i="18"/>
  <c r="Z89" i="18"/>
  <c r="AA89" i="18"/>
  <c r="AB89" i="18"/>
  <c r="AC89" i="18"/>
  <c r="C90" i="18" a="1"/>
  <c r="C90" i="18" s="1"/>
  <c r="D90" i="18"/>
  <c r="E90" i="18"/>
  <c r="F90" i="18"/>
  <c r="G90" i="18"/>
  <c r="H90" i="18"/>
  <c r="I90" i="18"/>
  <c r="J90" i="18"/>
  <c r="K90" i="18"/>
  <c r="L90" i="18"/>
  <c r="M90" i="18"/>
  <c r="N90" i="18"/>
  <c r="O90" i="18"/>
  <c r="P90" i="18"/>
  <c r="Q90" i="18"/>
  <c r="R90" i="18"/>
  <c r="S90" i="18"/>
  <c r="T90" i="18"/>
  <c r="U90" i="18"/>
  <c r="V90" i="18"/>
  <c r="W90" i="18"/>
  <c r="X90" i="18"/>
  <c r="Y90" i="18"/>
  <c r="Z90" i="18"/>
  <c r="AA90" i="18"/>
  <c r="AB90" i="18"/>
  <c r="AC90" i="18"/>
  <c r="C91" i="18" a="1"/>
  <c r="C91" i="18" s="1"/>
  <c r="D91" i="18"/>
  <c r="E91" i="18"/>
  <c r="F91" i="18"/>
  <c r="G91" i="18"/>
  <c r="H91" i="18"/>
  <c r="I91" i="18"/>
  <c r="J91" i="18"/>
  <c r="K91" i="18"/>
  <c r="L91" i="18"/>
  <c r="M91" i="18"/>
  <c r="N91" i="18"/>
  <c r="O91" i="18"/>
  <c r="P91" i="18"/>
  <c r="Q91" i="18"/>
  <c r="R91" i="18"/>
  <c r="S91" i="18"/>
  <c r="T91" i="18"/>
  <c r="U91" i="18"/>
  <c r="V91" i="18"/>
  <c r="W91" i="18"/>
  <c r="X91" i="18"/>
  <c r="Y91" i="18"/>
  <c r="Z91" i="18"/>
  <c r="AA91" i="18"/>
  <c r="AB91" i="18"/>
  <c r="AC91" i="18"/>
  <c r="C92" i="18" a="1"/>
  <c r="C92" i="18" s="1"/>
  <c r="D92" i="18"/>
  <c r="E92" i="18"/>
  <c r="F92" i="18"/>
  <c r="G92" i="18"/>
  <c r="H92" i="18"/>
  <c r="I92" i="18"/>
  <c r="J92" i="18"/>
  <c r="K92" i="18"/>
  <c r="L92" i="18"/>
  <c r="M92" i="18"/>
  <c r="N92" i="18"/>
  <c r="O92" i="18"/>
  <c r="P92" i="18"/>
  <c r="Q92" i="18"/>
  <c r="R92" i="18"/>
  <c r="S92" i="18"/>
  <c r="T92" i="18"/>
  <c r="U92" i="18"/>
  <c r="V92" i="18"/>
  <c r="W92" i="18"/>
  <c r="X92" i="18"/>
  <c r="Y92" i="18"/>
  <c r="Z92" i="18"/>
  <c r="AA92" i="18"/>
  <c r="AB92" i="18"/>
  <c r="AC92" i="18"/>
  <c r="C93" i="18" a="1"/>
  <c r="C93" i="18" s="1"/>
  <c r="D93" i="18"/>
  <c r="E93" i="18"/>
  <c r="F93" i="18"/>
  <c r="G93" i="18"/>
  <c r="H93" i="18"/>
  <c r="I93" i="18"/>
  <c r="J93" i="18"/>
  <c r="K93" i="18"/>
  <c r="L93" i="18"/>
  <c r="M93" i="18"/>
  <c r="N93" i="18"/>
  <c r="O93" i="18"/>
  <c r="P93" i="18"/>
  <c r="Q93" i="18"/>
  <c r="R93" i="18"/>
  <c r="S93" i="18"/>
  <c r="T93" i="18"/>
  <c r="U93" i="18"/>
  <c r="V93" i="18"/>
  <c r="W93" i="18"/>
  <c r="X93" i="18"/>
  <c r="Y93" i="18"/>
  <c r="Z93" i="18"/>
  <c r="AA93" i="18"/>
  <c r="AB93" i="18"/>
  <c r="AC93" i="18"/>
  <c r="C94" i="18" a="1"/>
  <c r="C94" i="18" s="1"/>
  <c r="D94" i="18"/>
  <c r="E94" i="18"/>
  <c r="F94" i="18"/>
  <c r="G94" i="18"/>
  <c r="H94" i="18"/>
  <c r="I94" i="18"/>
  <c r="J94" i="18"/>
  <c r="K94" i="18"/>
  <c r="L94" i="18"/>
  <c r="M94" i="18"/>
  <c r="N94" i="18"/>
  <c r="O94" i="18"/>
  <c r="P94" i="18"/>
  <c r="Q94" i="18"/>
  <c r="R94" i="18"/>
  <c r="S94" i="18"/>
  <c r="T94" i="18"/>
  <c r="U94" i="18"/>
  <c r="V94" i="18"/>
  <c r="W94" i="18"/>
  <c r="X94" i="18"/>
  <c r="Y94" i="18"/>
  <c r="Z94" i="18"/>
  <c r="AA94" i="18"/>
  <c r="AB94" i="18"/>
  <c r="AC94" i="18"/>
  <c r="C95" i="18" a="1"/>
  <c r="C95" i="18" s="1"/>
  <c r="D95" i="18"/>
  <c r="E95" i="18"/>
  <c r="F95" i="18"/>
  <c r="G95" i="18"/>
  <c r="H95" i="18"/>
  <c r="I95" i="18"/>
  <c r="J95" i="18"/>
  <c r="K95" i="18"/>
  <c r="L95" i="18"/>
  <c r="M95" i="18"/>
  <c r="N95" i="18"/>
  <c r="O95" i="18"/>
  <c r="P95" i="18"/>
  <c r="Q95" i="18"/>
  <c r="R95" i="18"/>
  <c r="S95" i="18"/>
  <c r="T95" i="18"/>
  <c r="U95" i="18"/>
  <c r="V95" i="18"/>
  <c r="W95" i="18"/>
  <c r="X95" i="18"/>
  <c r="Y95" i="18"/>
  <c r="Z95" i="18"/>
  <c r="AA95" i="18"/>
  <c r="AB95" i="18"/>
  <c r="AC95" i="18"/>
  <c r="C96" i="18" a="1"/>
  <c r="C96" i="18" s="1"/>
  <c r="D96" i="18"/>
  <c r="E96" i="18"/>
  <c r="F96" i="18"/>
  <c r="G96" i="18"/>
  <c r="H96" i="18"/>
  <c r="I96" i="18"/>
  <c r="J96" i="18"/>
  <c r="K96" i="18"/>
  <c r="L96" i="18"/>
  <c r="M96" i="18"/>
  <c r="N96" i="18"/>
  <c r="O96" i="18"/>
  <c r="P96" i="18"/>
  <c r="Q96" i="18"/>
  <c r="R96" i="18"/>
  <c r="S96" i="18"/>
  <c r="T96" i="18"/>
  <c r="U96" i="18"/>
  <c r="V96" i="18"/>
  <c r="W96" i="18"/>
  <c r="X96" i="18"/>
  <c r="Y96" i="18"/>
  <c r="Z96" i="18"/>
  <c r="AA96" i="18"/>
  <c r="AB96" i="18"/>
  <c r="AC96" i="18"/>
  <c r="C40" i="18" a="1"/>
  <c r="C40" i="18" s="1"/>
  <c r="C41" i="18" a="1"/>
  <c r="C41" i="18" s="1"/>
  <c r="C42" i="18" a="1"/>
  <c r="C42" i="18" s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B2" i="17" a="1"/>
  <c r="B2" i="17" s="1"/>
  <c r="A6" i="1"/>
  <c r="B57" i="17"/>
  <c r="C27" i="17"/>
  <c r="B18" i="5"/>
  <c r="B19" i="5"/>
  <c r="B20" i="5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N2" i="1" a="1"/>
  <c r="N2" i="1" s="1"/>
  <c r="A2" i="1" s="1"/>
  <c r="H2" i="1" s="1"/>
  <c r="I2" i="1" s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B4" i="15"/>
  <c r="B59" i="17" l="1" a="1"/>
  <c r="B59" i="17" s="1"/>
  <c r="B60" i="17" a="1"/>
  <c r="B60" i="17" s="1"/>
  <c r="B61" i="17" a="1"/>
  <c r="B61" i="17" s="1"/>
  <c r="B58" i="17" a="1"/>
  <c r="B58" i="17" s="1"/>
  <c r="A24" i="1"/>
  <c r="H24" i="1" s="1"/>
  <c r="I24" i="1" s="1"/>
  <c r="A35" i="1"/>
  <c r="H35" i="1" s="1"/>
  <c r="I35" i="1" s="1"/>
  <c r="A34" i="1"/>
  <c r="H34" i="1" s="1"/>
  <c r="I34" i="1" s="1"/>
  <c r="A10" i="1"/>
  <c r="H10" i="1" s="1"/>
  <c r="I10" i="1" s="1"/>
  <c r="A31" i="1"/>
  <c r="H31" i="1" s="1"/>
  <c r="I31" i="1" s="1"/>
  <c r="A19" i="1"/>
  <c r="H19" i="1" s="1"/>
  <c r="I19" i="1" s="1"/>
  <c r="A30" i="1"/>
  <c r="H30" i="1" s="1"/>
  <c r="I30" i="1" s="1"/>
  <c r="A18" i="1"/>
  <c r="H18" i="1" s="1"/>
  <c r="I18" i="1" s="1"/>
  <c r="H6" i="1"/>
  <c r="I6" i="1" s="1"/>
  <c r="A29" i="1"/>
  <c r="H29" i="1" s="1"/>
  <c r="I29" i="1" s="1"/>
  <c r="A17" i="1"/>
  <c r="H17" i="1" s="1"/>
  <c r="I17" i="1" s="1"/>
  <c r="A5" i="1"/>
  <c r="H5" i="1" s="1"/>
  <c r="I5" i="1" s="1"/>
  <c r="A36" i="1"/>
  <c r="H36" i="1" s="1"/>
  <c r="I36" i="1" s="1"/>
  <c r="A28" i="1"/>
  <c r="H28" i="1" s="1"/>
  <c r="I28" i="1" s="1"/>
  <c r="A16" i="1"/>
  <c r="H16" i="1" s="1"/>
  <c r="I16" i="1" s="1"/>
  <c r="A4" i="1"/>
  <c r="H4" i="1" s="1"/>
  <c r="I4" i="1" s="1"/>
  <c r="A27" i="1"/>
  <c r="H27" i="1" s="1"/>
  <c r="I27" i="1" s="1"/>
  <c r="A15" i="1"/>
  <c r="H15" i="1" s="1"/>
  <c r="I15" i="1" s="1"/>
  <c r="A3" i="1"/>
  <c r="A38" i="1"/>
  <c r="H38" i="1" s="1"/>
  <c r="I38" i="1" s="1"/>
  <c r="A26" i="1"/>
  <c r="H26" i="1" s="1"/>
  <c r="I26" i="1" s="1"/>
  <c r="A14" i="1"/>
  <c r="H14" i="1" s="1"/>
  <c r="I14" i="1" s="1"/>
  <c r="A37" i="1"/>
  <c r="H37" i="1" s="1"/>
  <c r="I37" i="1" s="1"/>
  <c r="A25" i="1"/>
  <c r="H25" i="1" s="1"/>
  <c r="I25" i="1" s="1"/>
  <c r="A13" i="1"/>
  <c r="H13" i="1" s="1"/>
  <c r="I13" i="1" s="1"/>
  <c r="A12" i="1"/>
  <c r="H12" i="1" s="1"/>
  <c r="I12" i="1" s="1"/>
  <c r="A11" i="1"/>
  <c r="H11" i="1" s="1"/>
  <c r="I11" i="1" s="1"/>
  <c r="A33" i="1"/>
  <c r="H33" i="1" s="1"/>
  <c r="I33" i="1" s="1"/>
  <c r="A21" i="1"/>
  <c r="H21" i="1" s="1"/>
  <c r="I21" i="1" s="1"/>
  <c r="A9" i="1"/>
  <c r="H9" i="1" s="1"/>
  <c r="I9" i="1" s="1"/>
  <c r="A32" i="1"/>
  <c r="H32" i="1" s="1"/>
  <c r="I32" i="1" s="1"/>
  <c r="A20" i="1"/>
  <c r="H20" i="1" s="1"/>
  <c r="I20" i="1" s="1"/>
  <c r="A8" i="1"/>
  <c r="H8" i="1" s="1"/>
  <c r="I8" i="1" s="1"/>
  <c r="A23" i="1"/>
  <c r="H23" i="1" s="1"/>
  <c r="I23" i="1" s="1"/>
  <c r="A22" i="1"/>
  <c r="H22" i="1" s="1"/>
  <c r="I22" i="1" s="1"/>
  <c r="A7" i="1"/>
  <c r="H7" i="1" s="1"/>
  <c r="I7" i="1" s="1"/>
  <c r="Q2" i="17"/>
  <c r="Q1" i="17"/>
  <c r="A7" i="5"/>
  <c r="B7" i="5" s="1"/>
  <c r="B15" i="5" s="1"/>
  <c r="A8" i="5"/>
  <c r="B8" i="5" s="1"/>
  <c r="B16" i="5" s="1"/>
  <c r="A9" i="5"/>
  <c r="B9" i="5" s="1"/>
  <c r="B17" i="5" s="1"/>
  <c r="A6" i="5"/>
  <c r="B6" i="5" s="1"/>
  <c r="B14" i="5" s="1"/>
  <c r="AE2" i="5"/>
  <c r="AF2" i="5"/>
  <c r="AG2" i="5"/>
  <c r="AH2" i="5"/>
  <c r="AI2" i="5"/>
  <c r="AJ2" i="5"/>
  <c r="H3" i="1" l="1"/>
  <c r="C5" i="18"/>
  <c r="D5" i="18" s="1"/>
  <c r="A4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A3" i="18"/>
  <c r="K2" i="1"/>
  <c r="B2" i="1" s="1"/>
  <c r="K3" i="1"/>
  <c r="B3" i="1" s="1"/>
  <c r="K4" i="1"/>
  <c r="K5" i="1"/>
  <c r="B5" i="1" s="1"/>
  <c r="K6" i="1"/>
  <c r="B6" i="1" s="1"/>
  <c r="K7" i="1"/>
  <c r="K8" i="1"/>
  <c r="K9" i="1"/>
  <c r="K10" i="1"/>
  <c r="B10" i="1" s="1"/>
  <c r="K11" i="1"/>
  <c r="B11" i="1" s="1"/>
  <c r="K12" i="1"/>
  <c r="B12" i="1" s="1"/>
  <c r="K13" i="1"/>
  <c r="K14" i="1"/>
  <c r="B14" i="1" s="1"/>
  <c r="K15" i="1"/>
  <c r="B15" i="1" s="1"/>
  <c r="K16" i="1"/>
  <c r="B16" i="1" s="1"/>
  <c r="K17" i="1"/>
  <c r="B17" i="1" s="1"/>
  <c r="K18" i="1"/>
  <c r="B18" i="1" s="1"/>
  <c r="K19" i="1"/>
  <c r="K20" i="1"/>
  <c r="K21" i="1"/>
  <c r="K22" i="1"/>
  <c r="B22" i="1" s="1"/>
  <c r="K23" i="1"/>
  <c r="K24" i="1"/>
  <c r="B24" i="1" s="1"/>
  <c r="K25" i="1"/>
  <c r="B25" i="1" s="1"/>
  <c r="K26" i="1"/>
  <c r="B26" i="1" s="1"/>
  <c r="K27" i="1"/>
  <c r="B27" i="1" s="1"/>
  <c r="K28" i="1"/>
  <c r="B28" i="1" s="1"/>
  <c r="K29" i="1"/>
  <c r="B29" i="1" s="1"/>
  <c r="K30" i="1"/>
  <c r="B30" i="1" s="1"/>
  <c r="K31" i="1"/>
  <c r="B31" i="1" s="1"/>
  <c r="K32" i="1"/>
  <c r="B32" i="1" s="1"/>
  <c r="K33" i="1"/>
  <c r="B33" i="1" s="1"/>
  <c r="K34" i="1"/>
  <c r="K35" i="1"/>
  <c r="B35" i="1" s="1"/>
  <c r="K36" i="1"/>
  <c r="K37" i="1"/>
  <c r="K38" i="1"/>
  <c r="B38" i="1" s="1"/>
  <c r="K39" i="1"/>
  <c r="B39" i="1" s="1"/>
  <c r="K40" i="1"/>
  <c r="B40" i="1" s="1"/>
  <c r="K41" i="1"/>
  <c r="B41" i="1" s="1"/>
  <c r="K42" i="1"/>
  <c r="B42" i="1" s="1"/>
  <c r="K43" i="1"/>
  <c r="B43" i="1" s="1"/>
  <c r="K44" i="1"/>
  <c r="B44" i="1" s="1"/>
  <c r="K45" i="1"/>
  <c r="B45" i="1" s="1"/>
  <c r="K46" i="1"/>
  <c r="B46" i="1" s="1"/>
  <c r="K47" i="1"/>
  <c r="B47" i="1" s="1"/>
  <c r="K48" i="1"/>
  <c r="K49" i="1"/>
  <c r="K50" i="1"/>
  <c r="B50" i="1" s="1"/>
  <c r="K51" i="1"/>
  <c r="B51" i="1" s="1"/>
  <c r="K52" i="1"/>
  <c r="B52" i="1" s="1"/>
  <c r="K53" i="1"/>
  <c r="B53" i="1" s="1"/>
  <c r="K54" i="1"/>
  <c r="K55" i="1"/>
  <c r="B55" i="1" s="1"/>
  <c r="K56" i="1"/>
  <c r="B56" i="1" s="1"/>
  <c r="K57" i="1"/>
  <c r="B57" i="1" s="1"/>
  <c r="K58" i="1"/>
  <c r="K59" i="1"/>
  <c r="B59" i="1" s="1"/>
  <c r="K60" i="1"/>
  <c r="K61" i="1"/>
  <c r="K62" i="1"/>
  <c r="B62" i="1" s="1"/>
  <c r="K63" i="1"/>
  <c r="B63" i="1" s="1"/>
  <c r="K64" i="1"/>
  <c r="B64" i="1" s="1"/>
  <c r="K65" i="1"/>
  <c r="B65" i="1" s="1"/>
  <c r="K66" i="1"/>
  <c r="B66" i="1" s="1"/>
  <c r="K67" i="1"/>
  <c r="B67" i="1" s="1"/>
  <c r="K68" i="1"/>
  <c r="B68" i="1" s="1"/>
  <c r="D3" i="16"/>
  <c r="D4" i="16"/>
  <c r="D6" i="16"/>
  <c r="D9" i="16"/>
  <c r="D10" i="16"/>
  <c r="D12" i="16"/>
  <c r="D13" i="16"/>
  <c r="D14" i="16"/>
  <c r="D15" i="16"/>
  <c r="D16" i="16"/>
  <c r="D17" i="16"/>
  <c r="D18" i="16"/>
  <c r="D19" i="16"/>
  <c r="D21" i="16"/>
  <c r="D22" i="16"/>
  <c r="D23" i="16"/>
  <c r="D25" i="16"/>
  <c r="D2" i="16"/>
  <c r="C3" i="16" a="1"/>
  <c r="C3" i="16" s="1"/>
  <c r="C4" i="16" a="1"/>
  <c r="C4" i="16" s="1"/>
  <c r="C6" i="16" a="1"/>
  <c r="C6" i="16" s="1"/>
  <c r="C9" i="16" a="1"/>
  <c r="C9" i="16" s="1"/>
  <c r="C10" i="16" a="1"/>
  <c r="C10" i="16" s="1"/>
  <c r="C12" i="16" a="1"/>
  <c r="C12" i="16" s="1"/>
  <c r="C13" i="16" a="1"/>
  <c r="C13" i="16" s="1"/>
  <c r="C14" i="16" a="1"/>
  <c r="C14" i="16" s="1"/>
  <c r="C15" i="16" a="1"/>
  <c r="C15" i="16" s="1"/>
  <c r="C16" i="16" a="1"/>
  <c r="C16" i="16" s="1"/>
  <c r="C17" i="16" a="1"/>
  <c r="C17" i="16" s="1"/>
  <c r="C18" i="16" a="1"/>
  <c r="C18" i="16" s="1"/>
  <c r="C19" i="16" a="1"/>
  <c r="C19" i="16" s="1"/>
  <c r="C21" i="16" a="1"/>
  <c r="C21" i="16" s="1"/>
  <c r="C22" i="16" a="1"/>
  <c r="C22" i="16" s="1"/>
  <c r="C23" i="16" a="1"/>
  <c r="C23" i="16" s="1"/>
  <c r="C25" i="16" a="1"/>
  <c r="C25" i="16" s="1"/>
  <c r="C2" i="16" a="1"/>
  <c r="C2" i="16" s="1"/>
  <c r="D27" i="1"/>
  <c r="D28" i="1"/>
  <c r="D29" i="1"/>
  <c r="D30" i="1"/>
  <c r="D19" i="1"/>
  <c r="D20" i="1"/>
  <c r="D21" i="1"/>
  <c r="D22" i="1"/>
  <c r="D23" i="1"/>
  <c r="D24" i="1"/>
  <c r="D25" i="1"/>
  <c r="D2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31" i="1"/>
  <c r="D32" i="1"/>
  <c r="D18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D38" i="2" a="1"/>
  <c r="D38" i="2" s="1"/>
  <c r="E38" i="2" a="1"/>
  <c r="E38" i="2" s="1"/>
  <c r="F38" i="2" a="1"/>
  <c r="F38" i="2" s="1"/>
  <c r="G38" i="2" a="1"/>
  <c r="G38" i="2" s="1"/>
  <c r="H38" i="2" a="1"/>
  <c r="H38" i="2" s="1"/>
  <c r="I38" i="2" a="1"/>
  <c r="I38" i="2" s="1"/>
  <c r="J38" i="2" a="1"/>
  <c r="J38" i="2" s="1"/>
  <c r="K38" i="2" a="1"/>
  <c r="K38" i="2" s="1"/>
  <c r="L38" i="2" a="1"/>
  <c r="L38" i="2" s="1"/>
  <c r="M38" i="2" a="1"/>
  <c r="M38" i="2" s="1"/>
  <c r="N38" i="2" a="1"/>
  <c r="N38" i="2" s="1"/>
  <c r="O38" i="2" a="1"/>
  <c r="O38" i="2" s="1"/>
  <c r="P38" i="2" a="1"/>
  <c r="P38" i="2" s="1"/>
  <c r="Q38" i="2" a="1"/>
  <c r="Q38" i="2" s="1"/>
  <c r="R38" i="2" a="1"/>
  <c r="R38" i="2" s="1"/>
  <c r="S38" i="2" a="1"/>
  <c r="S38" i="2" s="1"/>
  <c r="T38" i="2" a="1"/>
  <c r="T38" i="2" s="1"/>
  <c r="U38" i="2" a="1"/>
  <c r="U38" i="2" s="1"/>
  <c r="V38" i="2" a="1"/>
  <c r="V38" i="2" s="1"/>
  <c r="W38" i="2" a="1"/>
  <c r="W38" i="2" s="1"/>
  <c r="X38" i="2" a="1"/>
  <c r="X38" i="2" s="1"/>
  <c r="Y38" i="2" a="1"/>
  <c r="Y38" i="2" s="1"/>
  <c r="Z38" i="2" a="1"/>
  <c r="Z38" i="2" s="1"/>
  <c r="AA38" i="2" a="1"/>
  <c r="AA38" i="2" s="1"/>
  <c r="AB38" i="2" a="1"/>
  <c r="AB38" i="2" s="1"/>
  <c r="AC38" i="2" a="1"/>
  <c r="AC38" i="2" s="1"/>
  <c r="D39" i="2" a="1"/>
  <c r="D39" i="2" s="1"/>
  <c r="E39" i="2" a="1"/>
  <c r="E39" i="2" s="1"/>
  <c r="F39" i="2" a="1"/>
  <c r="F39" i="2" s="1"/>
  <c r="G39" i="2" a="1"/>
  <c r="G39" i="2" s="1"/>
  <c r="H39" i="2" a="1"/>
  <c r="H39" i="2" s="1"/>
  <c r="I39" i="2" a="1"/>
  <c r="I39" i="2" s="1"/>
  <c r="J39" i="2" a="1"/>
  <c r="J39" i="2" s="1"/>
  <c r="K39" i="2" a="1"/>
  <c r="K39" i="2" s="1"/>
  <c r="L39" i="2" a="1"/>
  <c r="L39" i="2" s="1"/>
  <c r="M39" i="2" a="1"/>
  <c r="M39" i="2" s="1"/>
  <c r="N39" i="2" a="1"/>
  <c r="N39" i="2" s="1"/>
  <c r="O39" i="2" a="1"/>
  <c r="O39" i="2" s="1"/>
  <c r="P39" i="2" a="1"/>
  <c r="P39" i="2" s="1"/>
  <c r="Q39" i="2" a="1"/>
  <c r="Q39" i="2" s="1"/>
  <c r="R39" i="2" a="1"/>
  <c r="R39" i="2" s="1"/>
  <c r="S39" i="2" a="1"/>
  <c r="S39" i="2" s="1"/>
  <c r="T39" i="2" a="1"/>
  <c r="T39" i="2" s="1"/>
  <c r="U39" i="2" a="1"/>
  <c r="U39" i="2" s="1"/>
  <c r="V39" i="2" a="1"/>
  <c r="V39" i="2" s="1"/>
  <c r="W39" i="2" a="1"/>
  <c r="W39" i="2" s="1"/>
  <c r="X39" i="2" a="1"/>
  <c r="X39" i="2" s="1"/>
  <c r="Y39" i="2" a="1"/>
  <c r="Y39" i="2" s="1"/>
  <c r="Z39" i="2" a="1"/>
  <c r="Z39" i="2" s="1"/>
  <c r="AA39" i="2" a="1"/>
  <c r="AA39" i="2" s="1"/>
  <c r="AB39" i="2" a="1"/>
  <c r="AB39" i="2" s="1"/>
  <c r="AC39" i="2" a="1"/>
  <c r="AC39" i="2" s="1"/>
  <c r="C37" i="2" a="1"/>
  <c r="C37" i="2" s="1"/>
  <c r="C38" i="2" a="1"/>
  <c r="C38" i="2" s="1"/>
  <c r="C39" i="2" a="1"/>
  <c r="C39" i="2" s="1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1" i="8"/>
  <c r="P5" i="8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L7" i="15"/>
  <c r="O7" i="15" s="1"/>
  <c r="D11" i="16" s="1"/>
  <c r="L8" i="15"/>
  <c r="O8" i="15" s="1"/>
  <c r="L9" i="15"/>
  <c r="O9" i="15" s="1"/>
  <c r="L10" i="15"/>
  <c r="O10" i="15" s="1"/>
  <c r="L11" i="15"/>
  <c r="O11" i="15" s="1"/>
  <c r="L12" i="15"/>
  <c r="O12" i="15" s="1"/>
  <c r="W12" i="15" s="1"/>
  <c r="L13" i="15"/>
  <c r="O13" i="15" s="1"/>
  <c r="L14" i="15"/>
  <c r="O14" i="15" s="1"/>
  <c r="L15" i="15"/>
  <c r="O15" i="15" s="1"/>
  <c r="L16" i="15"/>
  <c r="O16" i="15" s="1"/>
  <c r="L17" i="15"/>
  <c r="O17" i="15" s="1"/>
  <c r="L18" i="15"/>
  <c r="O18" i="15" s="1"/>
  <c r="W18" i="15" s="1"/>
  <c r="L19" i="15"/>
  <c r="O19" i="15" s="1"/>
  <c r="L20" i="15"/>
  <c r="O20" i="15" s="1"/>
  <c r="L21" i="15"/>
  <c r="O21" i="15" s="1"/>
  <c r="L22" i="15"/>
  <c r="O22" i="15" s="1"/>
  <c r="L23" i="15"/>
  <c r="O23" i="15" s="1"/>
  <c r="L24" i="15"/>
  <c r="O24" i="15" s="1"/>
  <c r="H3" i="15"/>
  <c r="H4" i="15"/>
  <c r="F14" i="1" s="1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" i="15"/>
  <c r="A3" i="2"/>
  <c r="M3" i="15"/>
  <c r="M4" i="15"/>
  <c r="M5" i="15"/>
  <c r="M6" i="15"/>
  <c r="M2" i="15"/>
  <c r="L3" i="15"/>
  <c r="O3" i="15" s="1"/>
  <c r="D24" i="16" s="1"/>
  <c r="L4" i="15"/>
  <c r="O4" i="15" s="1"/>
  <c r="AC4" i="15" s="1"/>
  <c r="L5" i="15"/>
  <c r="O5" i="15" s="1"/>
  <c r="AH5" i="15" s="1"/>
  <c r="L6" i="15"/>
  <c r="O6" i="15" s="1"/>
  <c r="AF6" i="15" s="1"/>
  <c r="L2" i="15"/>
  <c r="O2" i="15" s="1"/>
  <c r="B10" i="15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C5" i="2"/>
  <c r="C3" i="2"/>
  <c r="P2" i="17" s="1"/>
  <c r="A13" i="13"/>
  <c r="A14" i="13"/>
  <c r="A15" i="13"/>
  <c r="A16" i="13"/>
  <c r="A17" i="13"/>
  <c r="A18" i="13"/>
  <c r="A19" i="13"/>
  <c r="A20" i="13"/>
  <c r="A21" i="13"/>
  <c r="A22" i="13"/>
  <c r="B28" i="12"/>
  <c r="C28" i="12"/>
  <c r="D28" i="12"/>
  <c r="E28" i="12"/>
  <c r="F28" i="12"/>
  <c r="G28" i="12"/>
  <c r="H28" i="12"/>
  <c r="C2" i="12"/>
  <c r="A29" i="12"/>
  <c r="A30" i="12"/>
  <c r="A31" i="12"/>
  <c r="A32" i="12"/>
  <c r="A33" i="12"/>
  <c r="A34" i="12"/>
  <c r="A35" i="12"/>
  <c r="A36" i="12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" i="7"/>
  <c r="AE3" i="5"/>
  <c r="AF3" i="5"/>
  <c r="AG3" i="5"/>
  <c r="AH3" i="5"/>
  <c r="AI3" i="5"/>
  <c r="K3" i="11"/>
  <c r="K4" i="11"/>
  <c r="K5" i="11"/>
  <c r="K2" i="11"/>
  <c r="AE4" i="5"/>
  <c r="AF4" i="5"/>
  <c r="AG4" i="5"/>
  <c r="AH4" i="5"/>
  <c r="AI4" i="5"/>
  <c r="AJ4" i="5"/>
  <c r="E2" i="12"/>
  <c r="B4" i="1"/>
  <c r="E2" i="17" a="1"/>
  <c r="E3" i="17" a="1"/>
  <c r="D2" i="17" a="1"/>
  <c r="D3" i="17" a="1"/>
  <c r="I3" i="1" l="1"/>
  <c r="A6" i="18" a="1"/>
  <c r="A6" i="18" s="1"/>
  <c r="C66" i="1"/>
  <c r="D20" i="16"/>
  <c r="C51" i="1"/>
  <c r="C62" i="1"/>
  <c r="B11" i="15"/>
  <c r="F2" i="1"/>
  <c r="T11" i="15"/>
  <c r="AH11" i="15"/>
  <c r="C7" i="18" a="1"/>
  <c r="C7" i="18" s="1"/>
  <c r="C16" i="18" a="1"/>
  <c r="C16" i="18" s="1"/>
  <c r="C35" i="18" a="1"/>
  <c r="C35" i="18" s="1"/>
  <c r="C37" i="18" a="1"/>
  <c r="C37" i="18" s="1"/>
  <c r="C9" i="18" a="1"/>
  <c r="C9" i="18" s="1"/>
  <c r="C18" i="18" a="1"/>
  <c r="C18" i="18" s="1"/>
  <c r="C27" i="18" a="1"/>
  <c r="C27" i="18" s="1"/>
  <c r="C33" i="18" a="1"/>
  <c r="C33" i="18" s="1"/>
  <c r="C11" i="18" a="1"/>
  <c r="C11" i="18" s="1"/>
  <c r="C21" i="18" a="1"/>
  <c r="C21" i="18" s="1"/>
  <c r="C6" i="18" a="1"/>
  <c r="C6" i="18" s="1"/>
  <c r="C8" i="18" a="1"/>
  <c r="C8" i="18" s="1"/>
  <c r="C17" i="18" a="1"/>
  <c r="C17" i="18" s="1"/>
  <c r="C19" i="18" a="1"/>
  <c r="C19" i="18" s="1"/>
  <c r="C25" i="18" a="1"/>
  <c r="C25" i="18" s="1"/>
  <c r="C32" i="18" a="1"/>
  <c r="C32" i="18" s="1"/>
  <c r="C10" i="18" a="1"/>
  <c r="C10" i="18" s="1"/>
  <c r="C22" i="18" a="1"/>
  <c r="C22" i="18" s="1"/>
  <c r="C29" i="18" a="1"/>
  <c r="C29" i="18" s="1"/>
  <c r="C38" i="18" a="1"/>
  <c r="C38" i="18" s="1"/>
  <c r="C12" i="18" a="1"/>
  <c r="C12" i="18" s="1"/>
  <c r="C26" i="18" a="1"/>
  <c r="C26" i="18" s="1"/>
  <c r="C28" i="18" a="1"/>
  <c r="C28" i="18" s="1"/>
  <c r="C13" i="18" a="1"/>
  <c r="C13" i="18" s="1"/>
  <c r="C24" i="18" a="1"/>
  <c r="C24" i="18" s="1"/>
  <c r="C23" i="18" a="1"/>
  <c r="C23" i="18" s="1"/>
  <c r="C39" i="18" a="1"/>
  <c r="C39" i="18" s="1"/>
  <c r="C14" i="18" a="1"/>
  <c r="C14" i="18" s="1"/>
  <c r="C20" i="18" a="1"/>
  <c r="C20" i="18" s="1"/>
  <c r="C15" i="18" a="1"/>
  <c r="C15" i="18" s="1"/>
  <c r="C31" i="18" a="1"/>
  <c r="C31" i="18" s="1"/>
  <c r="C30" i="18" a="1"/>
  <c r="C30" i="18" s="1"/>
  <c r="C34" i="18" a="1"/>
  <c r="C34" i="18" s="1"/>
  <c r="C36" i="18" a="1"/>
  <c r="C36" i="18" s="1"/>
  <c r="E5" i="18"/>
  <c r="D14" i="18" a="1"/>
  <c r="D14" i="18" s="1"/>
  <c r="D20" i="18" a="1"/>
  <c r="D20" i="18" s="1"/>
  <c r="D23" i="18" a="1"/>
  <c r="D23" i="18" s="1"/>
  <c r="D30" i="18" a="1"/>
  <c r="D30" i="18" s="1"/>
  <c r="D7" i="18" a="1"/>
  <c r="D7" i="18" s="1"/>
  <c r="D16" i="18" a="1"/>
  <c r="D16" i="18" s="1"/>
  <c r="D35" i="18" a="1"/>
  <c r="D35" i="18" s="1"/>
  <c r="D37" i="18" a="1"/>
  <c r="D37" i="18" s="1"/>
  <c r="D9" i="18" a="1"/>
  <c r="D9" i="18" s="1"/>
  <c r="D24" i="18" a="1"/>
  <c r="D24" i="18" s="1"/>
  <c r="D31" i="18" a="1"/>
  <c r="D31" i="18" s="1"/>
  <c r="D8" i="18" a="1"/>
  <c r="D8" i="18" s="1"/>
  <c r="D15" i="18" a="1"/>
  <c r="D15" i="18" s="1"/>
  <c r="D17" i="18" a="1"/>
  <c r="D17" i="18" s="1"/>
  <c r="D19" i="18" a="1"/>
  <c r="D19" i="18" s="1"/>
  <c r="D25" i="18" a="1"/>
  <c r="D25" i="18" s="1"/>
  <c r="D32" i="18" a="1"/>
  <c r="D32" i="18" s="1"/>
  <c r="D10" i="18" a="1"/>
  <c r="D10" i="18" s="1"/>
  <c r="D22" i="18" a="1"/>
  <c r="D22" i="18" s="1"/>
  <c r="D29" i="18" a="1"/>
  <c r="D29" i="18" s="1"/>
  <c r="D38" i="18" a="1"/>
  <c r="D38" i="18" s="1"/>
  <c r="D12" i="18" a="1"/>
  <c r="D12" i="18" s="1"/>
  <c r="D6" i="18" a="1"/>
  <c r="D6" i="18" s="1"/>
  <c r="D27" i="18" a="1"/>
  <c r="D27" i="18" s="1"/>
  <c r="D36" i="18" a="1"/>
  <c r="D36" i="18" s="1"/>
  <c r="D18" i="18" a="1"/>
  <c r="D18" i="18" s="1"/>
  <c r="D26" i="18" a="1"/>
  <c r="D26" i="18" s="1"/>
  <c r="D28" i="18" a="1"/>
  <c r="D28" i="18" s="1"/>
  <c r="D13" i="18" a="1"/>
  <c r="D13" i="18" s="1"/>
  <c r="D21" i="18" a="1"/>
  <c r="D21" i="18" s="1"/>
  <c r="D39" i="18" a="1"/>
  <c r="D39" i="18" s="1"/>
  <c r="D11" i="18" a="1"/>
  <c r="D11" i="18" s="1"/>
  <c r="D33" i="18" a="1"/>
  <c r="D33" i="18" s="1"/>
  <c r="D34" i="18" a="1"/>
  <c r="D34" i="18" s="1"/>
  <c r="C22" i="2" a="1"/>
  <c r="C22" i="2" s="1"/>
  <c r="C20" i="2" a="1"/>
  <c r="C20" i="2" s="1"/>
  <c r="C8" i="2" a="1"/>
  <c r="C8" i="2" s="1"/>
  <c r="C10" i="2" a="1"/>
  <c r="C10" i="2" s="1"/>
  <c r="C12" i="2" a="1"/>
  <c r="C12" i="2" s="1"/>
  <c r="C14" i="2" a="1"/>
  <c r="C14" i="2" s="1"/>
  <c r="C16" i="2" a="1"/>
  <c r="C16" i="2" s="1"/>
  <c r="C18" i="2" a="1"/>
  <c r="C18" i="2" s="1"/>
  <c r="C21" i="2" a="1"/>
  <c r="C21" i="2" s="1"/>
  <c r="C26" i="2" a="1"/>
  <c r="C26" i="2" s="1"/>
  <c r="C15" i="2" a="1"/>
  <c r="C15" i="2" s="1"/>
  <c r="C6" i="2" a="1"/>
  <c r="C6" i="2" s="1"/>
  <c r="C11" i="2" a="1"/>
  <c r="C11" i="2" s="1"/>
  <c r="C24" i="2" a="1"/>
  <c r="C24" i="2" s="1"/>
  <c r="C7" i="2" a="1"/>
  <c r="C7" i="2" s="1"/>
  <c r="C13" i="2" a="1"/>
  <c r="C13" i="2" s="1"/>
  <c r="C23" i="2" a="1"/>
  <c r="C23" i="2" s="1"/>
  <c r="C27" i="2" a="1"/>
  <c r="C27" i="2" s="1"/>
  <c r="C17" i="2" a="1"/>
  <c r="C17" i="2" s="1"/>
  <c r="C29" i="2" a="1"/>
  <c r="C29" i="2" s="1"/>
  <c r="C28" i="2" a="1"/>
  <c r="C28" i="2" s="1"/>
  <c r="C9" i="2" a="1"/>
  <c r="C9" i="2" s="1"/>
  <c r="C19" i="2" a="1"/>
  <c r="C19" i="2" s="1"/>
  <c r="C25" i="2" a="1"/>
  <c r="C25" i="2" s="1"/>
  <c r="F19" i="1"/>
  <c r="F26" i="1"/>
  <c r="F23" i="1"/>
  <c r="F21" i="1"/>
  <c r="F20" i="1"/>
  <c r="C40" i="1"/>
  <c r="C55" i="1"/>
  <c r="C42" i="1"/>
  <c r="C50" i="1"/>
  <c r="C68" i="1"/>
  <c r="C67" i="1"/>
  <c r="C57" i="1"/>
  <c r="C56" i="1"/>
  <c r="C33" i="1"/>
  <c r="C60" i="1"/>
  <c r="B60" i="1"/>
  <c r="C48" i="1"/>
  <c r="B48" i="1"/>
  <c r="B36" i="1"/>
  <c r="C58" i="1"/>
  <c r="B58" i="1"/>
  <c r="C65" i="1"/>
  <c r="C47" i="1"/>
  <c r="B34" i="1"/>
  <c r="C64" i="1"/>
  <c r="C45" i="1"/>
  <c r="C46" i="1"/>
  <c r="C63" i="1"/>
  <c r="C44" i="1"/>
  <c r="C59" i="1"/>
  <c r="C43" i="1"/>
  <c r="C54" i="1"/>
  <c r="B54" i="1"/>
  <c r="C41" i="1"/>
  <c r="C53" i="1"/>
  <c r="C39" i="1"/>
  <c r="F64" i="1"/>
  <c r="C52" i="1"/>
  <c r="C61" i="1"/>
  <c r="B61" i="1"/>
  <c r="C49" i="1"/>
  <c r="B49" i="1"/>
  <c r="B37" i="1"/>
  <c r="B2" i="9"/>
  <c r="C3" i="5"/>
  <c r="E3" i="17"/>
  <c r="E2" i="17"/>
  <c r="D3" i="17"/>
  <c r="D2" i="17"/>
  <c r="T20" i="15"/>
  <c r="R20" i="15"/>
  <c r="F13" i="1"/>
  <c r="D8" i="16"/>
  <c r="D7" i="16"/>
  <c r="F9" i="1"/>
  <c r="F8" i="1"/>
  <c r="F7" i="1"/>
  <c r="D5" i="16"/>
  <c r="AE11" i="15"/>
  <c r="D26" i="16"/>
  <c r="F25" i="1"/>
  <c r="F22" i="1"/>
  <c r="B13" i="1"/>
  <c r="F12" i="1"/>
  <c r="F10" i="1"/>
  <c r="F32" i="1"/>
  <c r="F6" i="1"/>
  <c r="B23" i="1"/>
  <c r="F18" i="1"/>
  <c r="F31" i="1"/>
  <c r="F4" i="1"/>
  <c r="B9" i="1"/>
  <c r="F41" i="1"/>
  <c r="F16" i="1"/>
  <c r="F3" i="1"/>
  <c r="B8" i="1"/>
  <c r="B21" i="1"/>
  <c r="F15" i="1"/>
  <c r="B7" i="1"/>
  <c r="B20" i="1"/>
  <c r="F5" i="1"/>
  <c r="B19" i="1"/>
  <c r="F24" i="1"/>
  <c r="F11" i="1"/>
  <c r="F52" i="1"/>
  <c r="P16" i="15"/>
  <c r="Z16" i="15"/>
  <c r="AA16" i="15"/>
  <c r="AE16" i="15"/>
  <c r="S16" i="15"/>
  <c r="W15" i="15"/>
  <c r="V15" i="15"/>
  <c r="AA15" i="15"/>
  <c r="AH15" i="15"/>
  <c r="T14" i="15"/>
  <c r="W14" i="15"/>
  <c r="X14" i="15"/>
  <c r="AA14" i="15"/>
  <c r="AD14" i="15"/>
  <c r="AE14" i="15"/>
  <c r="AH14" i="15"/>
  <c r="V14" i="15"/>
  <c r="R14" i="15"/>
  <c r="S14" i="15"/>
  <c r="P13" i="15"/>
  <c r="S13" i="15"/>
  <c r="Z13" i="15"/>
  <c r="AA13" i="15"/>
  <c r="AE13" i="15"/>
  <c r="W24" i="15"/>
  <c r="V24" i="15"/>
  <c r="AA24" i="15"/>
  <c r="AH24" i="15"/>
  <c r="T23" i="15"/>
  <c r="AD23" i="15"/>
  <c r="AE23" i="15"/>
  <c r="AH23" i="15"/>
  <c r="R23" i="15"/>
  <c r="S23" i="15"/>
  <c r="V23" i="15"/>
  <c r="W23" i="15"/>
  <c r="X23" i="15"/>
  <c r="AA23" i="15"/>
  <c r="P22" i="15"/>
  <c r="S22" i="15"/>
  <c r="Z22" i="15"/>
  <c r="AA22" i="15"/>
  <c r="AE22" i="15"/>
  <c r="P10" i="15"/>
  <c r="AE10" i="15"/>
  <c r="S10" i="15"/>
  <c r="Z10" i="15"/>
  <c r="AA10" i="15"/>
  <c r="W21" i="15"/>
  <c r="AH21" i="15"/>
  <c r="V21" i="15"/>
  <c r="AA21" i="15"/>
  <c r="W9" i="15"/>
  <c r="V9" i="15"/>
  <c r="AA9" i="15"/>
  <c r="AH9" i="15"/>
  <c r="T8" i="15"/>
  <c r="AA8" i="15"/>
  <c r="AD8" i="15"/>
  <c r="AE8" i="15"/>
  <c r="AH8" i="15"/>
  <c r="R8" i="15"/>
  <c r="S8" i="15"/>
  <c r="V8" i="15"/>
  <c r="W8" i="15"/>
  <c r="X8" i="15"/>
  <c r="P7" i="15"/>
  <c r="Q7" i="15" s="1"/>
  <c r="R7" i="15" s="1"/>
  <c r="S7" i="15" s="1"/>
  <c r="T7" i="15" s="1"/>
  <c r="Z7" i="15"/>
  <c r="AA7" i="15"/>
  <c r="AE7" i="15"/>
  <c r="P19" i="15"/>
  <c r="S19" i="15"/>
  <c r="Z19" i="15"/>
  <c r="AA19" i="15"/>
  <c r="AE19" i="15"/>
  <c r="T17" i="15"/>
  <c r="AH17" i="15"/>
  <c r="R17" i="15"/>
  <c r="S17" i="15"/>
  <c r="V17" i="15"/>
  <c r="AE17" i="15"/>
  <c r="W17" i="15"/>
  <c r="X17" i="15"/>
  <c r="AA17" i="15"/>
  <c r="AD17" i="15"/>
  <c r="F63" i="1"/>
  <c r="F51" i="1"/>
  <c r="F39" i="1"/>
  <c r="F62" i="1"/>
  <c r="F50" i="1"/>
  <c r="F38" i="1"/>
  <c r="F61" i="1"/>
  <c r="F49" i="1"/>
  <c r="F37" i="1"/>
  <c r="AD11" i="15"/>
  <c r="AH20" i="15"/>
  <c r="AA11" i="15"/>
  <c r="F60" i="1"/>
  <c r="F48" i="1"/>
  <c r="F36" i="1"/>
  <c r="F59" i="1"/>
  <c r="F47" i="1"/>
  <c r="F35" i="1"/>
  <c r="AE20" i="15"/>
  <c r="X11" i="15"/>
  <c r="F40" i="1"/>
  <c r="F58" i="1"/>
  <c r="F46" i="1"/>
  <c r="F34" i="1"/>
  <c r="AD20" i="15"/>
  <c r="W11" i="15"/>
  <c r="F57" i="1"/>
  <c r="F45" i="1"/>
  <c r="F33" i="1"/>
  <c r="AA20" i="15"/>
  <c r="AH18" i="15"/>
  <c r="V11" i="15"/>
  <c r="F68" i="1"/>
  <c r="F56" i="1"/>
  <c r="F44" i="1"/>
  <c r="X20" i="15"/>
  <c r="AA18" i="15"/>
  <c r="S11" i="15"/>
  <c r="F67" i="1"/>
  <c r="F55" i="1"/>
  <c r="F43" i="1"/>
  <c r="W20" i="15"/>
  <c r="V18" i="15"/>
  <c r="AH12" i="15"/>
  <c r="R11" i="15"/>
  <c r="F66" i="1"/>
  <c r="F54" i="1"/>
  <c r="F42" i="1"/>
  <c r="V20" i="15"/>
  <c r="AA12" i="15"/>
  <c r="F65" i="1"/>
  <c r="F53" i="1"/>
  <c r="F17" i="1"/>
  <c r="S20" i="15"/>
  <c r="V12" i="15"/>
  <c r="T6" i="15"/>
  <c r="AB2" i="15"/>
  <c r="AG24" i="15"/>
  <c r="U24" i="15"/>
  <c r="AC23" i="15"/>
  <c r="Q23" i="15"/>
  <c r="Y22" i="15"/>
  <c r="AG21" i="15"/>
  <c r="U21" i="15"/>
  <c r="AC20" i="15"/>
  <c r="Q20" i="15"/>
  <c r="Y19" i="15"/>
  <c r="AG18" i="15"/>
  <c r="U18" i="15"/>
  <c r="AC17" i="15"/>
  <c r="Q17" i="15"/>
  <c r="Y16" i="15"/>
  <c r="AG15" i="15"/>
  <c r="U15" i="15"/>
  <c r="AC14" i="15"/>
  <c r="Q14" i="15"/>
  <c r="Y13" i="15"/>
  <c r="AG12" i="15"/>
  <c r="U12" i="15"/>
  <c r="AC11" i="15"/>
  <c r="Q11" i="15"/>
  <c r="Y10" i="15"/>
  <c r="AG9" i="15"/>
  <c r="U9" i="15"/>
  <c r="AC8" i="15"/>
  <c r="Q8" i="15"/>
  <c r="Y7" i="15"/>
  <c r="AF24" i="15"/>
  <c r="T24" i="15"/>
  <c r="AB23" i="15"/>
  <c r="P23" i="15"/>
  <c r="X22" i="15"/>
  <c r="AF21" i="15"/>
  <c r="T21" i="15"/>
  <c r="AB20" i="15"/>
  <c r="P20" i="15"/>
  <c r="X19" i="15"/>
  <c r="AF18" i="15"/>
  <c r="T18" i="15"/>
  <c r="AB17" i="15"/>
  <c r="P17" i="15"/>
  <c r="X16" i="15"/>
  <c r="AF15" i="15"/>
  <c r="T15" i="15"/>
  <c r="AB14" i="15"/>
  <c r="P14" i="15"/>
  <c r="X13" i="15"/>
  <c r="AF12" i="15"/>
  <c r="T12" i="15"/>
  <c r="AB11" i="15"/>
  <c r="P11" i="15"/>
  <c r="X10" i="15"/>
  <c r="AF9" i="15"/>
  <c r="T9" i="15"/>
  <c r="AB8" i="15"/>
  <c r="P8" i="15"/>
  <c r="X7" i="15"/>
  <c r="AE24" i="15"/>
  <c r="S24" i="15"/>
  <c r="W22" i="15"/>
  <c r="AE21" i="15"/>
  <c r="S21" i="15"/>
  <c r="W19" i="15"/>
  <c r="AE18" i="15"/>
  <c r="S18" i="15"/>
  <c r="W16" i="15"/>
  <c r="AE15" i="15"/>
  <c r="S15" i="15"/>
  <c r="W13" i="15"/>
  <c r="AE12" i="15"/>
  <c r="S12" i="15"/>
  <c r="W10" i="15"/>
  <c r="AE9" i="15"/>
  <c r="S9" i="15"/>
  <c r="W7" i="15"/>
  <c r="AD24" i="15"/>
  <c r="R24" i="15"/>
  <c r="Z23" i="15"/>
  <c r="AH22" i="15"/>
  <c r="V22" i="15"/>
  <c r="AD21" i="15"/>
  <c r="R21" i="15"/>
  <c r="Z20" i="15"/>
  <c r="AH19" i="15"/>
  <c r="V19" i="15"/>
  <c r="AD18" i="15"/>
  <c r="R18" i="15"/>
  <c r="Z17" i="15"/>
  <c r="AH16" i="15"/>
  <c r="V16" i="15"/>
  <c r="AD15" i="15"/>
  <c r="R15" i="15"/>
  <c r="Z14" i="15"/>
  <c r="AH13" i="15"/>
  <c r="V13" i="15"/>
  <c r="AD12" i="15"/>
  <c r="R12" i="15"/>
  <c r="Z11" i="15"/>
  <c r="AH10" i="15"/>
  <c r="V10" i="15"/>
  <c r="AD9" i="15"/>
  <c r="R9" i="15"/>
  <c r="Z8" i="15"/>
  <c r="AH7" i="15"/>
  <c r="V7" i="15"/>
  <c r="AC24" i="15"/>
  <c r="Q24" i="15"/>
  <c r="Y23" i="15"/>
  <c r="AG22" i="15"/>
  <c r="U22" i="15"/>
  <c r="AC21" i="15"/>
  <c r="Q21" i="15"/>
  <c r="Y20" i="15"/>
  <c r="AG19" i="15"/>
  <c r="U19" i="15"/>
  <c r="AC18" i="15"/>
  <c r="Q18" i="15"/>
  <c r="Y17" i="15"/>
  <c r="AG16" i="15"/>
  <c r="U16" i="15"/>
  <c r="AC15" i="15"/>
  <c r="Q15" i="15"/>
  <c r="Y14" i="15"/>
  <c r="AG13" i="15"/>
  <c r="U13" i="15"/>
  <c r="AC12" i="15"/>
  <c r="Q12" i="15"/>
  <c r="Y11" i="15"/>
  <c r="AG10" i="15"/>
  <c r="U10" i="15"/>
  <c r="AC9" i="15"/>
  <c r="Q9" i="15"/>
  <c r="Y8" i="15"/>
  <c r="AG7" i="15"/>
  <c r="U7" i="15"/>
  <c r="AB24" i="15"/>
  <c r="P24" i="15"/>
  <c r="AF22" i="15"/>
  <c r="T22" i="15"/>
  <c r="AB21" i="15"/>
  <c r="P21" i="15"/>
  <c r="AF19" i="15"/>
  <c r="T19" i="15"/>
  <c r="AB18" i="15"/>
  <c r="P18" i="15"/>
  <c r="AF16" i="15"/>
  <c r="T16" i="15"/>
  <c r="AB15" i="15"/>
  <c r="P15" i="15"/>
  <c r="AF13" i="15"/>
  <c r="T13" i="15"/>
  <c r="AB12" i="15"/>
  <c r="P12" i="15"/>
  <c r="AF10" i="15"/>
  <c r="T10" i="15"/>
  <c r="AB9" i="15"/>
  <c r="P9" i="15"/>
  <c r="AF7" i="15"/>
  <c r="Z24" i="15"/>
  <c r="AD22" i="15"/>
  <c r="R22" i="15"/>
  <c r="Z21" i="15"/>
  <c r="AD19" i="15"/>
  <c r="R19" i="15"/>
  <c r="Z18" i="15"/>
  <c r="AD16" i="15"/>
  <c r="R16" i="15"/>
  <c r="Z15" i="15"/>
  <c r="AD13" i="15"/>
  <c r="R13" i="15"/>
  <c r="Z12" i="15"/>
  <c r="AD10" i="15"/>
  <c r="R10" i="15"/>
  <c r="Z9" i="15"/>
  <c r="AD7" i="15"/>
  <c r="Y24" i="15"/>
  <c r="AG23" i="15"/>
  <c r="U23" i="15"/>
  <c r="AC22" i="15"/>
  <c r="Q22" i="15"/>
  <c r="Y21" i="15"/>
  <c r="AG20" i="15"/>
  <c r="U20" i="15"/>
  <c r="AC19" i="15"/>
  <c r="Q19" i="15"/>
  <c r="Y18" i="15"/>
  <c r="AG17" i="15"/>
  <c r="U17" i="15"/>
  <c r="AC16" i="15"/>
  <c r="Q16" i="15"/>
  <c r="Y15" i="15"/>
  <c r="AG14" i="15"/>
  <c r="U14" i="15"/>
  <c r="AC13" i="15"/>
  <c r="Q13" i="15"/>
  <c r="Y12" i="15"/>
  <c r="AG11" i="15"/>
  <c r="U11" i="15"/>
  <c r="AC10" i="15"/>
  <c r="Q10" i="15"/>
  <c r="Y9" i="15"/>
  <c r="AG8" i="15"/>
  <c r="U8" i="15"/>
  <c r="AC7" i="15"/>
  <c r="X24" i="15"/>
  <c r="AF23" i="15"/>
  <c r="AB22" i="15"/>
  <c r="X21" i="15"/>
  <c r="AF20" i="15"/>
  <c r="AB19" i="15"/>
  <c r="X18" i="15"/>
  <c r="AF17" i="15"/>
  <c r="AB16" i="15"/>
  <c r="X15" i="15"/>
  <c r="AF14" i="15"/>
  <c r="AB13" i="15"/>
  <c r="X12" i="15"/>
  <c r="AF11" i="15"/>
  <c r="AB10" i="15"/>
  <c r="X9" i="15"/>
  <c r="AF8" i="15"/>
  <c r="AB7" i="15"/>
  <c r="F29" i="1"/>
  <c r="F30" i="1"/>
  <c r="F27" i="1"/>
  <c r="F28" i="1"/>
  <c r="Q6" i="15"/>
  <c r="AC6" i="15"/>
  <c r="R6" i="15"/>
  <c r="AD6" i="15"/>
  <c r="S6" i="15"/>
  <c r="AE6" i="15"/>
  <c r="U6" i="15"/>
  <c r="AG6" i="15"/>
  <c r="V6" i="15"/>
  <c r="AH6" i="15"/>
  <c r="W6" i="15"/>
  <c r="X6" i="15"/>
  <c r="AA6" i="15"/>
  <c r="P6" i="15"/>
  <c r="Y6" i="15"/>
  <c r="Z6" i="15"/>
  <c r="AB6" i="15"/>
  <c r="AG5" i="15"/>
  <c r="AE5" i="15"/>
  <c r="P5" i="15"/>
  <c r="Q5" i="15" s="1"/>
  <c r="AF5" i="15"/>
  <c r="X3" i="15"/>
  <c r="Y3" i="15"/>
  <c r="Z3" i="15"/>
  <c r="AB3" i="15"/>
  <c r="AC3" i="15"/>
  <c r="AD3" i="15"/>
  <c r="P3" i="15"/>
  <c r="AE3" i="15"/>
  <c r="AH3" i="15"/>
  <c r="AG3" i="15"/>
  <c r="AF3" i="15"/>
  <c r="AG4" i="15"/>
  <c r="R4" i="15"/>
  <c r="AD4" i="15"/>
  <c r="S4" i="15"/>
  <c r="AE4" i="15"/>
  <c r="T4" i="15"/>
  <c r="AF4" i="15"/>
  <c r="V4" i="15"/>
  <c r="AH4" i="15"/>
  <c r="W4" i="15"/>
  <c r="X4" i="15"/>
  <c r="Y4" i="15"/>
  <c r="P4" i="15"/>
  <c r="AB4" i="15"/>
  <c r="Z4" i="15"/>
  <c r="AA4" i="15"/>
  <c r="U4" i="15"/>
  <c r="Q4" i="15"/>
  <c r="AA3" i="15"/>
  <c r="W3" i="15"/>
  <c r="AH2" i="15"/>
  <c r="AG2" i="15"/>
  <c r="AF2" i="15"/>
  <c r="AE2" i="15"/>
  <c r="AD2" i="15"/>
  <c r="C2" i="1"/>
  <c r="P2" i="15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C2" i="15"/>
  <c r="AA2" i="15"/>
  <c r="E1" i="5"/>
  <c r="AI12" i="5" l="1"/>
  <c r="AE20" i="5"/>
  <c r="AF20" i="5"/>
  <c r="AE18" i="5"/>
  <c r="AF18" i="5"/>
  <c r="AG20" i="5"/>
  <c r="AG18" i="5"/>
  <c r="AE19" i="5"/>
  <c r="AF19" i="5"/>
  <c r="AG19" i="5"/>
  <c r="AE15" i="5"/>
  <c r="AF15" i="5"/>
  <c r="AE14" i="5"/>
  <c r="AF14" i="5"/>
  <c r="AG14" i="5"/>
  <c r="AE17" i="5"/>
  <c r="AG17" i="5"/>
  <c r="AF17" i="5"/>
  <c r="AE16" i="5"/>
  <c r="AG16" i="5"/>
  <c r="AF16" i="5"/>
  <c r="AG15" i="5"/>
  <c r="C35" i="1"/>
  <c r="C38" i="1"/>
  <c r="C11" i="16" a="1"/>
  <c r="C11" i="16" s="1"/>
  <c r="A6" i="2" a="1"/>
  <c r="C4" i="1"/>
  <c r="C34" i="1"/>
  <c r="C18" i="1"/>
  <c r="C37" i="1"/>
  <c r="C36" i="1"/>
  <c r="F5" i="18"/>
  <c r="E26" i="18" a="1"/>
  <c r="E26" i="18" s="1"/>
  <c r="E14" i="18" a="1"/>
  <c r="E14" i="18" s="1"/>
  <c r="E20" i="18" a="1"/>
  <c r="E20" i="18" s="1"/>
  <c r="E23" i="18" a="1"/>
  <c r="E23" i="18" s="1"/>
  <c r="E30" i="18" a="1"/>
  <c r="E30" i="18" s="1"/>
  <c r="E16" i="18" a="1"/>
  <c r="E16" i="18" s="1"/>
  <c r="E18" i="18" a="1"/>
  <c r="E18" i="18" s="1"/>
  <c r="E33" i="18" a="1"/>
  <c r="E33" i="18" s="1"/>
  <c r="E13" i="18" a="1"/>
  <c r="E13" i="18" s="1"/>
  <c r="E28" i="18" a="1"/>
  <c r="E28" i="18" s="1"/>
  <c r="E34" i="18" a="1"/>
  <c r="E34" i="18" s="1"/>
  <c r="E36" i="18" a="1"/>
  <c r="E36" i="18" s="1"/>
  <c r="E8" i="18" a="1"/>
  <c r="E8" i="18" s="1"/>
  <c r="E15" i="18" a="1"/>
  <c r="E15" i="18" s="1"/>
  <c r="E17" i="18" a="1"/>
  <c r="E17" i="18" s="1"/>
  <c r="E19" i="18" a="1"/>
  <c r="E19" i="18" s="1"/>
  <c r="E25" i="18" a="1"/>
  <c r="E25" i="18" s="1"/>
  <c r="E32" i="18" a="1"/>
  <c r="E32" i="18" s="1"/>
  <c r="E10" i="18" a="1"/>
  <c r="E10" i="18" s="1"/>
  <c r="E22" i="18" a="1"/>
  <c r="E22" i="18" s="1"/>
  <c r="E29" i="18" a="1"/>
  <c r="E29" i="18" s="1"/>
  <c r="E38" i="18" a="1"/>
  <c r="E38" i="18" s="1"/>
  <c r="E7" i="18" a="1"/>
  <c r="E7" i="18" s="1"/>
  <c r="E37" i="18" a="1"/>
  <c r="E37" i="18" s="1"/>
  <c r="E27" i="18" a="1"/>
  <c r="E27" i="18" s="1"/>
  <c r="E24" i="18" a="1"/>
  <c r="E24" i="18" s="1"/>
  <c r="E6" i="18" a="1"/>
  <c r="E6" i="18" s="1"/>
  <c r="E21" i="18" a="1"/>
  <c r="E21" i="18" s="1"/>
  <c r="E39" i="18" a="1"/>
  <c r="E39" i="18" s="1"/>
  <c r="E9" i="18" a="1"/>
  <c r="E9" i="18" s="1"/>
  <c r="E11" i="18" a="1"/>
  <c r="E11" i="18" s="1"/>
  <c r="E31" i="18" a="1"/>
  <c r="E31" i="18" s="1"/>
  <c r="E12" i="18" a="1"/>
  <c r="E12" i="18" s="1"/>
  <c r="E35" i="18" a="1"/>
  <c r="E35" i="18" s="1"/>
  <c r="D4" i="17"/>
  <c r="F3" i="17"/>
  <c r="F2" i="17"/>
  <c r="E4" i="17"/>
  <c r="C26" i="16" a="1"/>
  <c r="C26" i="16" s="1"/>
  <c r="C32" i="1"/>
  <c r="C5" i="16" a="1"/>
  <c r="C5" i="16" s="1"/>
  <c r="C3" i="1"/>
  <c r="Q3" i="15"/>
  <c r="R5" i="15"/>
  <c r="C19" i="1" s="1"/>
  <c r="AE11" i="5"/>
  <c r="AE7" i="5"/>
  <c r="AH8" i="5"/>
  <c r="AJ9" i="5"/>
  <c r="AF12" i="5"/>
  <c r="AE13" i="5"/>
  <c r="AJ11" i="5"/>
  <c r="AG7" i="5"/>
  <c r="AI20" i="5"/>
  <c r="AI17" i="5"/>
  <c r="AJ19" i="5"/>
  <c r="AF9" i="5"/>
  <c r="AH18" i="5"/>
  <c r="AH16" i="5"/>
  <c r="AJ18" i="5"/>
  <c r="AI13" i="5"/>
  <c r="AH14" i="5"/>
  <c r="AI8" i="5"/>
  <c r="AJ8" i="5"/>
  <c r="AJ16" i="5"/>
  <c r="AI15" i="5"/>
  <c r="AG10" i="5"/>
  <c r="AH10" i="5"/>
  <c r="AE6" i="5"/>
  <c r="AG13" i="5"/>
  <c r="AH12" i="5"/>
  <c r="AI9" i="5"/>
  <c r="AG11" i="5"/>
  <c r="AI7" i="5"/>
  <c r="AE8" i="5"/>
  <c r="AI10" i="5"/>
  <c r="AI11" i="5"/>
  <c r="AJ14" i="5"/>
  <c r="AH20" i="5"/>
  <c r="AE9" i="5"/>
  <c r="AF8" i="5"/>
  <c r="AJ10" i="5"/>
  <c r="AI19" i="5"/>
  <c r="AJ12" i="5"/>
  <c r="AG6" i="5"/>
  <c r="AJ7" i="5"/>
  <c r="AF7" i="5"/>
  <c r="AE12" i="5"/>
  <c r="AH17" i="5"/>
  <c r="AF13" i="5"/>
  <c r="AJ20" i="5"/>
  <c r="AG9" i="5"/>
  <c r="AJ6" i="5"/>
  <c r="AE10" i="5"/>
  <c r="AH15" i="5"/>
  <c r="AF11" i="5"/>
  <c r="AI18" i="5"/>
  <c r="AG8" i="5"/>
  <c r="AF6" i="5"/>
  <c r="AF10" i="5"/>
  <c r="AJ17" i="5"/>
  <c r="AH13" i="5"/>
  <c r="AI16" i="5"/>
  <c r="AG12" i="5"/>
  <c r="AJ15" i="5"/>
  <c r="AH11" i="5"/>
  <c r="AI14" i="5"/>
  <c r="AH6" i="5"/>
  <c r="AI6" i="5"/>
  <c r="AH9" i="5"/>
  <c r="AH7" i="5"/>
  <c r="AJ13" i="5"/>
  <c r="AH19" i="5"/>
  <c r="D2" i="5"/>
  <c r="B1" i="13"/>
  <c r="A2" i="11" a="1"/>
  <c r="A2" i="11" s="1"/>
  <c r="C36" i="2" a="1"/>
  <c r="C36" i="2" l="1"/>
  <c r="A6" i="2"/>
  <c r="G5" i="18"/>
  <c r="F6" i="18" a="1"/>
  <c r="F6" i="18" s="1"/>
  <c r="F12" i="18" a="1"/>
  <c r="F12" i="18" s="1"/>
  <c r="F26" i="18" a="1"/>
  <c r="F26" i="18" s="1"/>
  <c r="F7" i="18" a="1"/>
  <c r="F7" i="18" s="1"/>
  <c r="F35" i="18" a="1"/>
  <c r="F35" i="18" s="1"/>
  <c r="F11" i="18" a="1"/>
  <c r="F11" i="18" s="1"/>
  <c r="F39" i="18" a="1"/>
  <c r="F39" i="18" s="1"/>
  <c r="F13" i="18" a="1"/>
  <c r="F13" i="18" s="1"/>
  <c r="F28" i="18" a="1"/>
  <c r="F28" i="18" s="1"/>
  <c r="F8" i="18" a="1"/>
  <c r="F8" i="18" s="1"/>
  <c r="F15" i="18" a="1"/>
  <c r="F15" i="18" s="1"/>
  <c r="F34" i="18" a="1"/>
  <c r="F34" i="18" s="1"/>
  <c r="F36" i="18" a="1"/>
  <c r="F36" i="18" s="1"/>
  <c r="F17" i="18" a="1"/>
  <c r="F17" i="18" s="1"/>
  <c r="F19" i="18" a="1"/>
  <c r="F19" i="18" s="1"/>
  <c r="F25" i="18" a="1"/>
  <c r="F25" i="18" s="1"/>
  <c r="F32" i="18" a="1"/>
  <c r="F32" i="18" s="1"/>
  <c r="F29" i="18" a="1"/>
  <c r="F29" i="18" s="1"/>
  <c r="F37" i="18" a="1"/>
  <c r="F37" i="18" s="1"/>
  <c r="F18" i="18" a="1"/>
  <c r="F18" i="18" s="1"/>
  <c r="F27" i="18" a="1"/>
  <c r="F27" i="18" s="1"/>
  <c r="F38" i="18" a="1"/>
  <c r="F38" i="18" s="1"/>
  <c r="F23" i="18" a="1"/>
  <c r="F23" i="18" s="1"/>
  <c r="F14" i="18" a="1"/>
  <c r="F14" i="18" s="1"/>
  <c r="F20" i="18" a="1"/>
  <c r="F20" i="18" s="1"/>
  <c r="F22" i="18" a="1"/>
  <c r="F22" i="18" s="1"/>
  <c r="F24" i="18" a="1"/>
  <c r="F24" i="18" s="1"/>
  <c r="F21" i="18" a="1"/>
  <c r="F21" i="18" s="1"/>
  <c r="F9" i="18" a="1"/>
  <c r="F9" i="18" s="1"/>
  <c r="F10" i="18" a="1"/>
  <c r="F10" i="18" s="1"/>
  <c r="F16" i="18" a="1"/>
  <c r="F16" i="18" s="1"/>
  <c r="F30" i="18" a="1"/>
  <c r="F30" i="18" s="1"/>
  <c r="F31" i="18" a="1"/>
  <c r="F31" i="18" s="1"/>
  <c r="F33" i="18" a="1"/>
  <c r="F33" i="18" s="1"/>
  <c r="F4" i="17"/>
  <c r="A1" i="18"/>
  <c r="C5" i="1"/>
  <c r="S5" i="15"/>
  <c r="C20" i="1" s="1"/>
  <c r="R3" i="15"/>
  <c r="J2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1" i="1"/>
  <c r="J32" i="1"/>
  <c r="J18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C33" i="2" a="1"/>
  <c r="C35" i="2" a="1"/>
  <c r="C34" i="2" a="1"/>
  <c r="C34" i="2" l="1"/>
  <c r="C35" i="2"/>
  <c r="C33" i="2"/>
  <c r="H5" i="18"/>
  <c r="G10" i="18" a="1"/>
  <c r="G10" i="18" s="1"/>
  <c r="G22" i="18" a="1"/>
  <c r="G22" i="18" s="1"/>
  <c r="G29" i="18" a="1"/>
  <c r="G29" i="18" s="1"/>
  <c r="G38" i="18" a="1"/>
  <c r="G38" i="18" s="1"/>
  <c r="G6" i="18" a="1"/>
  <c r="G6" i="18" s="1"/>
  <c r="G14" i="18" a="1"/>
  <c r="G14" i="18" s="1"/>
  <c r="G20" i="18" a="1"/>
  <c r="G20" i="18" s="1"/>
  <c r="G23" i="18" a="1"/>
  <c r="G23" i="18" s="1"/>
  <c r="G30" i="18" a="1"/>
  <c r="G30" i="18" s="1"/>
  <c r="G9" i="18" a="1"/>
  <c r="G9" i="18" s="1"/>
  <c r="G11" i="18" a="1"/>
  <c r="G11" i="18" s="1"/>
  <c r="G21" i="18" a="1"/>
  <c r="G21" i="18" s="1"/>
  <c r="G24" i="18" a="1"/>
  <c r="G24" i="18" s="1"/>
  <c r="G39" i="18" a="1"/>
  <c r="G39" i="18" s="1"/>
  <c r="G13" i="18" a="1"/>
  <c r="G13" i="18" s="1"/>
  <c r="G28" i="18" a="1"/>
  <c r="G28" i="18" s="1"/>
  <c r="G15" i="18" a="1"/>
  <c r="G15" i="18" s="1"/>
  <c r="G34" i="18" a="1"/>
  <c r="G34" i="18" s="1"/>
  <c r="G36" i="18" a="1"/>
  <c r="G36" i="18" s="1"/>
  <c r="G12" i="18" a="1"/>
  <c r="G12" i="18" s="1"/>
  <c r="G17" i="18" a="1"/>
  <c r="G17" i="18" s="1"/>
  <c r="G31" i="18" a="1"/>
  <c r="G31" i="18" s="1"/>
  <c r="G33" i="18" a="1"/>
  <c r="G33" i="18" s="1"/>
  <c r="G35" i="18" a="1"/>
  <c r="G35" i="18" s="1"/>
  <c r="G7" i="18" a="1"/>
  <c r="G7" i="18" s="1"/>
  <c r="G26" i="18" a="1"/>
  <c r="G26" i="18" s="1"/>
  <c r="G37" i="18" a="1"/>
  <c r="G37" i="18" s="1"/>
  <c r="G8" i="18" a="1"/>
  <c r="G8" i="18" s="1"/>
  <c r="G18" i="18" a="1"/>
  <c r="G18" i="18" s="1"/>
  <c r="G25" i="18" a="1"/>
  <c r="G25" i="18" s="1"/>
  <c r="G27" i="18" a="1"/>
  <c r="G27" i="18" s="1"/>
  <c r="G19" i="18" a="1"/>
  <c r="G19" i="18" s="1"/>
  <c r="G16" i="18" a="1"/>
  <c r="G16" i="18" s="1"/>
  <c r="G32" i="18" a="1"/>
  <c r="G32" i="18" s="1"/>
  <c r="S3" i="15"/>
  <c r="T5" i="15"/>
  <c r="C21" i="1" s="1"/>
  <c r="C6" i="1"/>
  <c r="J27" i="1"/>
  <c r="J28" i="1"/>
  <c r="J29" i="1"/>
  <c r="J30" i="1"/>
  <c r="J19" i="1"/>
  <c r="J20" i="1"/>
  <c r="J21" i="1"/>
  <c r="J22" i="1"/>
  <c r="J23" i="1"/>
  <c r="J24" i="1"/>
  <c r="J25" i="1"/>
  <c r="AA3" i="5"/>
  <c r="AB3" i="5"/>
  <c r="AC3" i="5"/>
  <c r="AD3" i="5"/>
  <c r="A28" i="12"/>
  <c r="B13" i="4"/>
  <c r="B13" i="13" s="1"/>
  <c r="C13" i="4"/>
  <c r="C13" i="13" s="1"/>
  <c r="D13" i="4"/>
  <c r="D13" i="13" s="1"/>
  <c r="E13" i="4"/>
  <c r="E13" i="13" s="1"/>
  <c r="F13" i="4"/>
  <c r="F13" i="13" s="1"/>
  <c r="G13" i="4"/>
  <c r="G13" i="13" s="1"/>
  <c r="H13" i="4"/>
  <c r="H13" i="13" s="1"/>
  <c r="I13" i="4"/>
  <c r="I13" i="13" s="1"/>
  <c r="J13" i="4"/>
  <c r="J13" i="13" s="1"/>
  <c r="K13" i="4"/>
  <c r="K13" i="13" s="1"/>
  <c r="L13" i="4"/>
  <c r="L13" i="13" s="1"/>
  <c r="M13" i="4"/>
  <c r="M13" i="13" s="1"/>
  <c r="N13" i="4"/>
  <c r="N13" i="13" s="1"/>
  <c r="O13" i="4"/>
  <c r="O13" i="13" s="1"/>
  <c r="P13" i="4"/>
  <c r="P13" i="13" s="1"/>
  <c r="Q13" i="4"/>
  <c r="Q13" i="13" s="1"/>
  <c r="R13" i="4"/>
  <c r="R13" i="13" s="1"/>
  <c r="S13" i="4"/>
  <c r="S13" i="13" s="1"/>
  <c r="T13" i="4"/>
  <c r="T13" i="13" s="1"/>
  <c r="U13" i="4"/>
  <c r="U13" i="13" s="1"/>
  <c r="V13" i="4"/>
  <c r="V13" i="13" s="1"/>
  <c r="W13" i="4"/>
  <c r="W13" i="13" s="1"/>
  <c r="X13" i="4"/>
  <c r="X13" i="13" s="1"/>
  <c r="B14" i="4"/>
  <c r="B14" i="13" s="1"/>
  <c r="C14" i="4"/>
  <c r="C14" i="13" s="1"/>
  <c r="D14" i="4"/>
  <c r="D14" i="13" s="1"/>
  <c r="E14" i="4"/>
  <c r="E14" i="13" s="1"/>
  <c r="F14" i="4"/>
  <c r="F14" i="13" s="1"/>
  <c r="G14" i="4"/>
  <c r="G14" i="13" s="1"/>
  <c r="H14" i="4"/>
  <c r="H14" i="13" s="1"/>
  <c r="I14" i="4"/>
  <c r="I14" i="13" s="1"/>
  <c r="J14" i="4"/>
  <c r="J14" i="13" s="1"/>
  <c r="K14" i="4"/>
  <c r="K14" i="13" s="1"/>
  <c r="L14" i="4"/>
  <c r="L14" i="13" s="1"/>
  <c r="M14" i="4"/>
  <c r="M14" i="13" s="1"/>
  <c r="N14" i="4"/>
  <c r="N14" i="13" s="1"/>
  <c r="O14" i="4"/>
  <c r="O14" i="13" s="1"/>
  <c r="P14" i="4"/>
  <c r="P14" i="13" s="1"/>
  <c r="Q14" i="4"/>
  <c r="Q14" i="13" s="1"/>
  <c r="R14" i="4"/>
  <c r="R14" i="13" s="1"/>
  <c r="S14" i="4"/>
  <c r="S14" i="13" s="1"/>
  <c r="T14" i="4"/>
  <c r="T14" i="13" s="1"/>
  <c r="U14" i="4"/>
  <c r="U14" i="13" s="1"/>
  <c r="V14" i="4"/>
  <c r="V14" i="13" s="1"/>
  <c r="W14" i="4"/>
  <c r="W14" i="13" s="1"/>
  <c r="X14" i="4"/>
  <c r="X14" i="13" s="1"/>
  <c r="B15" i="4"/>
  <c r="B15" i="13" s="1"/>
  <c r="C15" i="4"/>
  <c r="C15" i="13" s="1"/>
  <c r="D15" i="4"/>
  <c r="D15" i="13" s="1"/>
  <c r="E15" i="4"/>
  <c r="E15" i="13" s="1"/>
  <c r="F15" i="4"/>
  <c r="F15" i="13" s="1"/>
  <c r="G15" i="4"/>
  <c r="G15" i="13" s="1"/>
  <c r="H15" i="4"/>
  <c r="H15" i="13" s="1"/>
  <c r="I15" i="4"/>
  <c r="I15" i="13" s="1"/>
  <c r="J15" i="4"/>
  <c r="J15" i="13" s="1"/>
  <c r="K15" i="4"/>
  <c r="K15" i="13" s="1"/>
  <c r="L15" i="4"/>
  <c r="L15" i="13" s="1"/>
  <c r="M15" i="4"/>
  <c r="M15" i="13" s="1"/>
  <c r="N15" i="4"/>
  <c r="N15" i="13" s="1"/>
  <c r="O15" i="4"/>
  <c r="O15" i="13" s="1"/>
  <c r="P15" i="4"/>
  <c r="P15" i="13" s="1"/>
  <c r="Q15" i="4"/>
  <c r="Q15" i="13" s="1"/>
  <c r="R15" i="4"/>
  <c r="R15" i="13" s="1"/>
  <c r="S15" i="4"/>
  <c r="S15" i="13" s="1"/>
  <c r="T15" i="4"/>
  <c r="T15" i="13" s="1"/>
  <c r="U15" i="4"/>
  <c r="U15" i="13" s="1"/>
  <c r="V15" i="4"/>
  <c r="V15" i="13" s="1"/>
  <c r="W15" i="4"/>
  <c r="W15" i="13" s="1"/>
  <c r="X15" i="4"/>
  <c r="X15" i="13" s="1"/>
  <c r="B16" i="4"/>
  <c r="B16" i="13" s="1"/>
  <c r="C16" i="4"/>
  <c r="C16" i="13" s="1"/>
  <c r="D16" i="4"/>
  <c r="D16" i="13" s="1"/>
  <c r="E16" i="4"/>
  <c r="E16" i="13" s="1"/>
  <c r="F16" i="4"/>
  <c r="F16" i="13" s="1"/>
  <c r="G16" i="4"/>
  <c r="G16" i="13" s="1"/>
  <c r="H16" i="4"/>
  <c r="H16" i="13" s="1"/>
  <c r="I16" i="4"/>
  <c r="I16" i="13" s="1"/>
  <c r="J16" i="4"/>
  <c r="J16" i="13" s="1"/>
  <c r="K16" i="4"/>
  <c r="K16" i="13" s="1"/>
  <c r="L16" i="4"/>
  <c r="L16" i="13" s="1"/>
  <c r="M16" i="4"/>
  <c r="M16" i="13" s="1"/>
  <c r="N16" i="4"/>
  <c r="N16" i="13" s="1"/>
  <c r="O16" i="4"/>
  <c r="O16" i="13" s="1"/>
  <c r="P16" i="4"/>
  <c r="P16" i="13" s="1"/>
  <c r="Q16" i="4"/>
  <c r="Q16" i="13" s="1"/>
  <c r="R16" i="4"/>
  <c r="R16" i="13" s="1"/>
  <c r="S16" i="4"/>
  <c r="S16" i="13" s="1"/>
  <c r="T16" i="4"/>
  <c r="T16" i="13" s="1"/>
  <c r="U16" i="4"/>
  <c r="U16" i="13" s="1"/>
  <c r="V16" i="4"/>
  <c r="V16" i="13" s="1"/>
  <c r="W16" i="4"/>
  <c r="W16" i="13" s="1"/>
  <c r="X16" i="4"/>
  <c r="X16" i="13" s="1"/>
  <c r="B17" i="4"/>
  <c r="B17" i="13" s="1"/>
  <c r="C17" i="4"/>
  <c r="C17" i="13" s="1"/>
  <c r="D17" i="4"/>
  <c r="D17" i="13" s="1"/>
  <c r="E17" i="4"/>
  <c r="E17" i="13" s="1"/>
  <c r="F17" i="4"/>
  <c r="F17" i="13" s="1"/>
  <c r="G17" i="4"/>
  <c r="G17" i="13" s="1"/>
  <c r="H17" i="4"/>
  <c r="H17" i="13" s="1"/>
  <c r="I17" i="4"/>
  <c r="I17" i="13" s="1"/>
  <c r="J17" i="4"/>
  <c r="J17" i="13" s="1"/>
  <c r="K17" i="4"/>
  <c r="K17" i="13" s="1"/>
  <c r="L17" i="4"/>
  <c r="L17" i="13" s="1"/>
  <c r="M17" i="4"/>
  <c r="M17" i="13" s="1"/>
  <c r="N17" i="4"/>
  <c r="N17" i="13" s="1"/>
  <c r="O17" i="4"/>
  <c r="O17" i="13" s="1"/>
  <c r="P17" i="4"/>
  <c r="P17" i="13" s="1"/>
  <c r="Q17" i="4"/>
  <c r="Q17" i="13" s="1"/>
  <c r="R17" i="4"/>
  <c r="R17" i="13" s="1"/>
  <c r="S17" i="4"/>
  <c r="S17" i="13" s="1"/>
  <c r="T17" i="4"/>
  <c r="T17" i="13" s="1"/>
  <c r="U17" i="4"/>
  <c r="U17" i="13" s="1"/>
  <c r="V17" i="4"/>
  <c r="V17" i="13" s="1"/>
  <c r="W17" i="4"/>
  <c r="W17" i="13" s="1"/>
  <c r="X17" i="4"/>
  <c r="X17" i="13" s="1"/>
  <c r="B18" i="4"/>
  <c r="B18" i="13" s="1"/>
  <c r="C18" i="4"/>
  <c r="C18" i="13" s="1"/>
  <c r="D18" i="4"/>
  <c r="D18" i="13" s="1"/>
  <c r="E18" i="4"/>
  <c r="E18" i="13" s="1"/>
  <c r="F18" i="4"/>
  <c r="F18" i="13" s="1"/>
  <c r="G18" i="4"/>
  <c r="G18" i="13" s="1"/>
  <c r="H18" i="4"/>
  <c r="H18" i="13" s="1"/>
  <c r="I18" i="4"/>
  <c r="I18" i="13" s="1"/>
  <c r="J18" i="4"/>
  <c r="J18" i="13" s="1"/>
  <c r="K18" i="4"/>
  <c r="K18" i="13" s="1"/>
  <c r="L18" i="4"/>
  <c r="L18" i="13" s="1"/>
  <c r="M18" i="4"/>
  <c r="M18" i="13" s="1"/>
  <c r="N18" i="4"/>
  <c r="N18" i="13" s="1"/>
  <c r="O18" i="4"/>
  <c r="O18" i="13" s="1"/>
  <c r="P18" i="4"/>
  <c r="P18" i="13" s="1"/>
  <c r="Q18" i="4"/>
  <c r="Q18" i="13" s="1"/>
  <c r="R18" i="4"/>
  <c r="R18" i="13" s="1"/>
  <c r="S18" i="4"/>
  <c r="S18" i="13" s="1"/>
  <c r="T18" i="4"/>
  <c r="T18" i="13" s="1"/>
  <c r="U18" i="4"/>
  <c r="U18" i="13" s="1"/>
  <c r="V18" i="4"/>
  <c r="V18" i="13" s="1"/>
  <c r="W18" i="4"/>
  <c r="W18" i="13" s="1"/>
  <c r="X18" i="4"/>
  <c r="X18" i="13" s="1"/>
  <c r="B19" i="4"/>
  <c r="B19" i="13" s="1"/>
  <c r="C19" i="4"/>
  <c r="C19" i="13" s="1"/>
  <c r="D19" i="4"/>
  <c r="D19" i="13" s="1"/>
  <c r="E19" i="4"/>
  <c r="E19" i="13" s="1"/>
  <c r="F19" i="4"/>
  <c r="F19" i="13" s="1"/>
  <c r="G19" i="4"/>
  <c r="G19" i="13" s="1"/>
  <c r="H19" i="4"/>
  <c r="H19" i="13" s="1"/>
  <c r="I19" i="4"/>
  <c r="I19" i="13" s="1"/>
  <c r="J19" i="4"/>
  <c r="J19" i="13" s="1"/>
  <c r="K19" i="4"/>
  <c r="K19" i="13" s="1"/>
  <c r="L19" i="4"/>
  <c r="L19" i="13" s="1"/>
  <c r="M19" i="4"/>
  <c r="M19" i="13" s="1"/>
  <c r="N19" i="4"/>
  <c r="N19" i="13" s="1"/>
  <c r="O19" i="4"/>
  <c r="O19" i="13" s="1"/>
  <c r="P19" i="4"/>
  <c r="P19" i="13" s="1"/>
  <c r="Q19" i="4"/>
  <c r="Q19" i="13" s="1"/>
  <c r="R19" i="4"/>
  <c r="R19" i="13" s="1"/>
  <c r="S19" i="4"/>
  <c r="S19" i="13" s="1"/>
  <c r="T19" i="4"/>
  <c r="T19" i="13" s="1"/>
  <c r="U19" i="4"/>
  <c r="U19" i="13" s="1"/>
  <c r="V19" i="4"/>
  <c r="V19" i="13" s="1"/>
  <c r="W19" i="4"/>
  <c r="W19" i="13" s="1"/>
  <c r="X19" i="4"/>
  <c r="X19" i="13" s="1"/>
  <c r="B20" i="4"/>
  <c r="B20" i="13" s="1"/>
  <c r="C20" i="4"/>
  <c r="C20" i="13" s="1"/>
  <c r="D20" i="4"/>
  <c r="D20" i="13" s="1"/>
  <c r="E20" i="4"/>
  <c r="E20" i="13" s="1"/>
  <c r="F20" i="4"/>
  <c r="F20" i="13" s="1"/>
  <c r="G20" i="4"/>
  <c r="G20" i="13" s="1"/>
  <c r="H20" i="4"/>
  <c r="H20" i="13" s="1"/>
  <c r="I20" i="4"/>
  <c r="I20" i="13" s="1"/>
  <c r="J20" i="4"/>
  <c r="J20" i="13" s="1"/>
  <c r="K20" i="4"/>
  <c r="K20" i="13" s="1"/>
  <c r="L20" i="4"/>
  <c r="L20" i="13" s="1"/>
  <c r="M20" i="4"/>
  <c r="M20" i="13" s="1"/>
  <c r="N20" i="4"/>
  <c r="N20" i="13" s="1"/>
  <c r="O20" i="4"/>
  <c r="O20" i="13" s="1"/>
  <c r="P20" i="4"/>
  <c r="P20" i="13" s="1"/>
  <c r="Q20" i="4"/>
  <c r="Q20" i="13" s="1"/>
  <c r="R20" i="4"/>
  <c r="R20" i="13" s="1"/>
  <c r="S20" i="4"/>
  <c r="S20" i="13" s="1"/>
  <c r="T20" i="4"/>
  <c r="T20" i="13" s="1"/>
  <c r="U20" i="4"/>
  <c r="U20" i="13" s="1"/>
  <c r="V20" i="4"/>
  <c r="V20" i="13" s="1"/>
  <c r="W20" i="4"/>
  <c r="W20" i="13" s="1"/>
  <c r="X20" i="4"/>
  <c r="X20" i="13" s="1"/>
  <c r="B21" i="4"/>
  <c r="B21" i="13" s="1"/>
  <c r="C21" i="4"/>
  <c r="C21" i="13" s="1"/>
  <c r="D21" i="4"/>
  <c r="D21" i="13" s="1"/>
  <c r="E21" i="4"/>
  <c r="E21" i="13" s="1"/>
  <c r="F21" i="4"/>
  <c r="F21" i="13" s="1"/>
  <c r="G21" i="4"/>
  <c r="G21" i="13" s="1"/>
  <c r="H21" i="4"/>
  <c r="H21" i="13" s="1"/>
  <c r="I21" i="4"/>
  <c r="I21" i="13" s="1"/>
  <c r="J21" i="4"/>
  <c r="J21" i="13" s="1"/>
  <c r="K21" i="4"/>
  <c r="K21" i="13" s="1"/>
  <c r="L21" i="4"/>
  <c r="L21" i="13" s="1"/>
  <c r="M21" i="4"/>
  <c r="M21" i="13" s="1"/>
  <c r="N21" i="4"/>
  <c r="N21" i="13" s="1"/>
  <c r="O21" i="4"/>
  <c r="O21" i="13" s="1"/>
  <c r="P21" i="4"/>
  <c r="P21" i="13" s="1"/>
  <c r="Q21" i="4"/>
  <c r="Q21" i="13" s="1"/>
  <c r="R21" i="4"/>
  <c r="R21" i="13" s="1"/>
  <c r="S21" i="4"/>
  <c r="S21" i="13" s="1"/>
  <c r="T21" i="4"/>
  <c r="T21" i="13" s="1"/>
  <c r="U21" i="4"/>
  <c r="U21" i="13" s="1"/>
  <c r="V21" i="4"/>
  <c r="V21" i="13" s="1"/>
  <c r="W21" i="4"/>
  <c r="W21" i="13" s="1"/>
  <c r="X21" i="4"/>
  <c r="X21" i="13" s="1"/>
  <c r="B22" i="4"/>
  <c r="B22" i="13" s="1"/>
  <c r="C22" i="4"/>
  <c r="C22" i="13" s="1"/>
  <c r="D22" i="4"/>
  <c r="D22" i="13" s="1"/>
  <c r="E22" i="4"/>
  <c r="E22" i="13" s="1"/>
  <c r="F22" i="4"/>
  <c r="F22" i="13" s="1"/>
  <c r="G22" i="4"/>
  <c r="G22" i="13" s="1"/>
  <c r="H22" i="4"/>
  <c r="H22" i="13" s="1"/>
  <c r="I22" i="4"/>
  <c r="I22" i="13" s="1"/>
  <c r="J22" i="4"/>
  <c r="J22" i="13" s="1"/>
  <c r="K22" i="4"/>
  <c r="K22" i="13" s="1"/>
  <c r="L22" i="4"/>
  <c r="L22" i="13" s="1"/>
  <c r="M22" i="4"/>
  <c r="M22" i="13" s="1"/>
  <c r="N22" i="4"/>
  <c r="N22" i="13" s="1"/>
  <c r="O22" i="4"/>
  <c r="O22" i="13" s="1"/>
  <c r="P22" i="4"/>
  <c r="P22" i="13" s="1"/>
  <c r="Q22" i="4"/>
  <c r="Q22" i="13" s="1"/>
  <c r="R22" i="4"/>
  <c r="R22" i="13" s="1"/>
  <c r="S22" i="4"/>
  <c r="S22" i="13" s="1"/>
  <c r="T22" i="4"/>
  <c r="T22" i="13" s="1"/>
  <c r="U22" i="4"/>
  <c r="U22" i="13" s="1"/>
  <c r="V22" i="4"/>
  <c r="V22" i="13" s="1"/>
  <c r="W22" i="4"/>
  <c r="W22" i="13" s="1"/>
  <c r="X22" i="4"/>
  <c r="X22" i="13" s="1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D5" i="2"/>
  <c r="D36" i="2" a="1"/>
  <c r="D33" i="2" a="1"/>
  <c r="D34" i="2" a="1"/>
  <c r="D35" i="2" a="1"/>
  <c r="D20" i="2" l="1" a="1"/>
  <c r="D20" i="2" s="1"/>
  <c r="D24" i="2" a="1"/>
  <c r="D24" i="2" s="1"/>
  <c r="D28" i="2" a="1"/>
  <c r="D28" i="2" s="1"/>
  <c r="D19" i="2" a="1"/>
  <c r="D19" i="2" s="1"/>
  <c r="D10" i="2" a="1"/>
  <c r="D10" i="2" s="1"/>
  <c r="D15" i="2" a="1"/>
  <c r="D15" i="2" s="1"/>
  <c r="D27" i="2" a="1"/>
  <c r="D27" i="2" s="1"/>
  <c r="D11" i="2" a="1"/>
  <c r="D11" i="2" s="1"/>
  <c r="D16" i="2" a="1"/>
  <c r="D16" i="2" s="1"/>
  <c r="D13" i="2" a="1"/>
  <c r="D13" i="2" s="1"/>
  <c r="D22" i="2" a="1"/>
  <c r="D22" i="2" s="1"/>
  <c r="D6" i="2" a="1"/>
  <c r="D6" i="2" s="1"/>
  <c r="D26" i="2" a="1"/>
  <c r="D26" i="2" s="1"/>
  <c r="D7" i="2" a="1"/>
  <c r="D7" i="2" s="1"/>
  <c r="D12" i="2" a="1"/>
  <c r="D12" i="2" s="1"/>
  <c r="D23" i="2" a="1"/>
  <c r="D23" i="2" s="1"/>
  <c r="D17" i="2" a="1"/>
  <c r="D17" i="2" s="1"/>
  <c r="D29" i="2" a="1"/>
  <c r="D29" i="2" s="1"/>
  <c r="D18" i="2" a="1"/>
  <c r="D18" i="2" s="1"/>
  <c r="D8" i="2" a="1"/>
  <c r="D8" i="2" s="1"/>
  <c r="D21" i="2" a="1"/>
  <c r="D21" i="2" s="1"/>
  <c r="D9" i="2" a="1"/>
  <c r="D9" i="2" s="1"/>
  <c r="D14" i="2" a="1"/>
  <c r="D14" i="2" s="1"/>
  <c r="D25" i="2" a="1"/>
  <c r="D25" i="2" s="1"/>
  <c r="I5" i="18"/>
  <c r="H8" i="18" a="1"/>
  <c r="H8" i="18" s="1"/>
  <c r="H17" i="18" a="1"/>
  <c r="H17" i="18" s="1"/>
  <c r="H19" i="18" a="1"/>
  <c r="H19" i="18" s="1"/>
  <c r="H25" i="18" a="1"/>
  <c r="H25" i="18" s="1"/>
  <c r="H32" i="18" a="1"/>
  <c r="H32" i="18" s="1"/>
  <c r="H22" i="18" a="1"/>
  <c r="H22" i="18" s="1"/>
  <c r="H29" i="18" a="1"/>
  <c r="H29" i="18" s="1"/>
  <c r="H12" i="18" a="1"/>
  <c r="H12" i="18" s="1"/>
  <c r="H26" i="18" a="1"/>
  <c r="H26" i="18" s="1"/>
  <c r="H9" i="18" a="1"/>
  <c r="H9" i="18" s="1"/>
  <c r="H27" i="18" a="1"/>
  <c r="H27" i="18" s="1"/>
  <c r="H31" i="18" a="1"/>
  <c r="H31" i="18" s="1"/>
  <c r="H11" i="18" a="1"/>
  <c r="H11" i="18" s="1"/>
  <c r="H21" i="18" a="1"/>
  <c r="H21" i="18" s="1"/>
  <c r="H24" i="18" a="1"/>
  <c r="H24" i="18" s="1"/>
  <c r="H39" i="18" a="1"/>
  <c r="H39" i="18" s="1"/>
  <c r="H13" i="18" a="1"/>
  <c r="H13" i="18" s="1"/>
  <c r="H28" i="18" a="1"/>
  <c r="H28" i="18" s="1"/>
  <c r="H30" i="18" a="1"/>
  <c r="H30" i="18" s="1"/>
  <c r="H34" i="18" a="1"/>
  <c r="H34" i="18" s="1"/>
  <c r="H33" i="18" a="1"/>
  <c r="H33" i="18" s="1"/>
  <c r="H35" i="18" a="1"/>
  <c r="H35" i="18" s="1"/>
  <c r="H36" i="18" a="1"/>
  <c r="H36" i="18" s="1"/>
  <c r="H7" i="18" a="1"/>
  <c r="H7" i="18" s="1"/>
  <c r="H37" i="18" a="1"/>
  <c r="H37" i="18" s="1"/>
  <c r="H38" i="18" a="1"/>
  <c r="H38" i="18" s="1"/>
  <c r="H18" i="18" a="1"/>
  <c r="H18" i="18" s="1"/>
  <c r="H23" i="18" a="1"/>
  <c r="H23" i="18" s="1"/>
  <c r="H6" i="18" a="1"/>
  <c r="H6" i="18" s="1"/>
  <c r="H14" i="18" a="1"/>
  <c r="H14" i="18" s="1"/>
  <c r="H20" i="18" a="1"/>
  <c r="H20" i="18" s="1"/>
  <c r="H15" i="18" a="1"/>
  <c r="H15" i="18" s="1"/>
  <c r="H10" i="18" a="1"/>
  <c r="H10" i="18" s="1"/>
  <c r="H16" i="18" a="1"/>
  <c r="H16" i="18" s="1"/>
  <c r="D36" i="2"/>
  <c r="D33" i="2"/>
  <c r="D35" i="2"/>
  <c r="D34" i="2"/>
  <c r="U5" i="15"/>
  <c r="C22" i="1" s="1"/>
  <c r="C7" i="1"/>
  <c r="T3" i="15"/>
  <c r="A1" i="2"/>
  <c r="O3" i="5"/>
  <c r="C13" i="11" a="1"/>
  <c r="C13" i="11" s="1"/>
  <c r="Z3" i="5"/>
  <c r="C24" i="11" a="1"/>
  <c r="C24" i="11" s="1"/>
  <c r="N3" i="5"/>
  <c r="C12" i="11" a="1"/>
  <c r="C12" i="11" s="1"/>
  <c r="Y3" i="5"/>
  <c r="C23" i="11" a="1"/>
  <c r="C23" i="11" s="1"/>
  <c r="M3" i="5"/>
  <c r="C11" i="11" a="1"/>
  <c r="C11" i="11" s="1"/>
  <c r="C22" i="11" a="1"/>
  <c r="C22" i="11" s="1"/>
  <c r="X3" i="5"/>
  <c r="C10" i="11" a="1"/>
  <c r="C10" i="11" s="1"/>
  <c r="L3" i="5"/>
  <c r="C21" i="11" a="1"/>
  <c r="C21" i="11" s="1"/>
  <c r="W3" i="5"/>
  <c r="C9" i="11" a="1"/>
  <c r="C9" i="11" s="1"/>
  <c r="K3" i="5"/>
  <c r="C20" i="11" a="1"/>
  <c r="C20" i="11" s="1"/>
  <c r="V3" i="5"/>
  <c r="C8" i="11" a="1"/>
  <c r="C8" i="11" s="1"/>
  <c r="J3" i="5"/>
  <c r="C19" i="11" a="1"/>
  <c r="C19" i="11" s="1"/>
  <c r="U3" i="5"/>
  <c r="C7" i="11" a="1"/>
  <c r="C7" i="11" s="1"/>
  <c r="I3" i="5"/>
  <c r="B10" i="12"/>
  <c r="B22" i="12"/>
  <c r="A3" i="12"/>
  <c r="A6" i="12"/>
  <c r="A9" i="12"/>
  <c r="A12" i="12"/>
  <c r="A15" i="12"/>
  <c r="A18" i="12"/>
  <c r="A21" i="12"/>
  <c r="A24" i="12"/>
  <c r="A27" i="12"/>
  <c r="B11" i="12"/>
  <c r="B23" i="12"/>
  <c r="B12" i="12"/>
  <c r="B24" i="12"/>
  <c r="B13" i="12"/>
  <c r="B25" i="12"/>
  <c r="B14" i="12"/>
  <c r="B26" i="12"/>
  <c r="A5" i="12"/>
  <c r="A8" i="12"/>
  <c r="A11" i="12"/>
  <c r="A14" i="12"/>
  <c r="A17" i="12"/>
  <c r="A20" i="12"/>
  <c r="A23" i="12"/>
  <c r="A26" i="12"/>
  <c r="B3" i="12"/>
  <c r="B15" i="12"/>
  <c r="B27" i="12"/>
  <c r="B4" i="12"/>
  <c r="B16" i="12"/>
  <c r="B5" i="12"/>
  <c r="B17" i="12"/>
  <c r="B6" i="12"/>
  <c r="B18" i="12"/>
  <c r="A4" i="12"/>
  <c r="A7" i="12"/>
  <c r="A10" i="12"/>
  <c r="A13" i="12"/>
  <c r="A16" i="12"/>
  <c r="A19" i="12"/>
  <c r="A22" i="12"/>
  <c r="A25" i="12"/>
  <c r="B7" i="12"/>
  <c r="B19" i="12"/>
  <c r="B8" i="12"/>
  <c r="B20" i="12"/>
  <c r="B9" i="12"/>
  <c r="B21" i="12"/>
  <c r="C18" i="11" a="1"/>
  <c r="C18" i="11" s="1"/>
  <c r="T3" i="5"/>
  <c r="C6" i="11" a="1"/>
  <c r="C6" i="11" s="1"/>
  <c r="H3" i="5"/>
  <c r="C2" i="11" a="1"/>
  <c r="C2" i="11" s="1"/>
  <c r="B4" i="9"/>
  <c r="D3" i="5"/>
  <c r="C17" i="11" a="1"/>
  <c r="C17" i="11" s="1"/>
  <c r="S3" i="5"/>
  <c r="C5" i="11" a="1"/>
  <c r="C5" i="11" s="1"/>
  <c r="G3" i="5"/>
  <c r="C16" i="11" a="1"/>
  <c r="C16" i="11" s="1"/>
  <c r="R3" i="5"/>
  <c r="C4" i="11" a="1"/>
  <c r="C4" i="11" s="1"/>
  <c r="F3" i="5"/>
  <c r="C15" i="11" a="1"/>
  <c r="C15" i="11" s="1"/>
  <c r="Q3" i="5"/>
  <c r="C3" i="11" a="1"/>
  <c r="C3" i="11" s="1"/>
  <c r="E3" i="5"/>
  <c r="P3" i="5"/>
  <c r="C14" i="11" a="1"/>
  <c r="C14" i="11" s="1"/>
  <c r="E5" i="2"/>
  <c r="C1" i="4"/>
  <c r="E2" i="5"/>
  <c r="C1" i="13"/>
  <c r="A3" i="11" a="1"/>
  <c r="A3" i="11" s="1"/>
  <c r="A2" i="4" a="1"/>
  <c r="E36" i="2" a="1"/>
  <c r="E33" i="2" a="1"/>
  <c r="E35" i="2" a="1"/>
  <c r="E34" i="2" a="1"/>
  <c r="I8" i="18" a="1"/>
  <c r="I8" i="18" l="1"/>
  <c r="E8" i="2" a="1"/>
  <c r="E8" i="2" s="1"/>
  <c r="E10" i="2" a="1"/>
  <c r="E10" i="2" s="1"/>
  <c r="E12" i="2" a="1"/>
  <c r="E12" i="2" s="1"/>
  <c r="E14" i="2" a="1"/>
  <c r="E14" i="2" s="1"/>
  <c r="E16" i="2" a="1"/>
  <c r="E16" i="2" s="1"/>
  <c r="E18" i="2" a="1"/>
  <c r="E18" i="2" s="1"/>
  <c r="E21" i="2" a="1"/>
  <c r="E21" i="2" s="1"/>
  <c r="E22" i="2" a="1"/>
  <c r="E22" i="2" s="1"/>
  <c r="E20" i="2" a="1"/>
  <c r="E20" i="2" s="1"/>
  <c r="E24" i="2" a="1"/>
  <c r="E24" i="2" s="1"/>
  <c r="E28" i="2" a="1"/>
  <c r="E28" i="2" s="1"/>
  <c r="E9" i="2" a="1"/>
  <c r="E9" i="2" s="1"/>
  <c r="E25" i="2" a="1"/>
  <c r="E25" i="2" s="1"/>
  <c r="E19" i="2" a="1"/>
  <c r="E19" i="2" s="1"/>
  <c r="E27" i="2" a="1"/>
  <c r="E27" i="2" s="1"/>
  <c r="E15" i="2" a="1"/>
  <c r="E15" i="2" s="1"/>
  <c r="E23" i="2" a="1"/>
  <c r="E23" i="2" s="1"/>
  <c r="E11" i="2" a="1"/>
  <c r="E11" i="2" s="1"/>
  <c r="E29" i="2" a="1"/>
  <c r="E29" i="2" s="1"/>
  <c r="E7" i="2" a="1"/>
  <c r="E7" i="2" s="1"/>
  <c r="E17" i="2" a="1"/>
  <c r="E17" i="2" s="1"/>
  <c r="E6" i="2" a="1"/>
  <c r="E6" i="2" s="1"/>
  <c r="E13" i="2" a="1"/>
  <c r="E13" i="2" s="1"/>
  <c r="E26" i="2" a="1"/>
  <c r="E26" i="2" s="1"/>
  <c r="J5" i="18"/>
  <c r="E35" i="2"/>
  <c r="E33" i="2"/>
  <c r="E36" i="2"/>
  <c r="E34" i="2"/>
  <c r="U3" i="15"/>
  <c r="V5" i="15"/>
  <c r="C23" i="1" s="1"/>
  <c r="C8" i="1"/>
  <c r="F9" i="12"/>
  <c r="F12" i="12"/>
  <c r="F4" i="12"/>
  <c r="F7" i="12"/>
  <c r="F10" i="12"/>
  <c r="F15" i="12"/>
  <c r="F14" i="12"/>
  <c r="F11" i="12"/>
  <c r="F13" i="12"/>
  <c r="D25" i="12"/>
  <c r="H25" i="12"/>
  <c r="D21" i="12"/>
  <c r="H21" i="12"/>
  <c r="E11" i="12"/>
  <c r="C11" i="12"/>
  <c r="E12" i="12"/>
  <c r="C12" i="12"/>
  <c r="E10" i="12"/>
  <c r="C10" i="12"/>
  <c r="E9" i="12"/>
  <c r="C9" i="12"/>
  <c r="E18" i="12"/>
  <c r="C18" i="12"/>
  <c r="D22" i="12"/>
  <c r="H22" i="12"/>
  <c r="D8" i="12"/>
  <c r="H8" i="12"/>
  <c r="D14" i="12"/>
  <c r="H14" i="12"/>
  <c r="D10" i="12"/>
  <c r="H10" i="12"/>
  <c r="C24" i="12"/>
  <c r="F24" i="12"/>
  <c r="E17" i="12"/>
  <c r="C17" i="12"/>
  <c r="E6" i="12"/>
  <c r="C6" i="12"/>
  <c r="C21" i="12"/>
  <c r="F21" i="12"/>
  <c r="D7" i="12"/>
  <c r="H7" i="12"/>
  <c r="C25" i="12"/>
  <c r="F25" i="12"/>
  <c r="E15" i="12"/>
  <c r="C15" i="12"/>
  <c r="D4" i="12"/>
  <c r="H4" i="12"/>
  <c r="D18" i="12"/>
  <c r="H18" i="12"/>
  <c r="E20" i="12"/>
  <c r="C20" i="12"/>
  <c r="C23" i="12"/>
  <c r="F23" i="12"/>
  <c r="D16" i="12"/>
  <c r="H16" i="12"/>
  <c r="D23" i="12"/>
  <c r="H23" i="12"/>
  <c r="E16" i="12"/>
  <c r="C16" i="12"/>
  <c r="D19" i="12"/>
  <c r="H19" i="12"/>
  <c r="D26" i="12"/>
  <c r="H26" i="12"/>
  <c r="D12" i="12"/>
  <c r="H12" i="12"/>
  <c r="D17" i="12"/>
  <c r="H17" i="12"/>
  <c r="E7" i="12"/>
  <c r="C7" i="12"/>
  <c r="D11" i="12"/>
  <c r="H11" i="12"/>
  <c r="E8" i="12"/>
  <c r="C8" i="12"/>
  <c r="D9" i="12"/>
  <c r="H9" i="12"/>
  <c r="C22" i="12"/>
  <c r="F22" i="12"/>
  <c r="E19" i="12"/>
  <c r="C19" i="12"/>
  <c r="D20" i="12"/>
  <c r="H20" i="12"/>
  <c r="C26" i="12"/>
  <c r="F26" i="12"/>
  <c r="D24" i="12"/>
  <c r="H24" i="12"/>
  <c r="A2" i="12"/>
  <c r="F6" i="12"/>
  <c r="E13" i="12"/>
  <c r="C13" i="12"/>
  <c r="E14" i="12"/>
  <c r="C14" i="12"/>
  <c r="D13" i="12"/>
  <c r="H13" i="12"/>
  <c r="D6" i="12"/>
  <c r="H6" i="12"/>
  <c r="D15" i="12"/>
  <c r="H15" i="12"/>
  <c r="E4" i="12"/>
  <c r="C4" i="12"/>
  <c r="F5" i="2"/>
  <c r="D1" i="4"/>
  <c r="F2" i="5"/>
  <c r="A4" i="11" a="1"/>
  <c r="A4" i="11" s="1"/>
  <c r="D1" i="13"/>
  <c r="A11" i="13"/>
  <c r="A12" i="13"/>
  <c r="I12" i="4"/>
  <c r="I12" i="13" s="1"/>
  <c r="U12" i="4"/>
  <c r="U12" i="13" s="1"/>
  <c r="J12" i="4"/>
  <c r="J12" i="13" s="1"/>
  <c r="V12" i="4"/>
  <c r="V12" i="13" s="1"/>
  <c r="K12" i="4"/>
  <c r="K12" i="13" s="1"/>
  <c r="W12" i="4"/>
  <c r="W12" i="13" s="1"/>
  <c r="L12" i="4"/>
  <c r="L12" i="13" s="1"/>
  <c r="X12" i="4"/>
  <c r="X12" i="13" s="1"/>
  <c r="M12" i="4"/>
  <c r="M12" i="13" s="1"/>
  <c r="R12" i="4"/>
  <c r="R12" i="13" s="1"/>
  <c r="B12" i="4"/>
  <c r="B12" i="13" s="1"/>
  <c r="N12" i="4"/>
  <c r="N12" i="13" s="1"/>
  <c r="T12" i="4"/>
  <c r="T12" i="13" s="1"/>
  <c r="C12" i="4"/>
  <c r="C12" i="13" s="1"/>
  <c r="O12" i="4"/>
  <c r="O12" i="13" s="1"/>
  <c r="D12" i="4"/>
  <c r="D12" i="13" s="1"/>
  <c r="P12" i="4"/>
  <c r="P12" i="13" s="1"/>
  <c r="E12" i="4"/>
  <c r="E12" i="13" s="1"/>
  <c r="Q12" i="4"/>
  <c r="Q12" i="13" s="1"/>
  <c r="F12" i="4"/>
  <c r="F12" i="13" s="1"/>
  <c r="G12" i="4"/>
  <c r="G12" i="13" s="1"/>
  <c r="S12" i="4"/>
  <c r="S12" i="13" s="1"/>
  <c r="H12" i="4"/>
  <c r="H12" i="13" s="1"/>
  <c r="A3" i="13"/>
  <c r="A4" i="13"/>
  <c r="A8" i="13"/>
  <c r="A9" i="13"/>
  <c r="A10" i="13"/>
  <c r="A5" i="13"/>
  <c r="A6" i="13"/>
  <c r="A7" i="13"/>
  <c r="F16" i="12"/>
  <c r="F17" i="12"/>
  <c r="F18" i="12"/>
  <c r="F20" i="12"/>
  <c r="F8" i="12"/>
  <c r="F19" i="12"/>
  <c r="B11" i="4"/>
  <c r="B11" i="13" s="1"/>
  <c r="B9" i="4"/>
  <c r="B9" i="13" s="1"/>
  <c r="B8" i="4"/>
  <c r="B8" i="13" s="1"/>
  <c r="G2" i="12"/>
  <c r="A2" i="4"/>
  <c r="A2" i="13" s="1"/>
  <c r="F36" i="2" a="1"/>
  <c r="F34" i="2" a="1"/>
  <c r="F33" i="2" a="1"/>
  <c r="F35" i="2" a="1"/>
  <c r="I39" i="18" a="1"/>
  <c r="I21" i="18" a="1"/>
  <c r="I20" i="18" a="1"/>
  <c r="I9" i="18" a="1"/>
  <c r="I19" i="18" a="1"/>
  <c r="J8" i="18" a="1"/>
  <c r="I39" i="18" l="1"/>
  <c r="I21" i="18"/>
  <c r="I20" i="18"/>
  <c r="I19" i="18"/>
  <c r="I9" i="18"/>
  <c r="J8" i="18"/>
  <c r="K5" i="18"/>
  <c r="F8" i="2" a="1"/>
  <c r="F8" i="2" s="1"/>
  <c r="F10" i="2" a="1"/>
  <c r="F10" i="2" s="1"/>
  <c r="F12" i="2" a="1"/>
  <c r="F12" i="2" s="1"/>
  <c r="F14" i="2" a="1"/>
  <c r="F14" i="2" s="1"/>
  <c r="F16" i="2" a="1"/>
  <c r="F16" i="2" s="1"/>
  <c r="F18" i="2" a="1"/>
  <c r="F18" i="2" s="1"/>
  <c r="F21" i="2" a="1"/>
  <c r="F21" i="2" s="1"/>
  <c r="F7" i="2" a="1"/>
  <c r="F7" i="2" s="1"/>
  <c r="F9" i="2" a="1"/>
  <c r="F9" i="2" s="1"/>
  <c r="F11" i="2" a="1"/>
  <c r="F11" i="2" s="1"/>
  <c r="F13" i="2" a="1"/>
  <c r="F13" i="2" s="1"/>
  <c r="F15" i="2" a="1"/>
  <c r="F15" i="2" s="1"/>
  <c r="F17" i="2" a="1"/>
  <c r="F17" i="2" s="1"/>
  <c r="F19" i="2" a="1"/>
  <c r="F19" i="2" s="1"/>
  <c r="F20" i="2" a="1"/>
  <c r="F20" i="2" s="1"/>
  <c r="F26" i="2" a="1"/>
  <c r="F26" i="2" s="1"/>
  <c r="F25" i="2" a="1"/>
  <c r="F25" i="2" s="1"/>
  <c r="F24" i="2" a="1"/>
  <c r="F24" i="2" s="1"/>
  <c r="F28" i="2" a="1"/>
  <c r="F28" i="2" s="1"/>
  <c r="F29" i="2" a="1"/>
  <c r="F29" i="2" s="1"/>
  <c r="F22" i="2" a="1"/>
  <c r="F22" i="2" s="1"/>
  <c r="F23" i="2" a="1"/>
  <c r="F23" i="2" s="1"/>
  <c r="F27" i="2" a="1"/>
  <c r="F27" i="2" s="1"/>
  <c r="F6" i="2" a="1"/>
  <c r="F6" i="2" s="1"/>
  <c r="F33" i="2"/>
  <c r="F34" i="2"/>
  <c r="F36" i="2"/>
  <c r="F35" i="2"/>
  <c r="V3" i="15"/>
  <c r="C8" i="16" s="1" a="1"/>
  <c r="C8" i="16" s="1"/>
  <c r="W5" i="15"/>
  <c r="C24" i="1" s="1"/>
  <c r="C9" i="1"/>
  <c r="D9" i="4"/>
  <c r="D9" i="13" s="1"/>
  <c r="G15" i="12"/>
  <c r="C9" i="4"/>
  <c r="C9" i="13" s="1"/>
  <c r="C8" i="4"/>
  <c r="C8" i="13" s="1"/>
  <c r="F2" i="12"/>
  <c r="B2" i="12"/>
  <c r="E21" i="12"/>
  <c r="G21" i="12"/>
  <c r="D2" i="12"/>
  <c r="H2" i="12"/>
  <c r="E22" i="12"/>
  <c r="G22" i="12"/>
  <c r="E23" i="12"/>
  <c r="G23" i="12"/>
  <c r="E26" i="12"/>
  <c r="G26" i="12"/>
  <c r="E25" i="12"/>
  <c r="G25" i="12"/>
  <c r="E24" i="12"/>
  <c r="G24" i="12"/>
  <c r="E1" i="4"/>
  <c r="G2" i="5"/>
  <c r="E1" i="13"/>
  <c r="A5" i="11" a="1"/>
  <c r="A5" i="11" s="1"/>
  <c r="G5" i="2"/>
  <c r="C11" i="4"/>
  <c r="C11" i="13" s="1"/>
  <c r="G19" i="12"/>
  <c r="G13" i="12"/>
  <c r="G8" i="12"/>
  <c r="G10" i="12"/>
  <c r="G20" i="12"/>
  <c r="G14" i="12"/>
  <c r="G6" i="12"/>
  <c r="G4" i="12"/>
  <c r="G18" i="12"/>
  <c r="G7" i="12"/>
  <c r="G9" i="12"/>
  <c r="G17" i="12"/>
  <c r="G11" i="12"/>
  <c r="G12" i="12"/>
  <c r="G16" i="12"/>
  <c r="G36" i="2" a="1"/>
  <c r="C31" i="2" a="1"/>
  <c r="C32" i="2" a="1"/>
  <c r="G35" i="2" a="1"/>
  <c r="G33" i="2" a="1"/>
  <c r="G34" i="2" a="1"/>
  <c r="J39" i="18" a="1"/>
  <c r="I10" i="18" a="1"/>
  <c r="K8" i="18" a="1"/>
  <c r="J19" i="18" a="1"/>
  <c r="J21" i="18" a="1"/>
  <c r="J9" i="18" a="1"/>
  <c r="J20" i="18" a="1"/>
  <c r="J39" i="18" l="1"/>
  <c r="J21" i="18"/>
  <c r="J19" i="18"/>
  <c r="J20" i="18"/>
  <c r="I10" i="18"/>
  <c r="K8" i="18"/>
  <c r="J9" i="18"/>
  <c r="G7" i="2" a="1"/>
  <c r="G7" i="2" s="1"/>
  <c r="G9" i="2" a="1"/>
  <c r="G9" i="2" s="1"/>
  <c r="G11" i="2" a="1"/>
  <c r="G11" i="2" s="1"/>
  <c r="G13" i="2" a="1"/>
  <c r="G13" i="2" s="1"/>
  <c r="G15" i="2" a="1"/>
  <c r="G15" i="2" s="1"/>
  <c r="G17" i="2" a="1"/>
  <c r="G17" i="2" s="1"/>
  <c r="G19" i="2" a="1"/>
  <c r="G19" i="2" s="1"/>
  <c r="G23" i="2" a="1"/>
  <c r="G23" i="2" s="1"/>
  <c r="G27" i="2" a="1"/>
  <c r="G27" i="2" s="1"/>
  <c r="G14" i="2" a="1"/>
  <c r="G14" i="2" s="1"/>
  <c r="G20" i="2" a="1"/>
  <c r="G20" i="2" s="1"/>
  <c r="G6" i="2" a="1"/>
  <c r="G6" i="2" s="1"/>
  <c r="G26" i="2" a="1"/>
  <c r="G26" i="2" s="1"/>
  <c r="G10" i="2" a="1"/>
  <c r="G10" i="2" s="1"/>
  <c r="G25" i="2" a="1"/>
  <c r="G25" i="2" s="1"/>
  <c r="G28" i="2" a="1"/>
  <c r="G28" i="2" s="1"/>
  <c r="G16" i="2" a="1"/>
  <c r="G16" i="2" s="1"/>
  <c r="G24" i="2" a="1"/>
  <c r="G24" i="2" s="1"/>
  <c r="G12" i="2" a="1"/>
  <c r="G12" i="2" s="1"/>
  <c r="G8" i="2" a="1"/>
  <c r="G8" i="2" s="1"/>
  <c r="G18" i="2" a="1"/>
  <c r="G18" i="2" s="1"/>
  <c r="G21" i="2" a="1"/>
  <c r="G21" i="2" s="1"/>
  <c r="G22" i="2" a="1"/>
  <c r="G22" i="2" s="1"/>
  <c r="G29" i="2" a="1"/>
  <c r="G29" i="2" s="1"/>
  <c r="L5" i="18"/>
  <c r="C24" i="16" a="1"/>
  <c r="C24" i="16" s="1"/>
  <c r="G34" i="2"/>
  <c r="G35" i="2"/>
  <c r="G33" i="2"/>
  <c r="C31" i="2"/>
  <c r="G36" i="2"/>
  <c r="C32" i="2"/>
  <c r="X5" i="15"/>
  <c r="C25" i="1" s="1"/>
  <c r="C10" i="1"/>
  <c r="F5" i="12"/>
  <c r="C5" i="12"/>
  <c r="D8" i="4"/>
  <c r="D8" i="13" s="1"/>
  <c r="A6" i="11" a="1"/>
  <c r="A6" i="11" s="1"/>
  <c r="F1" i="4"/>
  <c r="H2" i="5"/>
  <c r="F1" i="13"/>
  <c r="H5" i="2"/>
  <c r="D11" i="4"/>
  <c r="D11" i="13" s="1"/>
  <c r="E11" i="4"/>
  <c r="E11" i="13" s="1"/>
  <c r="H36" i="2" a="1"/>
  <c r="H34" i="2" a="1"/>
  <c r="D31" i="2" a="1"/>
  <c r="K39" i="18" a="1"/>
  <c r="H35" i="2" a="1"/>
  <c r="H33" i="2" a="1"/>
  <c r="D32" i="2" a="1"/>
  <c r="C30" i="2" a="1"/>
  <c r="I25" i="18" a="1"/>
  <c r="I11" i="18" a="1"/>
  <c r="J10" i="18" a="1"/>
  <c r="K19" i="18" a="1"/>
  <c r="K9" i="18" a="1"/>
  <c r="L8" i="18" a="1"/>
  <c r="K20" i="18" a="1"/>
  <c r="K21" i="18" a="1"/>
  <c r="K39" i="18" l="1"/>
  <c r="I25" i="18"/>
  <c r="K21" i="18"/>
  <c r="K19" i="18"/>
  <c r="K20" i="18"/>
  <c r="K9" i="18"/>
  <c r="L8" i="18"/>
  <c r="I11" i="18"/>
  <c r="J10" i="18"/>
  <c r="M5" i="18"/>
  <c r="H20" i="2" a="1"/>
  <c r="H20" i="2" s="1"/>
  <c r="H8" i="2" a="1"/>
  <c r="H8" i="2" s="1"/>
  <c r="H10" i="2" a="1"/>
  <c r="H10" i="2" s="1"/>
  <c r="H12" i="2" a="1"/>
  <c r="H12" i="2" s="1"/>
  <c r="H14" i="2" a="1"/>
  <c r="H14" i="2" s="1"/>
  <c r="H16" i="2" a="1"/>
  <c r="H16" i="2" s="1"/>
  <c r="H18" i="2" a="1"/>
  <c r="H18" i="2" s="1"/>
  <c r="H21" i="2" a="1"/>
  <c r="H21" i="2" s="1"/>
  <c r="H7" i="2" a="1"/>
  <c r="H7" i="2" s="1"/>
  <c r="H9" i="2" a="1"/>
  <c r="H9" i="2" s="1"/>
  <c r="H11" i="2" a="1"/>
  <c r="H11" i="2" s="1"/>
  <c r="H13" i="2" a="1"/>
  <c r="H13" i="2" s="1"/>
  <c r="H15" i="2" a="1"/>
  <c r="H15" i="2" s="1"/>
  <c r="H17" i="2" a="1"/>
  <c r="H17" i="2" s="1"/>
  <c r="H19" i="2" a="1"/>
  <c r="H19" i="2" s="1"/>
  <c r="H23" i="2" a="1"/>
  <c r="H23" i="2" s="1"/>
  <c r="H27" i="2" a="1"/>
  <c r="H27" i="2" s="1"/>
  <c r="H22" i="2" a="1"/>
  <c r="H22" i="2" s="1"/>
  <c r="H6" i="2" a="1"/>
  <c r="H6" i="2" s="1"/>
  <c r="H26" i="2" a="1"/>
  <c r="H26" i="2" s="1"/>
  <c r="H25" i="2" a="1"/>
  <c r="H25" i="2" s="1"/>
  <c r="H28" i="2" a="1"/>
  <c r="H28" i="2" s="1"/>
  <c r="H24" i="2" a="1"/>
  <c r="H24" i="2" s="1"/>
  <c r="H29" i="2" a="1"/>
  <c r="H29" i="2" s="1"/>
  <c r="C30" i="2"/>
  <c r="H35" i="2"/>
  <c r="H33" i="2"/>
  <c r="D32" i="2"/>
  <c r="H36" i="2"/>
  <c r="H34" i="2"/>
  <c r="D31" i="2"/>
  <c r="H5" i="12"/>
  <c r="D5" i="12"/>
  <c r="E5" i="12"/>
  <c r="G5" i="12"/>
  <c r="Y5" i="15"/>
  <c r="C26" i="1" s="1"/>
  <c r="C11" i="1"/>
  <c r="B7" i="4"/>
  <c r="B7" i="13" s="1"/>
  <c r="B10" i="4"/>
  <c r="B10" i="13" s="1"/>
  <c r="H27" i="12"/>
  <c r="D27" i="12"/>
  <c r="C27" i="12"/>
  <c r="F27" i="12"/>
  <c r="E9" i="4"/>
  <c r="E9" i="13" s="1"/>
  <c r="E8" i="4"/>
  <c r="E8" i="13" s="1"/>
  <c r="A7" i="11" a="1"/>
  <c r="A7" i="11" s="1"/>
  <c r="G1" i="13"/>
  <c r="G1" i="4"/>
  <c r="I2" i="5"/>
  <c r="I5" i="2"/>
  <c r="F11" i="4"/>
  <c r="F11" i="13" s="1"/>
  <c r="I36" i="2" a="1"/>
  <c r="I33" i="2" a="1"/>
  <c r="D30" i="2" a="1"/>
  <c r="L39" i="18" a="1"/>
  <c r="I35" i="2" a="1"/>
  <c r="E32" i="2" a="1"/>
  <c r="E31" i="2" a="1"/>
  <c r="I34" i="2" a="1"/>
  <c r="I18" i="2" a="1"/>
  <c r="I17" i="2" a="1"/>
  <c r="I26" i="18" a="1"/>
  <c r="I12" i="18" a="1"/>
  <c r="I11" i="2" a="1"/>
  <c r="I10" i="2" a="1"/>
  <c r="I9" i="2" a="1"/>
  <c r="I8" i="2" a="1"/>
  <c r="I16" i="2" a="1"/>
  <c r="L9" i="18" a="1"/>
  <c r="M8" i="18" a="1"/>
  <c r="L21" i="18" a="1"/>
  <c r="J11" i="18" a="1"/>
  <c r="L20" i="18" a="1"/>
  <c r="K10" i="18" a="1"/>
  <c r="L19" i="18" a="1"/>
  <c r="J25" i="18" a="1"/>
  <c r="L39" i="18" l="1"/>
  <c r="I26" i="18"/>
  <c r="J25" i="18"/>
  <c r="L21" i="18"/>
  <c r="L19" i="18"/>
  <c r="L20" i="18"/>
  <c r="J11" i="18"/>
  <c r="K10" i="18"/>
  <c r="M8" i="18"/>
  <c r="I17" i="2"/>
  <c r="I16" i="2"/>
  <c r="I18" i="2"/>
  <c r="I8" i="2"/>
  <c r="I9" i="2"/>
  <c r="I10" i="2"/>
  <c r="I11" i="2"/>
  <c r="I12" i="18"/>
  <c r="L9" i="18"/>
  <c r="N5" i="18"/>
  <c r="D30" i="2"/>
  <c r="I33" i="2"/>
  <c r="I34" i="2"/>
  <c r="I36" i="2"/>
  <c r="E31" i="2"/>
  <c r="E32" i="2"/>
  <c r="I35" i="2"/>
  <c r="Z5" i="15"/>
  <c r="C27" i="1" s="1"/>
  <c r="C12" i="1"/>
  <c r="C7" i="4"/>
  <c r="C7" i="13" s="1"/>
  <c r="D7" i="4"/>
  <c r="D7" i="13" s="1"/>
  <c r="D10" i="4"/>
  <c r="D10" i="13" s="1"/>
  <c r="C10" i="4"/>
  <c r="C10" i="13" s="1"/>
  <c r="E27" i="12"/>
  <c r="G27" i="12"/>
  <c r="F8" i="4"/>
  <c r="F8" i="13" s="1"/>
  <c r="F9" i="4"/>
  <c r="F9" i="13" s="1"/>
  <c r="G9" i="4"/>
  <c r="G9" i="13" s="1"/>
  <c r="G8" i="4"/>
  <c r="G8" i="13" s="1"/>
  <c r="A8" i="11" a="1"/>
  <c r="A8" i="11" s="1"/>
  <c r="H1" i="13"/>
  <c r="H1" i="4"/>
  <c r="J2" i="5"/>
  <c r="J5" i="2"/>
  <c r="G11" i="4"/>
  <c r="G11" i="13" s="1"/>
  <c r="H11" i="4"/>
  <c r="H11" i="13" s="1"/>
  <c r="J36" i="2" a="1"/>
  <c r="I33" i="18" a="1"/>
  <c r="I22" i="2" a="1"/>
  <c r="I27" i="2" a="1"/>
  <c r="J34" i="2" a="1"/>
  <c r="I29" i="2" a="1"/>
  <c r="I28" i="2" a="1"/>
  <c r="I19" i="2" a="1"/>
  <c r="I26" i="2" a="1"/>
  <c r="I25" i="2" a="1"/>
  <c r="I24" i="2" a="1"/>
  <c r="J33" i="2" a="1"/>
  <c r="F31" i="2" a="1"/>
  <c r="J35" i="2" a="1"/>
  <c r="I21" i="2" a="1"/>
  <c r="M39" i="18" a="1"/>
  <c r="I20" i="2" a="1"/>
  <c r="E30" i="2" a="1"/>
  <c r="F32" i="2" a="1"/>
  <c r="I23" i="2" a="1"/>
  <c r="I27" i="18" a="1"/>
  <c r="I12" i="2" a="1"/>
  <c r="I13" i="18" a="1"/>
  <c r="N8" i="18" a="1"/>
  <c r="J18" i="2" a="1"/>
  <c r="M20" i="18" a="1"/>
  <c r="J9" i="2" a="1"/>
  <c r="M21" i="18" a="1"/>
  <c r="J11" i="2" a="1"/>
  <c r="J16" i="2" a="1"/>
  <c r="J17" i="2" a="1"/>
  <c r="K11" i="18" a="1"/>
  <c r="J26" i="18" a="1"/>
  <c r="M19" i="18" a="1"/>
  <c r="J8" i="2" a="1"/>
  <c r="M9" i="18" a="1"/>
  <c r="J12" i="18" a="1"/>
  <c r="K25" i="18" a="1"/>
  <c r="L10" i="18" a="1"/>
  <c r="J10" i="2" a="1"/>
  <c r="I33" i="18" l="1"/>
  <c r="I23" i="2"/>
  <c r="I20" i="2"/>
  <c r="M39" i="18"/>
  <c r="I21" i="2"/>
  <c r="I24" i="2"/>
  <c r="I25" i="2"/>
  <c r="I26" i="2"/>
  <c r="I19" i="2"/>
  <c r="I28" i="2"/>
  <c r="I29" i="2"/>
  <c r="I27" i="2"/>
  <c r="I22" i="2"/>
  <c r="K25" i="18"/>
  <c r="I27" i="18"/>
  <c r="J26" i="18"/>
  <c r="I12" i="2"/>
  <c r="M21" i="18"/>
  <c r="M20" i="18"/>
  <c r="M19" i="18"/>
  <c r="N8" i="18"/>
  <c r="M9" i="18"/>
  <c r="J17" i="2"/>
  <c r="J16" i="2"/>
  <c r="J18" i="2"/>
  <c r="J8" i="2"/>
  <c r="J9" i="2"/>
  <c r="J10" i="2"/>
  <c r="J11" i="2"/>
  <c r="J12" i="18"/>
  <c r="L10" i="18"/>
  <c r="I13" i="18"/>
  <c r="K11" i="18"/>
  <c r="O5" i="18"/>
  <c r="E30" i="2"/>
  <c r="F32" i="2"/>
  <c r="J33" i="2"/>
  <c r="F31" i="2"/>
  <c r="J36" i="2"/>
  <c r="J35" i="2"/>
  <c r="J34" i="2"/>
  <c r="AA5" i="15"/>
  <c r="C28" i="1" s="1"/>
  <c r="C13" i="1"/>
  <c r="E7" i="4"/>
  <c r="E7" i="13" s="1"/>
  <c r="F7" i="4"/>
  <c r="F7" i="13" s="1"/>
  <c r="F10" i="4"/>
  <c r="F10" i="13" s="1"/>
  <c r="E10" i="4"/>
  <c r="E10" i="13" s="1"/>
  <c r="H10" i="4"/>
  <c r="H10" i="13" s="1"/>
  <c r="I1" i="13"/>
  <c r="A9" i="11" a="1"/>
  <c r="A9" i="11" s="1"/>
  <c r="I1" i="4"/>
  <c r="K2" i="5"/>
  <c r="K5" i="2"/>
  <c r="H8" i="4"/>
  <c r="H8" i="13" s="1"/>
  <c r="J11" i="4"/>
  <c r="J11" i="13" s="1"/>
  <c r="I11" i="4"/>
  <c r="I11" i="13" s="1"/>
  <c r="K36" i="2" a="1"/>
  <c r="I34" i="18" a="1"/>
  <c r="I15" i="2" a="1"/>
  <c r="J33" i="18" a="1"/>
  <c r="J22" i="2" a="1"/>
  <c r="K34" i="2" a="1"/>
  <c r="J26" i="2" a="1"/>
  <c r="K35" i="2" a="1"/>
  <c r="J28" i="2" a="1"/>
  <c r="K33" i="2" a="1"/>
  <c r="J21" i="2" a="1"/>
  <c r="J23" i="2" a="1"/>
  <c r="J25" i="2" a="1"/>
  <c r="G32" i="2" a="1"/>
  <c r="F30" i="2" a="1"/>
  <c r="J20" i="2" a="1"/>
  <c r="J27" i="2" a="1"/>
  <c r="J29" i="2" a="1"/>
  <c r="N39" i="18" a="1"/>
  <c r="J24" i="2" a="1"/>
  <c r="G31" i="2" a="1"/>
  <c r="I14" i="2" a="1"/>
  <c r="I15" i="18" a="1"/>
  <c r="I14" i="18" a="1"/>
  <c r="I28" i="18" a="1"/>
  <c r="I13" i="2" a="1"/>
  <c r="J27" i="18" a="1"/>
  <c r="K12" i="18" a="1"/>
  <c r="K8" i="2" a="1"/>
  <c r="J13" i="18" a="1"/>
  <c r="K18" i="2" a="1"/>
  <c r="N19" i="18" a="1"/>
  <c r="N9" i="18" a="1"/>
  <c r="K17" i="2" a="1"/>
  <c r="K16" i="2" a="1"/>
  <c r="K26" i="18" a="1"/>
  <c r="L11" i="18" a="1"/>
  <c r="K10" i="2" a="1"/>
  <c r="J12" i="2" a="1"/>
  <c r="N20" i="18" a="1"/>
  <c r="N21" i="18" a="1"/>
  <c r="O8" i="18" a="1"/>
  <c r="L25" i="18" a="1"/>
  <c r="J19" i="2" a="1"/>
  <c r="K9" i="2" a="1"/>
  <c r="K11" i="2" a="1"/>
  <c r="M10" i="18" a="1"/>
  <c r="J33" i="18" l="1"/>
  <c r="I15" i="2"/>
  <c r="I34" i="18"/>
  <c r="J24" i="2"/>
  <c r="N39" i="18"/>
  <c r="J19" i="2"/>
  <c r="J29" i="2"/>
  <c r="J27" i="2"/>
  <c r="J20" i="2"/>
  <c r="J25" i="2"/>
  <c r="J23" i="2"/>
  <c r="J21" i="2"/>
  <c r="J28" i="2"/>
  <c r="J26" i="2"/>
  <c r="J22" i="2"/>
  <c r="I28" i="18"/>
  <c r="K26" i="18"/>
  <c r="J27" i="18"/>
  <c r="L25" i="18"/>
  <c r="I15" i="18"/>
  <c r="I13" i="2"/>
  <c r="J12" i="2"/>
  <c r="N21" i="18"/>
  <c r="N19" i="18"/>
  <c r="N20" i="18"/>
  <c r="O8" i="18"/>
  <c r="L11" i="18"/>
  <c r="J13" i="18"/>
  <c r="M10" i="18"/>
  <c r="N9" i="18"/>
  <c r="K12" i="18"/>
  <c r="I14" i="18"/>
  <c r="K17" i="2"/>
  <c r="K16" i="2"/>
  <c r="K18" i="2"/>
  <c r="K8" i="2"/>
  <c r="K9" i="2"/>
  <c r="K10" i="2"/>
  <c r="K11" i="2"/>
  <c r="P5" i="18"/>
  <c r="I14" i="2"/>
  <c r="F30" i="2"/>
  <c r="K34" i="2"/>
  <c r="K33" i="2"/>
  <c r="K35" i="2"/>
  <c r="G31" i="2"/>
  <c r="K36" i="2"/>
  <c r="G32" i="2"/>
  <c r="AB5" i="15"/>
  <c r="C29" i="1" s="1"/>
  <c r="C14" i="1"/>
  <c r="H7" i="4"/>
  <c r="H7" i="13" s="1"/>
  <c r="G7" i="4"/>
  <c r="G7" i="13" s="1"/>
  <c r="G10" i="4"/>
  <c r="G10" i="13" s="1"/>
  <c r="H9" i="4"/>
  <c r="H9" i="13" s="1"/>
  <c r="I9" i="4"/>
  <c r="I9" i="13" s="1"/>
  <c r="J1" i="13"/>
  <c r="A10" i="11" a="1"/>
  <c r="A10" i="11" s="1"/>
  <c r="J1" i="4"/>
  <c r="L2" i="5"/>
  <c r="L5" i="2"/>
  <c r="I10" i="4"/>
  <c r="I10" i="13" s="1"/>
  <c r="I8" i="4"/>
  <c r="I8" i="13" s="1"/>
  <c r="K11" i="4"/>
  <c r="K11" i="13" s="1"/>
  <c r="L36" i="2" a="1"/>
  <c r="I6" i="2" a="1"/>
  <c r="J34" i="18" a="1"/>
  <c r="I35" i="18" a="1"/>
  <c r="K33" i="18" a="1"/>
  <c r="G30" i="2" a="1"/>
  <c r="K25" i="2" a="1"/>
  <c r="H31" i="2" a="1"/>
  <c r="O39" i="18" a="1"/>
  <c r="K20" i="2" a="1"/>
  <c r="L34" i="2" a="1"/>
  <c r="L33" i="2" a="1"/>
  <c r="K26" i="2" a="1"/>
  <c r="L35" i="2" a="1"/>
  <c r="K24" i="2" a="1"/>
  <c r="K22" i="2" a="1"/>
  <c r="K29" i="2" a="1"/>
  <c r="K27" i="2" a="1"/>
  <c r="K28" i="2" a="1"/>
  <c r="K21" i="2" a="1"/>
  <c r="K23" i="2" a="1"/>
  <c r="H32" i="2" a="1"/>
  <c r="J28" i="18" a="1"/>
  <c r="I29" i="18" a="1"/>
  <c r="I6" i="18" a="1"/>
  <c r="K27" i="18" a="1"/>
  <c r="L8" i="2" a="1"/>
  <c r="L18" i="2" a="1"/>
  <c r="L12" i="18" a="1"/>
  <c r="L17" i="2" a="1"/>
  <c r="K19" i="2" a="1"/>
  <c r="J13" i="2" a="1"/>
  <c r="L11" i="2" a="1"/>
  <c r="J14" i="18" a="1"/>
  <c r="K12" i="2" a="1"/>
  <c r="L10" i="2" a="1"/>
  <c r="J15" i="2" a="1"/>
  <c r="J15" i="18" a="1"/>
  <c r="O20" i="18" a="1"/>
  <c r="N10" i="18" a="1"/>
  <c r="L9" i="2" a="1"/>
  <c r="L26" i="18" a="1"/>
  <c r="J14" i="2" a="1"/>
  <c r="M25" i="18" a="1"/>
  <c r="M11" i="18" a="1"/>
  <c r="O21" i="18" a="1"/>
  <c r="P8" i="18" a="1"/>
  <c r="L16" i="2" a="1"/>
  <c r="K13" i="18" a="1"/>
  <c r="O19" i="18" a="1"/>
  <c r="O9" i="18" a="1"/>
  <c r="K33" i="18" l="1"/>
  <c r="I35" i="18"/>
  <c r="J34" i="18"/>
  <c r="I6" i="2"/>
  <c r="J15" i="2"/>
  <c r="K19" i="2"/>
  <c r="K23" i="2"/>
  <c r="K21" i="2"/>
  <c r="K28" i="2"/>
  <c r="K27" i="2"/>
  <c r="K29" i="2"/>
  <c r="K22" i="2"/>
  <c r="K24" i="2"/>
  <c r="K26" i="2"/>
  <c r="K20" i="2"/>
  <c r="O39" i="18"/>
  <c r="K25" i="2"/>
  <c r="M25" i="18"/>
  <c r="K27" i="18"/>
  <c r="I29" i="18"/>
  <c r="L26" i="18"/>
  <c r="J28" i="18"/>
  <c r="K12" i="2"/>
  <c r="I6" i="18"/>
  <c r="J13" i="2"/>
  <c r="J15" i="18"/>
  <c r="O21" i="18"/>
  <c r="O19" i="18"/>
  <c r="O20" i="18"/>
  <c r="P8" i="18"/>
  <c r="L12" i="18"/>
  <c r="O9" i="18"/>
  <c r="N10" i="18"/>
  <c r="K13" i="18"/>
  <c r="M11" i="18"/>
  <c r="L17" i="2"/>
  <c r="L16" i="2"/>
  <c r="L18" i="2"/>
  <c r="L8" i="2"/>
  <c r="L9" i="2"/>
  <c r="L10" i="2"/>
  <c r="L11" i="2"/>
  <c r="J14" i="18"/>
  <c r="Q5" i="18"/>
  <c r="J14" i="2"/>
  <c r="G30" i="2"/>
  <c r="L35" i="2"/>
  <c r="H31" i="2"/>
  <c r="H32" i="2"/>
  <c r="L33" i="2"/>
  <c r="L36" i="2"/>
  <c r="L34" i="2"/>
  <c r="AC5" i="15"/>
  <c r="C30" i="1" s="1"/>
  <c r="C15" i="1"/>
  <c r="I7" i="4"/>
  <c r="I7" i="13" s="1"/>
  <c r="J7" i="4"/>
  <c r="J7" i="13" s="1"/>
  <c r="J10" i="4"/>
  <c r="J10" i="13" s="1"/>
  <c r="J9" i="4"/>
  <c r="J9" i="13" s="1"/>
  <c r="K1" i="13"/>
  <c r="A11" i="11" a="1"/>
  <c r="A11" i="11" s="1"/>
  <c r="M2" i="5"/>
  <c r="K1" i="4"/>
  <c r="M5" i="2"/>
  <c r="J8" i="4"/>
  <c r="J8" i="13" s="1"/>
  <c r="L11" i="4"/>
  <c r="L11" i="13" s="1"/>
  <c r="M36" i="2" a="1"/>
  <c r="L33" i="18" a="1"/>
  <c r="J35" i="18" a="1"/>
  <c r="K34" i="18" a="1"/>
  <c r="I36" i="18" a="1"/>
  <c r="I7" i="2" a="1"/>
  <c r="L27" i="2" a="1"/>
  <c r="I31" i="2" a="1"/>
  <c r="L26" i="2" a="1"/>
  <c r="H30" i="2" a="1"/>
  <c r="L25" i="2" a="1"/>
  <c r="I32" i="2" a="1"/>
  <c r="L24" i="2" a="1"/>
  <c r="P39" i="18" a="1"/>
  <c r="M34" i="2" a="1"/>
  <c r="M35" i="2" a="1"/>
  <c r="L23" i="2" a="1"/>
  <c r="M33" i="2" a="1"/>
  <c r="L29" i="2" a="1"/>
  <c r="L21" i="2" a="1"/>
  <c r="L22" i="2" a="1"/>
  <c r="L20" i="2" a="1"/>
  <c r="L28" i="2" a="1"/>
  <c r="I7" i="18" a="1"/>
  <c r="L27" i="18" a="1"/>
  <c r="I30" i="18" a="1"/>
  <c r="J29" i="18" a="1"/>
  <c r="K28" i="18" a="1"/>
  <c r="O10" i="18" a="1"/>
  <c r="P20" i="18" a="1"/>
  <c r="J6" i="18" a="1"/>
  <c r="L12" i="2" a="1"/>
  <c r="M17" i="2" a="1"/>
  <c r="N11" i="18" a="1"/>
  <c r="K14" i="2" a="1"/>
  <c r="L19" i="2" a="1"/>
  <c r="M9" i="2" a="1"/>
  <c r="K14" i="18" a="1"/>
  <c r="P9" i="18" a="1"/>
  <c r="J6" i="2" a="1"/>
  <c r="M12" i="18" a="1"/>
  <c r="M11" i="2" a="1"/>
  <c r="M10" i="2" a="1"/>
  <c r="M16" i="2" a="1"/>
  <c r="K13" i="2" a="1"/>
  <c r="K15" i="2" a="1"/>
  <c r="M8" i="2" a="1"/>
  <c r="N25" i="18" a="1"/>
  <c r="P21" i="18" a="1"/>
  <c r="P19" i="18" a="1"/>
  <c r="M26" i="18" a="1"/>
  <c r="Q8" i="18" a="1"/>
  <c r="M18" i="2" a="1"/>
  <c r="L13" i="18" a="1"/>
  <c r="K15" i="18" a="1"/>
  <c r="I7" i="2" l="1"/>
  <c r="I36" i="18"/>
  <c r="K15" i="2"/>
  <c r="J6" i="2"/>
  <c r="K34" i="18"/>
  <c r="J35" i="18"/>
  <c r="L33" i="18"/>
  <c r="L28" i="2"/>
  <c r="L20" i="2"/>
  <c r="L22" i="2"/>
  <c r="L21" i="2"/>
  <c r="L29" i="2"/>
  <c r="L19" i="2"/>
  <c r="L23" i="2"/>
  <c r="P39" i="18"/>
  <c r="L24" i="2"/>
  <c r="L25" i="2"/>
  <c r="L26" i="2"/>
  <c r="L27" i="2"/>
  <c r="K28" i="18"/>
  <c r="M26" i="18"/>
  <c r="J29" i="18"/>
  <c r="I30" i="18"/>
  <c r="L27" i="18"/>
  <c r="N25" i="18"/>
  <c r="K15" i="18"/>
  <c r="I7" i="18"/>
  <c r="K13" i="2"/>
  <c r="J6" i="18"/>
  <c r="L12" i="2"/>
  <c r="P21" i="18"/>
  <c r="P19" i="18"/>
  <c r="P20" i="18"/>
  <c r="Q8" i="18"/>
  <c r="N11" i="18"/>
  <c r="K14" i="18"/>
  <c r="L13" i="18"/>
  <c r="O10" i="18"/>
  <c r="P9" i="18"/>
  <c r="M12" i="18"/>
  <c r="M17" i="2"/>
  <c r="M16" i="2"/>
  <c r="M18" i="2"/>
  <c r="M8" i="2"/>
  <c r="M9" i="2"/>
  <c r="M10" i="2"/>
  <c r="M11" i="2"/>
  <c r="R5" i="18"/>
  <c r="K14" i="2"/>
  <c r="H30" i="2"/>
  <c r="M34" i="2"/>
  <c r="M36" i="2"/>
  <c r="I31" i="2"/>
  <c r="I32" i="2"/>
  <c r="M33" i="2"/>
  <c r="M35" i="2"/>
  <c r="AD5" i="15"/>
  <c r="C16" i="1"/>
  <c r="K9" i="4"/>
  <c r="K9" i="13" s="1"/>
  <c r="K8" i="4"/>
  <c r="K8" i="13" s="1"/>
  <c r="K7" i="4"/>
  <c r="K7" i="13" s="1"/>
  <c r="K10" i="4"/>
  <c r="K10" i="13" s="1"/>
  <c r="L1" i="13"/>
  <c r="A12" i="11" a="1"/>
  <c r="A12" i="11" s="1"/>
  <c r="L1" i="4"/>
  <c r="N2" i="5"/>
  <c r="N5" i="2"/>
  <c r="M11" i="4"/>
  <c r="M11" i="13" s="1"/>
  <c r="N36" i="2" a="1"/>
  <c r="J36" i="18" a="1"/>
  <c r="L34" i="18" a="1"/>
  <c r="K35" i="18" a="1"/>
  <c r="M33" i="18" a="1"/>
  <c r="I22" i="18" a="1"/>
  <c r="M27" i="2" a="1"/>
  <c r="M23" i="2" a="1"/>
  <c r="J32" i="2" a="1"/>
  <c r="M20" i="2" a="1"/>
  <c r="M24" i="2" a="1"/>
  <c r="N34" i="2" a="1"/>
  <c r="Q39" i="18" a="1"/>
  <c r="M28" i="2" a="1"/>
  <c r="J31" i="2" a="1"/>
  <c r="M26" i="2" a="1"/>
  <c r="I30" i="2" a="1"/>
  <c r="N35" i="2" a="1"/>
  <c r="M22" i="2" a="1"/>
  <c r="M21" i="2" a="1"/>
  <c r="M25" i="2" a="1"/>
  <c r="N33" i="2" a="1"/>
  <c r="M29" i="2" a="1"/>
  <c r="I16" i="18" a="1"/>
  <c r="K29" i="18" a="1"/>
  <c r="J30" i="18" a="1"/>
  <c r="M27" i="18" a="1"/>
  <c r="L28" i="18" a="1"/>
  <c r="M13" i="18" a="1"/>
  <c r="Q20" i="18" a="1"/>
  <c r="Q19" i="18" a="1"/>
  <c r="N17" i="2" a="1"/>
  <c r="N26" i="18" a="1"/>
  <c r="L14" i="18" a="1"/>
  <c r="L15" i="18" a="1"/>
  <c r="O25" i="18" a="1"/>
  <c r="Q9" i="18" a="1"/>
  <c r="R8" i="18" a="1"/>
  <c r="K6" i="18" a="1"/>
  <c r="N11" i="2" a="1"/>
  <c r="N8" i="2" a="1"/>
  <c r="N16" i="2" a="1"/>
  <c r="J7" i="2" a="1"/>
  <c r="M19" i="2" a="1"/>
  <c r="K6" i="2" a="1"/>
  <c r="L13" i="2" a="1"/>
  <c r="Q21" i="18" a="1"/>
  <c r="M12" i="2" a="1"/>
  <c r="N12" i="18" a="1"/>
  <c r="L15" i="2" a="1"/>
  <c r="L14" i="2" a="1"/>
  <c r="P10" i="18" a="1"/>
  <c r="N10" i="2" a="1"/>
  <c r="J7" i="18" a="1"/>
  <c r="N18" i="2" a="1"/>
  <c r="N9" i="2" a="1"/>
  <c r="O11" i="18" a="1"/>
  <c r="J7" i="2" l="1"/>
  <c r="I22" i="18"/>
  <c r="M33" i="18"/>
  <c r="K35" i="18"/>
  <c r="L34" i="18"/>
  <c r="K6" i="2"/>
  <c r="L15" i="2"/>
  <c r="J36" i="18"/>
  <c r="M29" i="2"/>
  <c r="M25" i="2"/>
  <c r="M21" i="2"/>
  <c r="M22" i="2"/>
  <c r="M26" i="2"/>
  <c r="M28" i="2"/>
  <c r="Q39" i="18"/>
  <c r="M24" i="2"/>
  <c r="M20" i="2"/>
  <c r="M23" i="2"/>
  <c r="M19" i="2"/>
  <c r="M27" i="2"/>
  <c r="O25" i="18"/>
  <c r="M27" i="18"/>
  <c r="J30" i="18"/>
  <c r="K29" i="18"/>
  <c r="N26" i="18"/>
  <c r="I16" i="18"/>
  <c r="L28" i="18"/>
  <c r="C31" i="1"/>
  <c r="C20" i="16" a="1"/>
  <c r="C20" i="16" s="1"/>
  <c r="M12" i="2"/>
  <c r="K6" i="18"/>
  <c r="L13" i="2"/>
  <c r="J7" i="18"/>
  <c r="L15" i="18"/>
  <c r="Q21" i="18"/>
  <c r="Q19" i="18"/>
  <c r="Q20" i="18"/>
  <c r="R8" i="18"/>
  <c r="Q9" i="18"/>
  <c r="P10" i="18"/>
  <c r="M13" i="18"/>
  <c r="L14" i="18"/>
  <c r="O11" i="18"/>
  <c r="N16" i="2"/>
  <c r="N17" i="2"/>
  <c r="N18" i="2"/>
  <c r="N8" i="2"/>
  <c r="N9" i="2"/>
  <c r="N10" i="2"/>
  <c r="N11" i="2"/>
  <c r="N12" i="18"/>
  <c r="S5" i="18"/>
  <c r="L14" i="2"/>
  <c r="I30" i="2"/>
  <c r="C17" i="1"/>
  <c r="C7" i="16" a="1"/>
  <c r="C7" i="16" s="1"/>
  <c r="J32" i="2"/>
  <c r="N34" i="2"/>
  <c r="N35" i="2"/>
  <c r="J31" i="2"/>
  <c r="N36" i="2"/>
  <c r="N33" i="2"/>
  <c r="B1" i="4"/>
  <c r="L10" i="4"/>
  <c r="L10" i="13" s="1"/>
  <c r="L9" i="4"/>
  <c r="L9" i="13" s="1"/>
  <c r="L7" i="4"/>
  <c r="L7" i="13" s="1"/>
  <c r="L8" i="4"/>
  <c r="L8" i="13" s="1"/>
  <c r="M1" i="4"/>
  <c r="O2" i="5"/>
  <c r="A13" i="11" a="1"/>
  <c r="A13" i="11" s="1"/>
  <c r="M1" i="13"/>
  <c r="O5" i="2"/>
  <c r="N11" i="4"/>
  <c r="N11" i="13" s="1"/>
  <c r="O36" i="2" a="1"/>
  <c r="I38" i="18" a="1"/>
  <c r="I24" i="18" a="1"/>
  <c r="N33" i="18" a="1"/>
  <c r="L35" i="18" a="1"/>
  <c r="M34" i="18" a="1"/>
  <c r="I23" i="18" a="1"/>
  <c r="I37" i="18" a="1"/>
  <c r="K36" i="18" a="1"/>
  <c r="N23" i="2" a="1"/>
  <c r="O34" i="2" a="1"/>
  <c r="N21" i="2" a="1"/>
  <c r="N25" i="2" a="1"/>
  <c r="N24" i="2" a="1"/>
  <c r="N20" i="2" a="1"/>
  <c r="N28" i="2" a="1"/>
  <c r="N27" i="2" a="1"/>
  <c r="K32" i="2" a="1"/>
  <c r="N29" i="2" a="1"/>
  <c r="J30" i="2" a="1"/>
  <c r="R39" i="18" a="1"/>
  <c r="N26" i="2" a="1"/>
  <c r="K31" i="2" a="1"/>
  <c r="O33" i="2" a="1"/>
  <c r="N22" i="2" a="1"/>
  <c r="O35" i="2" a="1"/>
  <c r="M28" i="18" a="1"/>
  <c r="I17" i="18" a="1"/>
  <c r="K30" i="18" a="1"/>
  <c r="I18" i="18" a="1"/>
  <c r="I32" i="18" a="1"/>
  <c r="I31" i="18" a="1"/>
  <c r="L29" i="18" a="1"/>
  <c r="N27" i="18" a="1"/>
  <c r="M14" i="18" a="1"/>
  <c r="N19" i="2" a="1"/>
  <c r="R20" i="18" a="1"/>
  <c r="P25" i="18" a="1"/>
  <c r="O26" i="18" a="1"/>
  <c r="O16" i="2" a="1"/>
  <c r="O12" i="18" a="1"/>
  <c r="L6" i="2" a="1"/>
  <c r="M14" i="2" a="1"/>
  <c r="O11" i="2" a="1"/>
  <c r="J16" i="18" a="1"/>
  <c r="M13" i="2" a="1"/>
  <c r="N13" i="18" a="1"/>
  <c r="Q10" i="18" a="1"/>
  <c r="N12" i="2" a="1"/>
  <c r="S8" i="18" a="1"/>
  <c r="O17" i="2" a="1"/>
  <c r="R19" i="18" a="1"/>
  <c r="K7" i="18" a="1"/>
  <c r="J22" i="18" a="1"/>
  <c r="O18" i="2" a="1"/>
  <c r="R21" i="18" a="1"/>
  <c r="O9" i="2" a="1"/>
  <c r="O10" i="2" a="1"/>
  <c r="O8" i="2" a="1"/>
  <c r="L6" i="18" a="1"/>
  <c r="M15" i="2" a="1"/>
  <c r="M15" i="18" a="1"/>
  <c r="R9" i="18" a="1"/>
  <c r="K7" i="2" a="1"/>
  <c r="P11" i="18" a="1"/>
  <c r="I24" i="18" l="1"/>
  <c r="I38" i="18"/>
  <c r="J22" i="18"/>
  <c r="K7" i="2"/>
  <c r="K36" i="18"/>
  <c r="I37" i="18"/>
  <c r="M15" i="2"/>
  <c r="I23" i="18"/>
  <c r="L6" i="2"/>
  <c r="M34" i="18"/>
  <c r="L35" i="18"/>
  <c r="N33" i="18"/>
  <c r="N22" i="2"/>
  <c r="N19" i="2"/>
  <c r="N26" i="2"/>
  <c r="R39" i="18"/>
  <c r="N29" i="2"/>
  <c r="N27" i="2"/>
  <c r="N28" i="2"/>
  <c r="N20" i="2"/>
  <c r="N24" i="2"/>
  <c r="N25" i="2"/>
  <c r="N21" i="2"/>
  <c r="N23" i="2"/>
  <c r="I32" i="18"/>
  <c r="I18" i="18"/>
  <c r="I31" i="18"/>
  <c r="O26" i="18"/>
  <c r="L29" i="18"/>
  <c r="K30" i="18"/>
  <c r="I17" i="18"/>
  <c r="J16" i="18"/>
  <c r="M28" i="18"/>
  <c r="N27" i="18"/>
  <c r="P25" i="18"/>
  <c r="N12" i="2"/>
  <c r="M15" i="18"/>
  <c r="K7" i="18"/>
  <c r="M13" i="2"/>
  <c r="L6" i="18"/>
  <c r="R21" i="18"/>
  <c r="R20" i="18"/>
  <c r="R19" i="18"/>
  <c r="S8" i="18"/>
  <c r="P11" i="18"/>
  <c r="O12" i="18"/>
  <c r="M14" i="18"/>
  <c r="N13" i="18"/>
  <c r="Q10" i="18"/>
  <c r="O16" i="2"/>
  <c r="O17" i="2"/>
  <c r="O18" i="2"/>
  <c r="O8" i="2"/>
  <c r="O9" i="2"/>
  <c r="O10" i="2"/>
  <c r="O11" i="2"/>
  <c r="R9" i="18"/>
  <c r="T5" i="18"/>
  <c r="M14" i="2"/>
  <c r="D40" i="18"/>
  <c r="D41" i="18"/>
  <c r="D42" i="18"/>
  <c r="K5" i="8"/>
  <c r="J30" i="2"/>
  <c r="O33" i="2"/>
  <c r="O34" i="2"/>
  <c r="O36" i="2"/>
  <c r="K31" i="2"/>
  <c r="K32" i="2"/>
  <c r="O35" i="2"/>
  <c r="H3" i="12"/>
  <c r="D3" i="12"/>
  <c r="C3" i="12"/>
  <c r="F3" i="12"/>
  <c r="M8" i="4"/>
  <c r="M8" i="13" s="1"/>
  <c r="M9" i="4"/>
  <c r="M9" i="13" s="1"/>
  <c r="M10" i="4"/>
  <c r="M10" i="13" s="1"/>
  <c r="N1" i="4"/>
  <c r="P2" i="5"/>
  <c r="N1" i="13"/>
  <c r="A14" i="11" a="1"/>
  <c r="A14" i="11" s="1"/>
  <c r="P5" i="2"/>
  <c r="M7" i="4"/>
  <c r="M7" i="13" s="1"/>
  <c r="O11" i="4"/>
  <c r="O11" i="13" s="1"/>
  <c r="P36" i="2" a="1"/>
  <c r="J38" i="18" a="1"/>
  <c r="L36" i="18" a="1"/>
  <c r="J37" i="18" a="1"/>
  <c r="N34" i="18" a="1"/>
  <c r="M35" i="18" a="1"/>
  <c r="O33" i="18" a="1"/>
  <c r="O22" i="2" a="1"/>
  <c r="O20" i="2" a="1"/>
  <c r="L32" i="2" a="1"/>
  <c r="O23" i="2" a="1"/>
  <c r="O28" i="2" a="1"/>
  <c r="P35" i="2" a="1"/>
  <c r="O29" i="2" a="1"/>
  <c r="P34" i="2" a="1"/>
  <c r="L31" i="2" a="1"/>
  <c r="O21" i="2" a="1"/>
  <c r="K30" i="2" a="1"/>
  <c r="O25" i="2" a="1"/>
  <c r="P33" i="2" a="1"/>
  <c r="O27" i="2" a="1"/>
  <c r="O26" i="2" a="1"/>
  <c r="S39" i="18" a="1"/>
  <c r="O24" i="2" a="1"/>
  <c r="N28" i="18" a="1"/>
  <c r="O27" i="18" a="1"/>
  <c r="J31" i="18" a="1"/>
  <c r="M29" i="18" a="1"/>
  <c r="L30" i="18" a="1"/>
  <c r="J32" i="18" a="1"/>
  <c r="S21" i="18" a="1"/>
  <c r="M6" i="18" a="1"/>
  <c r="P17" i="2" a="1"/>
  <c r="P11" i="2" a="1"/>
  <c r="P12" i="18" a="1"/>
  <c r="S9" i="18" a="1"/>
  <c r="J24" i="18" a="1"/>
  <c r="P26" i="18" a="1"/>
  <c r="Q25" i="18" a="1"/>
  <c r="P16" i="2" a="1"/>
  <c r="P18" i="2" a="1"/>
  <c r="J17" i="18" a="1"/>
  <c r="O19" i="2" a="1"/>
  <c r="N15" i="18" a="1"/>
  <c r="M6" i="2" a="1"/>
  <c r="N15" i="2" a="1"/>
  <c r="P8" i="2" a="1"/>
  <c r="T8" i="18" a="1"/>
  <c r="S19" i="18" a="1"/>
  <c r="N14" i="2" a="1"/>
  <c r="P10" i="2" a="1"/>
  <c r="O13" i="18" a="1"/>
  <c r="S20" i="18" a="1"/>
  <c r="N14" i="18" a="1"/>
  <c r="L7" i="18" a="1"/>
  <c r="N13" i="2" a="1"/>
  <c r="O12" i="2" a="1"/>
  <c r="K16" i="18" a="1"/>
  <c r="K22" i="18" a="1"/>
  <c r="L7" i="2" a="1"/>
  <c r="Q11" i="18" a="1"/>
  <c r="J23" i="18" a="1"/>
  <c r="J18" i="18" a="1"/>
  <c r="P9" i="2" a="1"/>
  <c r="R10" i="18" a="1"/>
  <c r="J24" i="18" l="1"/>
  <c r="J38" i="18"/>
  <c r="O33" i="18"/>
  <c r="M35" i="18"/>
  <c r="N34" i="18"/>
  <c r="M6" i="2"/>
  <c r="J23" i="18"/>
  <c r="N15" i="2"/>
  <c r="J37" i="18"/>
  <c r="L36" i="18"/>
  <c r="L7" i="2"/>
  <c r="K22" i="18"/>
  <c r="O24" i="2"/>
  <c r="O19" i="2"/>
  <c r="S39" i="18"/>
  <c r="O26" i="2"/>
  <c r="O27" i="2"/>
  <c r="O25" i="2"/>
  <c r="O21" i="2"/>
  <c r="O29" i="2"/>
  <c r="O28" i="2"/>
  <c r="O23" i="2"/>
  <c r="O20" i="2"/>
  <c r="O22" i="2"/>
  <c r="J18" i="18"/>
  <c r="J32" i="18"/>
  <c r="Q25" i="18"/>
  <c r="O27" i="18"/>
  <c r="N28" i="18"/>
  <c r="J17" i="18"/>
  <c r="L30" i="18"/>
  <c r="K16" i="18"/>
  <c r="M29" i="18"/>
  <c r="P26" i="18"/>
  <c r="J31" i="18"/>
  <c r="O12" i="2"/>
  <c r="M6" i="18"/>
  <c r="N13" i="2"/>
  <c r="L7" i="18"/>
  <c r="N15" i="18"/>
  <c r="S21" i="18"/>
  <c r="S20" i="18"/>
  <c r="S19" i="18"/>
  <c r="T8" i="18"/>
  <c r="R10" i="18"/>
  <c r="Q11" i="18"/>
  <c r="S9" i="18"/>
  <c r="O13" i="18"/>
  <c r="N14" i="18"/>
  <c r="P17" i="2"/>
  <c r="P16" i="2"/>
  <c r="P18" i="2"/>
  <c r="P8" i="2"/>
  <c r="P9" i="2"/>
  <c r="P10" i="2"/>
  <c r="P11" i="2"/>
  <c r="P12" i="18"/>
  <c r="U5" i="18"/>
  <c r="N14" i="2"/>
  <c r="E40" i="18"/>
  <c r="E42" i="18"/>
  <c r="F42" i="18" s="1"/>
  <c r="E41" i="18"/>
  <c r="C1" i="18"/>
  <c r="C2" i="18" s="1"/>
  <c r="K30" i="2"/>
  <c r="P34" i="2"/>
  <c r="P33" i="2"/>
  <c r="L32" i="2"/>
  <c r="L31" i="2"/>
  <c r="P35" i="2"/>
  <c r="P36" i="2"/>
  <c r="E3" i="12"/>
  <c r="G3" i="12"/>
  <c r="N9" i="4"/>
  <c r="N9" i="13" s="1"/>
  <c r="N8" i="4"/>
  <c r="N8" i="13" s="1"/>
  <c r="N7" i="4"/>
  <c r="N7" i="13" s="1"/>
  <c r="N10" i="4"/>
  <c r="N10" i="13" s="1"/>
  <c r="O1" i="4"/>
  <c r="Q2" i="5"/>
  <c r="O1" i="13"/>
  <c r="A15" i="11" a="1"/>
  <c r="A15" i="11" s="1"/>
  <c r="Q5" i="2"/>
  <c r="P11" i="4"/>
  <c r="P11" i="13" s="1"/>
  <c r="Q36" i="2" a="1"/>
  <c r="K38" i="18" a="1"/>
  <c r="N35" i="18" a="1"/>
  <c r="O34" i="18" a="1"/>
  <c r="K37" i="18" a="1"/>
  <c r="P33" i="18" a="1"/>
  <c r="M36" i="18" a="1"/>
  <c r="T39" i="18" a="1"/>
  <c r="M32" i="2" a="1"/>
  <c r="P20" i="2" a="1"/>
  <c r="Q35" i="2" a="1"/>
  <c r="P24" i="2" a="1"/>
  <c r="P25" i="2" a="1"/>
  <c r="P22" i="2" a="1"/>
  <c r="Q34" i="2" a="1"/>
  <c r="P21" i="2" a="1"/>
  <c r="P23" i="2" a="1"/>
  <c r="P27" i="2" a="1"/>
  <c r="P29" i="2" a="1"/>
  <c r="P26" i="2" a="1"/>
  <c r="M31" i="2" a="1"/>
  <c r="L30" i="2" a="1"/>
  <c r="P28" i="2" a="1"/>
  <c r="Q33" i="2" a="1"/>
  <c r="K32" i="18" a="1"/>
  <c r="M30" i="18" a="1"/>
  <c r="N29" i="18" a="1"/>
  <c r="P27" i="18" a="1"/>
  <c r="K31" i="18" a="1"/>
  <c r="O28" i="18" a="1"/>
  <c r="O15" i="2" a="1"/>
  <c r="Q26" i="18" a="1"/>
  <c r="T9" i="18" a="1"/>
  <c r="Q10" i="2" a="1"/>
  <c r="K23" i="18" a="1"/>
  <c r="Q17" i="2" a="1"/>
  <c r="R25" i="18" a="1"/>
  <c r="M7" i="2" a="1"/>
  <c r="O14" i="18" a="1"/>
  <c r="T21" i="18" a="1"/>
  <c r="P13" i="18" a="1"/>
  <c r="L16" i="18" a="1"/>
  <c r="N6" i="2" a="1"/>
  <c r="M7" i="18" a="1"/>
  <c r="K18" i="18" a="1"/>
  <c r="T20" i="18" a="1"/>
  <c r="O13" i="2" a="1"/>
  <c r="Q9" i="2" a="1"/>
  <c r="U8" i="18" a="1"/>
  <c r="Q8" i="2" a="1"/>
  <c r="K24" i="18" a="1"/>
  <c r="Q18" i="2" a="1"/>
  <c r="O14" i="2" a="1"/>
  <c r="S10" i="18" a="1"/>
  <c r="P19" i="2" a="1"/>
  <c r="N6" i="18" a="1"/>
  <c r="Q12" i="18" a="1"/>
  <c r="Q16" i="2" a="1"/>
  <c r="Q11" i="2" a="1"/>
  <c r="R11" i="18" a="1"/>
  <c r="K17" i="18" a="1"/>
  <c r="T19" i="18" a="1"/>
  <c r="L22" i="18" a="1"/>
  <c r="O15" i="18" a="1"/>
  <c r="P12" i="2" a="1"/>
  <c r="K24" i="18" l="1"/>
  <c r="K38" i="18"/>
  <c r="L22" i="18"/>
  <c r="M7" i="2"/>
  <c r="M36" i="18"/>
  <c r="P33" i="18"/>
  <c r="K37" i="18"/>
  <c r="O15" i="2"/>
  <c r="K23" i="18"/>
  <c r="N6" i="2"/>
  <c r="O34" i="18"/>
  <c r="N35" i="18"/>
  <c r="C4" i="18"/>
  <c r="D5" i="5"/>
  <c r="P28" i="2"/>
  <c r="P26" i="2"/>
  <c r="P29" i="2"/>
  <c r="P27" i="2"/>
  <c r="P23" i="2"/>
  <c r="P19" i="2"/>
  <c r="P21" i="2"/>
  <c r="P22" i="2"/>
  <c r="P25" i="2"/>
  <c r="P24" i="2"/>
  <c r="P20" i="2"/>
  <c r="T39" i="18"/>
  <c r="K32" i="18"/>
  <c r="K18" i="18"/>
  <c r="K31" i="18"/>
  <c r="Q26" i="18"/>
  <c r="N29" i="18"/>
  <c r="M30" i="18"/>
  <c r="L16" i="18"/>
  <c r="K17" i="18"/>
  <c r="O28" i="18"/>
  <c r="P27" i="18"/>
  <c r="R25" i="18"/>
  <c r="P12" i="2"/>
  <c r="O15" i="18"/>
  <c r="M7" i="18"/>
  <c r="O13" i="2"/>
  <c r="N6" i="18"/>
  <c r="T21" i="18"/>
  <c r="T20" i="18"/>
  <c r="T19" i="18"/>
  <c r="U8" i="18"/>
  <c r="O14" i="18"/>
  <c r="Q12" i="18"/>
  <c r="P13" i="18"/>
  <c r="T9" i="18"/>
  <c r="R11" i="18"/>
  <c r="Q17" i="2"/>
  <c r="Q16" i="2"/>
  <c r="Q18" i="2"/>
  <c r="Q8" i="2"/>
  <c r="Q9" i="2"/>
  <c r="Q10" i="2"/>
  <c r="Q11" i="2"/>
  <c r="S10" i="18"/>
  <c r="V5" i="18"/>
  <c r="G42" i="18"/>
  <c r="H42" i="18" s="1"/>
  <c r="I42" i="18" s="1"/>
  <c r="O14" i="2"/>
  <c r="F41" i="18"/>
  <c r="G41" i="18" s="1"/>
  <c r="F40" i="18"/>
  <c r="D1" i="18"/>
  <c r="D2" i="18" s="1"/>
  <c r="L30" i="2"/>
  <c r="M31" i="2"/>
  <c r="Q36" i="2"/>
  <c r="Q33" i="2"/>
  <c r="Q35" i="2"/>
  <c r="M32" i="2"/>
  <c r="Q34" i="2"/>
  <c r="O8" i="4"/>
  <c r="O8" i="13" s="1"/>
  <c r="O10" i="4"/>
  <c r="O10" i="13" s="1"/>
  <c r="O9" i="4"/>
  <c r="O9" i="13" s="1"/>
  <c r="P1" i="4"/>
  <c r="R2" i="5"/>
  <c r="P1" i="13"/>
  <c r="A16" i="11" a="1"/>
  <c r="A16" i="11" s="1"/>
  <c r="R5" i="2"/>
  <c r="O7" i="4"/>
  <c r="O7" i="13" s="1"/>
  <c r="Q11" i="4"/>
  <c r="Q11" i="13" s="1"/>
  <c r="R36" i="2" a="1"/>
  <c r="Q28" i="2" a="1"/>
  <c r="Q29" i="2" a="1"/>
  <c r="R33" i="2" a="1"/>
  <c r="R35" i="2" a="1"/>
  <c r="R34" i="2" a="1"/>
  <c r="N31" i="2" a="1"/>
  <c r="M30" i="2" a="1"/>
  <c r="N32" i="2" a="1"/>
  <c r="L38" i="18" a="1"/>
  <c r="L37" i="18" a="1"/>
  <c r="N36" i="18" a="1"/>
  <c r="Q33" i="18" a="1"/>
  <c r="P34" i="18" a="1"/>
  <c r="O35" i="18" a="1"/>
  <c r="U39" i="18" a="1"/>
  <c r="Q21" i="2" a="1"/>
  <c r="Q22" i="2" a="1"/>
  <c r="Q20" i="2" a="1"/>
  <c r="Q24" i="2" a="1"/>
  <c r="Q25" i="2" a="1"/>
  <c r="Q26" i="2" a="1"/>
  <c r="Q23" i="2" a="1"/>
  <c r="Q27" i="2" a="1"/>
  <c r="L32" i="18" a="1"/>
  <c r="L31" i="18" a="1"/>
  <c r="O29" i="18" a="1"/>
  <c r="N30" i="18" a="1"/>
  <c r="Q27" i="18" a="1"/>
  <c r="P28" i="18" a="1"/>
  <c r="Q19" i="2" a="1"/>
  <c r="O6" i="2" a="1"/>
  <c r="N7" i="18" a="1"/>
  <c r="N7" i="2" a="1"/>
  <c r="L17" i="18" a="1"/>
  <c r="L18" i="18" a="1"/>
  <c r="R8" i="2" a="1"/>
  <c r="R12" i="18" a="1"/>
  <c r="P14" i="2" a="1"/>
  <c r="R18" i="2" a="1"/>
  <c r="U20" i="18" a="1"/>
  <c r="U19" i="18" a="1"/>
  <c r="O6" i="18" a="1"/>
  <c r="U21" i="18" a="1"/>
  <c r="Q12" i="2" a="1"/>
  <c r="P14" i="18" a="1"/>
  <c r="M16" i="18" a="1"/>
  <c r="U9" i="18" a="1"/>
  <c r="R26" i="18" a="1"/>
  <c r="V8" i="18" a="1"/>
  <c r="M22" i="18" a="1"/>
  <c r="L24" i="18" a="1"/>
  <c r="P13" i="2" a="1"/>
  <c r="Q13" i="18" a="1"/>
  <c r="R16" i="2" a="1"/>
  <c r="R11" i="2" a="1"/>
  <c r="P15" i="18" a="1"/>
  <c r="R9" i="2" a="1"/>
  <c r="S11" i="18" a="1"/>
  <c r="R17" i="2" a="1"/>
  <c r="P15" i="2" a="1"/>
  <c r="T10" i="18" a="1"/>
  <c r="R10" i="2" a="1"/>
  <c r="S25" i="18" a="1"/>
  <c r="L23" i="18" a="1"/>
  <c r="Q29" i="2" l="1"/>
  <c r="Q28" i="2"/>
  <c r="L24" i="18"/>
  <c r="L38" i="18"/>
  <c r="M22" i="18"/>
  <c r="O35" i="18"/>
  <c r="P34" i="18"/>
  <c r="O6" i="2"/>
  <c r="L23" i="18"/>
  <c r="P15" i="2"/>
  <c r="Q33" i="18"/>
  <c r="N36" i="18"/>
  <c r="L37" i="18"/>
  <c r="N7" i="2"/>
  <c r="D14" i="5"/>
  <c r="D18" i="5"/>
  <c r="D20" i="5"/>
  <c r="D16" i="5"/>
  <c r="D15" i="5"/>
  <c r="D17" i="5"/>
  <c r="D19" i="5"/>
  <c r="D4" i="18"/>
  <c r="E5" i="5"/>
  <c r="U39" i="18"/>
  <c r="Q27" i="2"/>
  <c r="Q19" i="2"/>
  <c r="Q23" i="2"/>
  <c r="Q26" i="2"/>
  <c r="Q25" i="2"/>
  <c r="Q24" i="2"/>
  <c r="Q20" i="2"/>
  <c r="Q22" i="2"/>
  <c r="Q21" i="2"/>
  <c r="L32" i="18"/>
  <c r="L18" i="18"/>
  <c r="S25" i="18"/>
  <c r="Q27" i="18"/>
  <c r="P28" i="18"/>
  <c r="M16" i="18"/>
  <c r="L17" i="18"/>
  <c r="N30" i="18"/>
  <c r="O29" i="18"/>
  <c r="R26" i="18"/>
  <c r="L31" i="18"/>
  <c r="Q12" i="2"/>
  <c r="O6" i="18"/>
  <c r="P13" i="2"/>
  <c r="N7" i="18"/>
  <c r="P15" i="18"/>
  <c r="U21" i="18"/>
  <c r="U20" i="18"/>
  <c r="U19" i="18"/>
  <c r="V8" i="18"/>
  <c r="S11" i="18"/>
  <c r="Q13" i="18"/>
  <c r="R12" i="18"/>
  <c r="P14" i="18"/>
  <c r="R16" i="2"/>
  <c r="R17" i="2"/>
  <c r="R18" i="2"/>
  <c r="R8" i="2"/>
  <c r="R9" i="2"/>
  <c r="R10" i="2"/>
  <c r="R11" i="2"/>
  <c r="U9" i="18"/>
  <c r="T10" i="18"/>
  <c r="W5" i="18"/>
  <c r="P14" i="2"/>
  <c r="G40" i="18"/>
  <c r="H40" i="18" s="1"/>
  <c r="I40" i="18" s="1"/>
  <c r="J40" i="18" s="1"/>
  <c r="J42" i="18"/>
  <c r="K42" i="18" s="1"/>
  <c r="L42" i="18" s="1"/>
  <c r="M42" i="18" s="1"/>
  <c r="N42" i="18" s="1"/>
  <c r="O42" i="18" s="1"/>
  <c r="P42" i="18" s="1"/>
  <c r="Q42" i="18" s="1"/>
  <c r="R42" i="18" s="1"/>
  <c r="S42" i="18" s="1"/>
  <c r="T42" i="18" s="1"/>
  <c r="U42" i="18" s="1"/>
  <c r="V42" i="18" s="1"/>
  <c r="W42" i="18" s="1"/>
  <c r="X42" i="18" s="1"/>
  <c r="Y42" i="18" s="1"/>
  <c r="Z42" i="18" s="1"/>
  <c r="AA42" i="18" s="1"/>
  <c r="AB42" i="18" s="1"/>
  <c r="AC42" i="18" s="1"/>
  <c r="H41" i="18"/>
  <c r="E1" i="18"/>
  <c r="E2" i="18" s="1"/>
  <c r="M30" i="2"/>
  <c r="N32" i="2"/>
  <c r="N31" i="2"/>
  <c r="R34" i="2"/>
  <c r="R35" i="2"/>
  <c r="R36" i="2"/>
  <c r="R33" i="2"/>
  <c r="P8" i="4"/>
  <c r="P8" i="13" s="1"/>
  <c r="P7" i="4"/>
  <c r="P7" i="13" s="1"/>
  <c r="P10" i="4"/>
  <c r="P10" i="13" s="1"/>
  <c r="A17" i="11" a="1"/>
  <c r="A17" i="11" s="1"/>
  <c r="Q1" i="4"/>
  <c r="S2" i="5"/>
  <c r="Q1" i="13"/>
  <c r="S5" i="2"/>
  <c r="P9" i="4"/>
  <c r="P9" i="13" s="1"/>
  <c r="R11" i="4"/>
  <c r="R11" i="13" s="1"/>
  <c r="S36" i="2" a="1"/>
  <c r="R28" i="2" a="1"/>
  <c r="O32" i="2" a="1"/>
  <c r="O31" i="2" a="1"/>
  <c r="S33" i="2" a="1"/>
  <c r="R29" i="2" a="1"/>
  <c r="N30" i="2" a="1"/>
  <c r="S34" i="2" a="1"/>
  <c r="S35" i="2" a="1"/>
  <c r="M38" i="18" a="1"/>
  <c r="P35" i="18" a="1"/>
  <c r="Q34" i="18" a="1"/>
  <c r="R33" i="18" a="1"/>
  <c r="O36" i="18" a="1"/>
  <c r="M37" i="18" a="1"/>
  <c r="V39" i="18" a="1"/>
  <c r="R26" i="2" a="1"/>
  <c r="R22" i="2" a="1"/>
  <c r="R27" i="2" a="1"/>
  <c r="R23" i="2" a="1"/>
  <c r="R25" i="2" a="1"/>
  <c r="R21" i="2" a="1"/>
  <c r="R20" i="2" a="1"/>
  <c r="R24" i="2" a="1"/>
  <c r="Q28" i="18" a="1"/>
  <c r="P29" i="18" a="1"/>
  <c r="M32" i="18" a="1"/>
  <c r="O30" i="18" a="1"/>
  <c r="M31" i="18" a="1"/>
  <c r="R27" i="18" a="1"/>
  <c r="V21" i="18" a="1"/>
  <c r="R13" i="18" a="1"/>
  <c r="Q15" i="18" a="1"/>
  <c r="V20" i="18" a="1"/>
  <c r="V19" i="18" a="1"/>
  <c r="V9" i="18" a="1"/>
  <c r="M24" i="18" a="1"/>
  <c r="Q14" i="18" a="1"/>
  <c r="W8" i="18" a="1"/>
  <c r="R19" i="2" a="1"/>
  <c r="S12" i="18" a="1"/>
  <c r="O7" i="18" a="1"/>
  <c r="S18" i="2" a="1"/>
  <c r="S17" i="2" a="1"/>
  <c r="M18" i="18" a="1"/>
  <c r="M17" i="18" a="1"/>
  <c r="S8" i="2" a="1"/>
  <c r="T25" i="18" a="1"/>
  <c r="P6" i="2" a="1"/>
  <c r="U10" i="18" a="1"/>
  <c r="P6" i="18" a="1"/>
  <c r="N22" i="18" a="1"/>
  <c r="O7" i="2" a="1"/>
  <c r="M23" i="18" a="1"/>
  <c r="Q13" i="2" a="1"/>
  <c r="S26" i="18" a="1"/>
  <c r="S16" i="2" a="1"/>
  <c r="N16" i="18" a="1"/>
  <c r="Q15" i="2" a="1"/>
  <c r="R12" i="2" a="1"/>
  <c r="S10" i="2" a="1"/>
  <c r="T11" i="18" a="1"/>
  <c r="S9" i="2" a="1"/>
  <c r="Q14" i="2" a="1"/>
  <c r="S11" i="2" a="1"/>
  <c r="R29" i="2" l="1"/>
  <c r="R28" i="2"/>
  <c r="M38" i="18"/>
  <c r="M24" i="18"/>
  <c r="O7" i="2"/>
  <c r="M37" i="18"/>
  <c r="O36" i="18"/>
  <c r="R33" i="18"/>
  <c r="Q15" i="2"/>
  <c r="P6" i="2"/>
  <c r="M23" i="18"/>
  <c r="Q34" i="18"/>
  <c r="P35" i="18"/>
  <c r="N22" i="18"/>
  <c r="E14" i="5"/>
  <c r="E15" i="5"/>
  <c r="E16" i="5"/>
  <c r="E18" i="5"/>
  <c r="E19" i="5"/>
  <c r="E20" i="5"/>
  <c r="E17" i="5"/>
  <c r="E4" i="18"/>
  <c r="F5" i="5"/>
  <c r="V39" i="18"/>
  <c r="R24" i="2"/>
  <c r="R20" i="2"/>
  <c r="R19" i="2"/>
  <c r="R21" i="2"/>
  <c r="R25" i="2"/>
  <c r="R23" i="2"/>
  <c r="R27" i="2"/>
  <c r="R22" i="2"/>
  <c r="R26" i="2"/>
  <c r="M18" i="18"/>
  <c r="M32" i="18"/>
  <c r="M31" i="18"/>
  <c r="S26" i="18"/>
  <c r="O30" i="18"/>
  <c r="M17" i="18"/>
  <c r="P29" i="18"/>
  <c r="N16" i="18"/>
  <c r="Q28" i="18"/>
  <c r="R27" i="18"/>
  <c r="T25" i="18"/>
  <c r="Q15" i="18"/>
  <c r="O7" i="18"/>
  <c r="Q13" i="2"/>
  <c r="P6" i="18"/>
  <c r="R12" i="2"/>
  <c r="V21" i="18"/>
  <c r="V19" i="18"/>
  <c r="V20" i="18"/>
  <c r="W8" i="18"/>
  <c r="U10" i="18"/>
  <c r="Q14" i="18"/>
  <c r="V9" i="18"/>
  <c r="S12" i="18"/>
  <c r="R13" i="18"/>
  <c r="T11" i="18"/>
  <c r="S16" i="2"/>
  <c r="S17" i="2"/>
  <c r="S18" i="2"/>
  <c r="S8" i="2"/>
  <c r="S9" i="2"/>
  <c r="S10" i="2"/>
  <c r="S11" i="2"/>
  <c r="X5" i="18"/>
  <c r="Q14" i="2"/>
  <c r="K40" i="18"/>
  <c r="L40" i="18" s="1"/>
  <c r="M40" i="18" s="1"/>
  <c r="N40" i="18" s="1"/>
  <c r="I41" i="18"/>
  <c r="J41" i="18" s="1"/>
  <c r="K41" i="18" s="1"/>
  <c r="F1" i="18"/>
  <c r="F2" i="18" s="1"/>
  <c r="N30" i="2"/>
  <c r="O32" i="2"/>
  <c r="S34" i="2"/>
  <c r="S35" i="2"/>
  <c r="S36" i="2"/>
  <c r="S33" i="2"/>
  <c r="O31" i="2"/>
  <c r="Q8" i="4"/>
  <c r="Q8" i="13" s="1"/>
  <c r="Q10" i="4"/>
  <c r="Q10" i="13" s="1"/>
  <c r="A18" i="11" a="1"/>
  <c r="A18" i="11" s="1"/>
  <c r="R1" i="4"/>
  <c r="T2" i="5"/>
  <c r="R1" i="13"/>
  <c r="T5" i="2"/>
  <c r="Q9" i="4"/>
  <c r="Q9" i="13" s="1"/>
  <c r="Q7" i="4"/>
  <c r="Q7" i="13" s="1"/>
  <c r="S11" i="4"/>
  <c r="S11" i="13" s="1"/>
  <c r="T36" i="2" a="1"/>
  <c r="P32" i="2" a="1"/>
  <c r="T35" i="2" a="1"/>
  <c r="O30" i="2" a="1"/>
  <c r="P31" i="2" a="1"/>
  <c r="S28" i="2" a="1"/>
  <c r="T34" i="2" a="1"/>
  <c r="T33" i="2" a="1"/>
  <c r="S29" i="2" a="1"/>
  <c r="N38" i="18" a="1"/>
  <c r="N37" i="18" a="1"/>
  <c r="P36" i="18" a="1"/>
  <c r="S33" i="18" a="1"/>
  <c r="R34" i="18" a="1"/>
  <c r="Q35" i="18" a="1"/>
  <c r="W39" i="18" a="1"/>
  <c r="S24" i="2" a="1"/>
  <c r="S21" i="2" a="1"/>
  <c r="S22" i="2" a="1"/>
  <c r="S20" i="2" a="1"/>
  <c r="S26" i="2" a="1"/>
  <c r="S25" i="2" a="1"/>
  <c r="S23" i="2" a="1"/>
  <c r="S27" i="2" a="1"/>
  <c r="R28" i="18" a="1"/>
  <c r="P30" i="18" a="1"/>
  <c r="Q29" i="18" a="1"/>
  <c r="S27" i="18" a="1"/>
  <c r="N32" i="18" a="1"/>
  <c r="N31" i="18" a="1"/>
  <c r="N18" i="18" a="1"/>
  <c r="W19" i="18" a="1"/>
  <c r="U11" i="18" a="1"/>
  <c r="N17" i="18" a="1"/>
  <c r="U25" i="18" a="1"/>
  <c r="O16" i="18" a="1"/>
  <c r="W20" i="18" a="1"/>
  <c r="T17" i="2" a="1"/>
  <c r="Q6" i="18" a="1"/>
  <c r="N23" i="18" a="1"/>
  <c r="T8" i="2" a="1"/>
  <c r="T26" i="18" a="1"/>
  <c r="T10" i="2" a="1"/>
  <c r="S12" i="2" a="1"/>
  <c r="S13" i="18" a="1"/>
  <c r="T18" i="2" a="1"/>
  <c r="W21" i="18" a="1"/>
  <c r="T9" i="2" a="1"/>
  <c r="T16" i="2" a="1"/>
  <c r="R15" i="2" a="1"/>
  <c r="R13" i="2" a="1"/>
  <c r="V10" i="18" a="1"/>
  <c r="S19" i="2" a="1"/>
  <c r="T12" i="18" a="1"/>
  <c r="R15" i="18" a="1"/>
  <c r="N24" i="18" a="1"/>
  <c r="O22" i="18" a="1"/>
  <c r="T11" i="2" a="1"/>
  <c r="P7" i="2" a="1"/>
  <c r="P7" i="18" a="1"/>
  <c r="R14" i="18" a="1"/>
  <c r="R14" i="2" a="1"/>
  <c r="Q6" i="2" a="1"/>
  <c r="W9" i="18" a="1"/>
  <c r="X8" i="18" a="1"/>
  <c r="S29" i="2" l="1"/>
  <c r="S28" i="2"/>
  <c r="N24" i="18"/>
  <c r="N38" i="18"/>
  <c r="P7" i="2"/>
  <c r="O22" i="18"/>
  <c r="Q35" i="18"/>
  <c r="R34" i="18"/>
  <c r="N23" i="18"/>
  <c r="Q6" i="2"/>
  <c r="R15" i="2"/>
  <c r="S33" i="18"/>
  <c r="P36" i="18"/>
  <c r="N37" i="18"/>
  <c r="F14" i="5"/>
  <c r="F20" i="5"/>
  <c r="F19" i="5"/>
  <c r="F16" i="5"/>
  <c r="F18" i="5"/>
  <c r="F15" i="5"/>
  <c r="F17" i="5"/>
  <c r="F4" i="18"/>
  <c r="G5" i="5"/>
  <c r="W39" i="18"/>
  <c r="S27" i="2"/>
  <c r="S23" i="2"/>
  <c r="S25" i="2"/>
  <c r="S19" i="2"/>
  <c r="S26" i="2"/>
  <c r="S20" i="2"/>
  <c r="S22" i="2"/>
  <c r="S21" i="2"/>
  <c r="S24" i="2"/>
  <c r="N32" i="18"/>
  <c r="N18" i="18"/>
  <c r="U25" i="18"/>
  <c r="S27" i="18"/>
  <c r="Q29" i="18"/>
  <c r="R28" i="18"/>
  <c r="N17" i="18"/>
  <c r="P30" i="18"/>
  <c r="O16" i="18"/>
  <c r="T26" i="18"/>
  <c r="N31" i="18"/>
  <c r="R15" i="18"/>
  <c r="S12" i="2"/>
  <c r="Q6" i="18"/>
  <c r="R13" i="2"/>
  <c r="P7" i="18"/>
  <c r="W21" i="18"/>
  <c r="W20" i="18"/>
  <c r="W19" i="18"/>
  <c r="X8" i="18"/>
  <c r="S13" i="18"/>
  <c r="T12" i="18"/>
  <c r="W9" i="18"/>
  <c r="R14" i="18"/>
  <c r="V10" i="18"/>
  <c r="T16" i="2"/>
  <c r="T17" i="2"/>
  <c r="T18" i="2"/>
  <c r="T8" i="2"/>
  <c r="T9" i="2"/>
  <c r="T10" i="2"/>
  <c r="T11" i="2"/>
  <c r="U11" i="18"/>
  <c r="Y5" i="18"/>
  <c r="R14" i="2"/>
  <c r="O40" i="18"/>
  <c r="P40" i="18" s="1"/>
  <c r="Q40" i="18" s="1"/>
  <c r="R40" i="18" s="1"/>
  <c r="S40" i="18" s="1"/>
  <c r="T40" i="18" s="1"/>
  <c r="U40" i="18" s="1"/>
  <c r="V40" i="18" s="1"/>
  <c r="W40" i="18" s="1"/>
  <c r="X40" i="18" s="1"/>
  <c r="Y40" i="18" s="1"/>
  <c r="Z40" i="18" s="1"/>
  <c r="AA40" i="18" s="1"/>
  <c r="AB40" i="18" s="1"/>
  <c r="AC40" i="18" s="1"/>
  <c r="L41" i="18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G1" i="18"/>
  <c r="G2" i="18" s="1"/>
  <c r="O30" i="2"/>
  <c r="T33" i="2"/>
  <c r="T36" i="2"/>
  <c r="T34" i="2"/>
  <c r="P32" i="2"/>
  <c r="P31" i="2"/>
  <c r="T35" i="2"/>
  <c r="R9" i="4"/>
  <c r="R9" i="13" s="1"/>
  <c r="A19" i="11" a="1"/>
  <c r="A19" i="11" s="1"/>
  <c r="S1" i="13"/>
  <c r="S1" i="4"/>
  <c r="U2" i="5"/>
  <c r="U5" i="2"/>
  <c r="R8" i="4"/>
  <c r="R8" i="13" s="1"/>
  <c r="R7" i="4"/>
  <c r="R7" i="13" s="1"/>
  <c r="R10" i="4"/>
  <c r="R10" i="13" s="1"/>
  <c r="T11" i="4"/>
  <c r="T11" i="13" s="1"/>
  <c r="U36" i="2" a="1"/>
  <c r="Q31" i="2" a="1"/>
  <c r="T29" i="2" a="1"/>
  <c r="Q32" i="2" a="1"/>
  <c r="T28" i="2" a="1"/>
  <c r="U35" i="2" a="1"/>
  <c r="P30" i="2" a="1"/>
  <c r="U34" i="2" a="1"/>
  <c r="U33" i="2" a="1"/>
  <c r="O38" i="18" a="1"/>
  <c r="R35" i="18" a="1"/>
  <c r="S34" i="18" a="1"/>
  <c r="T33" i="18" a="1"/>
  <c r="Q36" i="18" a="1"/>
  <c r="O37" i="18" a="1"/>
  <c r="X39" i="18" a="1"/>
  <c r="T27" i="2" a="1"/>
  <c r="T23" i="2" a="1"/>
  <c r="T26" i="2" a="1"/>
  <c r="T25" i="2" a="1"/>
  <c r="T24" i="2" a="1"/>
  <c r="T22" i="2" a="1"/>
  <c r="T20" i="2" a="1"/>
  <c r="T21" i="2" a="1"/>
  <c r="T27" i="18" a="1"/>
  <c r="R29" i="18" a="1"/>
  <c r="S28" i="18" a="1"/>
  <c r="Q30" i="18" a="1"/>
  <c r="O31" i="18" a="1"/>
  <c r="O32" i="18" a="1"/>
  <c r="S14" i="18" a="1"/>
  <c r="X21" i="18" a="1"/>
  <c r="V25" i="18" a="1"/>
  <c r="V11" i="18" a="1"/>
  <c r="T13" i="18" a="1"/>
  <c r="X19" i="18" a="1"/>
  <c r="U8" i="2" a="1"/>
  <c r="U18" i="2" a="1"/>
  <c r="U10" i="2" a="1"/>
  <c r="T12" i="2" a="1"/>
  <c r="S14" i="2" a="1"/>
  <c r="S15" i="18" a="1"/>
  <c r="O23" i="18" a="1"/>
  <c r="P16" i="18" a="1"/>
  <c r="O17" i="18" a="1"/>
  <c r="R6" i="18" a="1"/>
  <c r="X9" i="18" a="1"/>
  <c r="Y8" i="18" a="1"/>
  <c r="O18" i="18" a="1"/>
  <c r="X20" i="18" a="1"/>
  <c r="U12" i="18" a="1"/>
  <c r="R6" i="2" a="1"/>
  <c r="S15" i="2" a="1"/>
  <c r="Q7" i="2" a="1"/>
  <c r="U11" i="2" a="1"/>
  <c r="T19" i="2" a="1"/>
  <c r="Q7" i="18" a="1"/>
  <c r="S13" i="2" a="1"/>
  <c r="W10" i="18" a="1"/>
  <c r="U9" i="2" a="1"/>
  <c r="U17" i="2" a="1"/>
  <c r="P22" i="18" a="1"/>
  <c r="U16" i="2" a="1"/>
  <c r="O24" i="18" a="1"/>
  <c r="U26" i="18" a="1"/>
  <c r="T28" i="2" l="1"/>
  <c r="T29" i="2"/>
  <c r="O38" i="18"/>
  <c r="O24" i="18"/>
  <c r="O37" i="18"/>
  <c r="Q36" i="18"/>
  <c r="T33" i="18"/>
  <c r="S15" i="2"/>
  <c r="R6" i="2"/>
  <c r="S34" i="18"/>
  <c r="O23" i="18"/>
  <c r="R35" i="18"/>
  <c r="P22" i="18"/>
  <c r="Q7" i="2"/>
  <c r="G14" i="5"/>
  <c r="G18" i="5"/>
  <c r="G20" i="5"/>
  <c r="G15" i="5"/>
  <c r="G16" i="5"/>
  <c r="G17" i="5"/>
  <c r="G19" i="5"/>
  <c r="G4" i="18"/>
  <c r="H5" i="5"/>
  <c r="X39" i="18"/>
  <c r="T21" i="2"/>
  <c r="T19" i="2"/>
  <c r="T20" i="2"/>
  <c r="T22" i="2"/>
  <c r="T24" i="2"/>
  <c r="T25" i="2"/>
  <c r="T26" i="2"/>
  <c r="T23" i="2"/>
  <c r="T27" i="2"/>
  <c r="O18" i="18"/>
  <c r="O32" i="18"/>
  <c r="O31" i="18"/>
  <c r="U26" i="18"/>
  <c r="Q30" i="18"/>
  <c r="P16" i="18"/>
  <c r="O17" i="18"/>
  <c r="S28" i="18"/>
  <c r="R29" i="18"/>
  <c r="T27" i="18"/>
  <c r="V25" i="18"/>
  <c r="R6" i="18"/>
  <c r="T12" i="2"/>
  <c r="S15" i="18"/>
  <c r="S13" i="2"/>
  <c r="Q7" i="18"/>
  <c r="X21" i="18"/>
  <c r="X19" i="18"/>
  <c r="X20" i="18"/>
  <c r="Y8" i="18"/>
  <c r="W10" i="18"/>
  <c r="V11" i="18"/>
  <c r="S14" i="18"/>
  <c r="U17" i="2"/>
  <c r="U16" i="2"/>
  <c r="U18" i="2"/>
  <c r="U8" i="2"/>
  <c r="U9" i="2"/>
  <c r="U10" i="2"/>
  <c r="U11" i="2"/>
  <c r="X9" i="18"/>
  <c r="U12" i="18"/>
  <c r="T13" i="18"/>
  <c r="Z5" i="18"/>
  <c r="S14" i="2"/>
  <c r="H1" i="18"/>
  <c r="H2" i="18" s="1"/>
  <c r="P30" i="2"/>
  <c r="U35" i="2"/>
  <c r="U33" i="2"/>
  <c r="U34" i="2"/>
  <c r="Q31" i="2"/>
  <c r="U36" i="2"/>
  <c r="Q32" i="2"/>
  <c r="S9" i="4"/>
  <c r="S9" i="13" s="1"/>
  <c r="S7" i="4"/>
  <c r="S7" i="13" s="1"/>
  <c r="A20" i="11" a="1"/>
  <c r="A20" i="11" s="1"/>
  <c r="T1" i="13"/>
  <c r="V2" i="5"/>
  <c r="T1" i="4"/>
  <c r="V5" i="2"/>
  <c r="S8" i="4"/>
  <c r="S8" i="13" s="1"/>
  <c r="S10" i="4"/>
  <c r="S10" i="13" s="1"/>
  <c r="U11" i="4"/>
  <c r="U11" i="13" s="1"/>
  <c r="V36" i="2" a="1"/>
  <c r="Q30" i="2" a="1"/>
  <c r="V35" i="2" a="1"/>
  <c r="R31" i="2" a="1"/>
  <c r="V34" i="2" a="1"/>
  <c r="R32" i="2" a="1"/>
  <c r="U28" i="2" a="1"/>
  <c r="V33" i="2" a="1"/>
  <c r="U29" i="2" a="1"/>
  <c r="P38" i="18" a="1"/>
  <c r="P37" i="18" a="1"/>
  <c r="R36" i="18" a="1"/>
  <c r="U33" i="18" a="1"/>
  <c r="T34" i="18" a="1"/>
  <c r="S35" i="18" a="1"/>
  <c r="Y39" i="18" a="1"/>
  <c r="U24" i="2" a="1"/>
  <c r="U21" i="2" a="1"/>
  <c r="U27" i="2" a="1"/>
  <c r="U22" i="2" a="1"/>
  <c r="U20" i="2" a="1"/>
  <c r="U23" i="2" a="1"/>
  <c r="U26" i="2" a="1"/>
  <c r="U25" i="2" a="1"/>
  <c r="S29" i="18" a="1"/>
  <c r="R30" i="18" a="1"/>
  <c r="P32" i="18" a="1"/>
  <c r="T28" i="18" a="1"/>
  <c r="U27" i="18" a="1"/>
  <c r="P31" i="18" a="1"/>
  <c r="T13" i="2" a="1"/>
  <c r="Q16" i="18" a="1"/>
  <c r="V17" i="2" a="1"/>
  <c r="T14" i="18" a="1"/>
  <c r="U13" i="18" a="1"/>
  <c r="W11" i="18" a="1"/>
  <c r="Y9" i="18" a="1"/>
  <c r="P17" i="18" a="1"/>
  <c r="Y19" i="18" a="1"/>
  <c r="V26" i="18" a="1"/>
  <c r="T15" i="18" a="1"/>
  <c r="V16" i="2" a="1"/>
  <c r="U19" i="2" a="1"/>
  <c r="W25" i="18" a="1"/>
  <c r="P18" i="18" a="1"/>
  <c r="V10" i="2" a="1"/>
  <c r="V18" i="2" a="1"/>
  <c r="P24" i="18" a="1"/>
  <c r="V12" i="18" a="1"/>
  <c r="V11" i="2" a="1"/>
  <c r="V8" i="2" a="1"/>
  <c r="Y20" i="18" a="1"/>
  <c r="Z8" i="18" a="1"/>
  <c r="S6" i="2" a="1"/>
  <c r="T15" i="2" a="1"/>
  <c r="V9" i="2" a="1"/>
  <c r="Y21" i="18" a="1"/>
  <c r="R7" i="2" a="1"/>
  <c r="S6" i="18" a="1"/>
  <c r="U12" i="2" a="1"/>
  <c r="T14" i="2" a="1"/>
  <c r="R7" i="18" a="1"/>
  <c r="Q22" i="18" a="1"/>
  <c r="P23" i="18" a="1"/>
  <c r="X10" i="18" a="1"/>
  <c r="U29" i="2" l="1"/>
  <c r="U28" i="2"/>
  <c r="P24" i="18"/>
  <c r="P38" i="18"/>
  <c r="R7" i="2"/>
  <c r="Q22" i="18"/>
  <c r="S35" i="18"/>
  <c r="T34" i="18"/>
  <c r="P23" i="18"/>
  <c r="S6" i="2"/>
  <c r="T15" i="2"/>
  <c r="U33" i="18"/>
  <c r="R36" i="18"/>
  <c r="P37" i="18"/>
  <c r="H14" i="5"/>
  <c r="H15" i="5"/>
  <c r="H17" i="5"/>
  <c r="H19" i="5"/>
  <c r="H16" i="5"/>
  <c r="H18" i="5"/>
  <c r="H20" i="5"/>
  <c r="H4" i="18"/>
  <c r="I5" i="5"/>
  <c r="Y39" i="18"/>
  <c r="U25" i="2"/>
  <c r="U26" i="2"/>
  <c r="U23" i="2"/>
  <c r="U19" i="2"/>
  <c r="U20" i="2"/>
  <c r="U22" i="2"/>
  <c r="U27" i="2"/>
  <c r="U21" i="2"/>
  <c r="U24" i="2"/>
  <c r="P32" i="18"/>
  <c r="P18" i="18"/>
  <c r="W25" i="18"/>
  <c r="U27" i="18"/>
  <c r="T28" i="18"/>
  <c r="P17" i="18"/>
  <c r="Q16" i="18"/>
  <c r="R30" i="18"/>
  <c r="S29" i="18"/>
  <c r="V26" i="18"/>
  <c r="P31" i="18"/>
  <c r="U12" i="2"/>
  <c r="S6" i="18"/>
  <c r="T15" i="18"/>
  <c r="R7" i="18"/>
  <c r="T13" i="2"/>
  <c r="Y21" i="18"/>
  <c r="Y20" i="18"/>
  <c r="Y19" i="18"/>
  <c r="Z8" i="18"/>
  <c r="U13" i="18"/>
  <c r="V12" i="18"/>
  <c r="T14" i="18"/>
  <c r="Y9" i="18"/>
  <c r="W11" i="18"/>
  <c r="V16" i="2"/>
  <c r="V17" i="2"/>
  <c r="V18" i="2"/>
  <c r="V8" i="2"/>
  <c r="V9" i="2"/>
  <c r="V10" i="2"/>
  <c r="V11" i="2"/>
  <c r="X10" i="18"/>
  <c r="AA5" i="18"/>
  <c r="T14" i="2"/>
  <c r="I1" i="18"/>
  <c r="I2" i="18" s="1"/>
  <c r="Q30" i="2"/>
  <c r="R31" i="2"/>
  <c r="V34" i="2"/>
  <c r="V33" i="2"/>
  <c r="V36" i="2"/>
  <c r="R32" i="2"/>
  <c r="V35" i="2"/>
  <c r="T10" i="4"/>
  <c r="T10" i="13" s="1"/>
  <c r="T9" i="4"/>
  <c r="T9" i="13" s="1"/>
  <c r="U1" i="13"/>
  <c r="A21" i="11" a="1"/>
  <c r="A21" i="11" s="1"/>
  <c r="W2" i="5"/>
  <c r="U1" i="4"/>
  <c r="W5" i="2"/>
  <c r="T8" i="4"/>
  <c r="T8" i="13" s="1"/>
  <c r="T7" i="4"/>
  <c r="T7" i="13" s="1"/>
  <c r="V11" i="4"/>
  <c r="V11" i="13" s="1"/>
  <c r="W36" i="2" a="1"/>
  <c r="W33" i="2" a="1"/>
  <c r="V28" i="2" a="1"/>
  <c r="S32" i="2" a="1"/>
  <c r="W34" i="2" a="1"/>
  <c r="S31" i="2" a="1"/>
  <c r="R30" i="2" a="1"/>
  <c r="V29" i="2" a="1"/>
  <c r="W35" i="2" a="1"/>
  <c r="Q38" i="18" a="1"/>
  <c r="T35" i="18" a="1"/>
  <c r="U34" i="18" a="1"/>
  <c r="V33" i="18" a="1"/>
  <c r="S36" i="18" a="1"/>
  <c r="Q37" i="18" a="1"/>
  <c r="Z39" i="18" a="1"/>
  <c r="V23" i="2" a="1"/>
  <c r="V20" i="2" a="1"/>
  <c r="V22" i="2" a="1"/>
  <c r="V27" i="2" a="1"/>
  <c r="V26" i="2" a="1"/>
  <c r="V25" i="2" a="1"/>
  <c r="V24" i="2" a="1"/>
  <c r="V21" i="2" a="1"/>
  <c r="U28" i="18" a="1"/>
  <c r="T29" i="18" a="1"/>
  <c r="S30" i="18" a="1"/>
  <c r="Q31" i="18" a="1"/>
  <c r="Q32" i="18" a="1"/>
  <c r="V27" i="18" a="1"/>
  <c r="T6" i="18" a="1"/>
  <c r="S7" i="18" a="1"/>
  <c r="Q17" i="18" a="1"/>
  <c r="X25" i="18" a="1"/>
  <c r="Q18" i="18" a="1"/>
  <c r="U14" i="2" a="1"/>
  <c r="W8" i="2" a="1"/>
  <c r="V12" i="2" a="1"/>
  <c r="W12" i="18" a="1"/>
  <c r="R22" i="18" a="1"/>
  <c r="S7" i="2" a="1"/>
  <c r="W9" i="2" a="1"/>
  <c r="X11" i="18" a="1"/>
  <c r="Z19" i="18" a="1"/>
  <c r="W10" i="2" a="1"/>
  <c r="AA8" i="18" a="1"/>
  <c r="Q23" i="18" a="1"/>
  <c r="T6" i="2" a="1"/>
  <c r="V13" i="18" a="1"/>
  <c r="W26" i="18" a="1"/>
  <c r="Z21" i="18" a="1"/>
  <c r="V19" i="2" a="1"/>
  <c r="U15" i="2" a="1"/>
  <c r="W17" i="2" a="1"/>
  <c r="Y10" i="18" a="1"/>
  <c r="W11" i="2" a="1"/>
  <c r="R16" i="18" a="1"/>
  <c r="W16" i="2" a="1"/>
  <c r="Z9" i="18" a="1"/>
  <c r="U14" i="18" a="1"/>
  <c r="U13" i="2" a="1"/>
  <c r="U15" i="18" a="1"/>
  <c r="W18" i="2" a="1"/>
  <c r="Q24" i="18" a="1"/>
  <c r="Z20" i="18" a="1"/>
  <c r="V29" i="2" l="1"/>
  <c r="V28" i="2"/>
  <c r="Q38" i="18"/>
  <c r="Q24" i="18"/>
  <c r="Q37" i="18"/>
  <c r="S36" i="18"/>
  <c r="V33" i="18"/>
  <c r="U15" i="2"/>
  <c r="T6" i="2"/>
  <c r="Q23" i="18"/>
  <c r="U34" i="18"/>
  <c r="T35" i="18"/>
  <c r="R22" i="18"/>
  <c r="S7" i="2"/>
  <c r="I14" i="5"/>
  <c r="I15" i="5"/>
  <c r="I17" i="5"/>
  <c r="I19" i="5"/>
  <c r="I16" i="5"/>
  <c r="I18" i="5"/>
  <c r="I20" i="5"/>
  <c r="I4" i="18"/>
  <c r="J5" i="5"/>
  <c r="Z39" i="18"/>
  <c r="V21" i="2"/>
  <c r="V24" i="2"/>
  <c r="V25" i="2"/>
  <c r="V26" i="2"/>
  <c r="V27" i="2"/>
  <c r="V22" i="2"/>
  <c r="V19" i="2"/>
  <c r="V20" i="2"/>
  <c r="V23" i="2"/>
  <c r="Q32" i="18"/>
  <c r="Q18" i="18"/>
  <c r="Q31" i="18"/>
  <c r="W26" i="18"/>
  <c r="S30" i="18"/>
  <c r="R16" i="18"/>
  <c r="T29" i="18"/>
  <c r="Q17" i="18"/>
  <c r="U28" i="18"/>
  <c r="V27" i="18"/>
  <c r="X25" i="18"/>
  <c r="U13" i="2"/>
  <c r="S7" i="18"/>
  <c r="U15" i="18"/>
  <c r="T6" i="18"/>
  <c r="V12" i="2"/>
  <c r="Z21" i="18"/>
  <c r="Z20" i="18"/>
  <c r="Z19" i="18"/>
  <c r="W17" i="2"/>
  <c r="W16" i="2"/>
  <c r="W18" i="2"/>
  <c r="W8" i="2"/>
  <c r="W9" i="2"/>
  <c r="W10" i="2"/>
  <c r="W11" i="2"/>
  <c r="AA8" i="18"/>
  <c r="X11" i="18"/>
  <c r="Y10" i="18"/>
  <c r="Z9" i="18"/>
  <c r="U14" i="18"/>
  <c r="W12" i="18"/>
  <c r="V13" i="18"/>
  <c r="AB5" i="18"/>
  <c r="U14" i="2"/>
  <c r="J1" i="18"/>
  <c r="J2" i="18" s="1"/>
  <c r="R30" i="2"/>
  <c r="W33" i="2"/>
  <c r="W35" i="2"/>
  <c r="W34" i="2"/>
  <c r="S32" i="2"/>
  <c r="S31" i="2"/>
  <c r="W36" i="2"/>
  <c r="U9" i="4"/>
  <c r="U9" i="13" s="1"/>
  <c r="V1" i="13"/>
  <c r="A22" i="11" a="1"/>
  <c r="A22" i="11" s="1"/>
  <c r="V1" i="4"/>
  <c r="X2" i="5"/>
  <c r="X5" i="2"/>
  <c r="U7" i="4"/>
  <c r="U7" i="13" s="1"/>
  <c r="U10" i="4"/>
  <c r="U10" i="13" s="1"/>
  <c r="U8" i="4"/>
  <c r="U8" i="13" s="1"/>
  <c r="W11" i="4"/>
  <c r="W11" i="13" s="1"/>
  <c r="X36" i="2" a="1"/>
  <c r="S30" i="2" a="1"/>
  <c r="W29" i="2" a="1"/>
  <c r="X35" i="2" a="1"/>
  <c r="T31" i="2" a="1"/>
  <c r="T32" i="2" a="1"/>
  <c r="W28" i="2" a="1"/>
  <c r="X34" i="2" a="1"/>
  <c r="X33" i="2" a="1"/>
  <c r="R38" i="18" a="1"/>
  <c r="R37" i="18" a="1"/>
  <c r="T36" i="18" a="1"/>
  <c r="W33" i="18" a="1"/>
  <c r="V34" i="18" a="1"/>
  <c r="U35" i="18" a="1"/>
  <c r="AA39" i="18" a="1"/>
  <c r="W21" i="2" a="1"/>
  <c r="W23" i="2" a="1"/>
  <c r="W22" i="2" a="1"/>
  <c r="W26" i="2" a="1"/>
  <c r="W27" i="2" a="1"/>
  <c r="W25" i="2" a="1"/>
  <c r="W24" i="2" a="1"/>
  <c r="W20" i="2" a="1"/>
  <c r="T30" i="18" a="1"/>
  <c r="V28" i="18" a="1"/>
  <c r="W27" i="18" a="1"/>
  <c r="R32" i="18" a="1"/>
  <c r="R31" i="18" a="1"/>
  <c r="U29" i="18" a="1"/>
  <c r="V14" i="2" a="1"/>
  <c r="R24" i="18" a="1"/>
  <c r="W12" i="2" a="1"/>
  <c r="X26" i="18" a="1"/>
  <c r="S16" i="18" a="1"/>
  <c r="AA21" i="18" a="1"/>
  <c r="X10" i="2" a="1"/>
  <c r="R17" i="18" a="1"/>
  <c r="Y25" i="18" a="1"/>
  <c r="Z10" i="18" a="1"/>
  <c r="V14" i="18" a="1"/>
  <c r="X9" i="2" a="1"/>
  <c r="V13" i="2" a="1"/>
  <c r="R23" i="18" a="1"/>
  <c r="W13" i="18" a="1"/>
  <c r="V15" i="18" a="1"/>
  <c r="AA20" i="18" a="1"/>
  <c r="W19" i="2" a="1"/>
  <c r="V15" i="2" a="1"/>
  <c r="X12" i="18" a="1"/>
  <c r="X16" i="2" a="1"/>
  <c r="U6" i="2" a="1"/>
  <c r="X17" i="2" a="1"/>
  <c r="X8" i="2" a="1"/>
  <c r="X11" i="2" a="1"/>
  <c r="S22" i="18" a="1"/>
  <c r="T7" i="18" a="1"/>
  <c r="R18" i="18" a="1"/>
  <c r="Y11" i="18" a="1"/>
  <c r="AA9" i="18" a="1"/>
  <c r="T7" i="2" a="1"/>
  <c r="U6" i="18" a="1"/>
  <c r="AA19" i="18" a="1"/>
  <c r="AB8" i="18" a="1"/>
  <c r="X18" i="2" a="1"/>
  <c r="W28" i="2" l="1"/>
  <c r="W29" i="2"/>
  <c r="R24" i="18"/>
  <c r="R38" i="18"/>
  <c r="T7" i="2"/>
  <c r="S22" i="18"/>
  <c r="U35" i="18"/>
  <c r="V34" i="18"/>
  <c r="R23" i="18"/>
  <c r="U6" i="2"/>
  <c r="V15" i="2"/>
  <c r="W33" i="18"/>
  <c r="T36" i="18"/>
  <c r="R37" i="18"/>
  <c r="J14" i="5"/>
  <c r="J17" i="5"/>
  <c r="J19" i="5"/>
  <c r="J15" i="5"/>
  <c r="J16" i="5"/>
  <c r="J18" i="5"/>
  <c r="J20" i="5"/>
  <c r="J4" i="18"/>
  <c r="K5" i="5"/>
  <c r="AA39" i="18"/>
  <c r="W20" i="2"/>
  <c r="W24" i="2"/>
  <c r="W25" i="2"/>
  <c r="W27" i="2"/>
  <c r="W26" i="2"/>
  <c r="W22" i="2"/>
  <c r="W19" i="2"/>
  <c r="W23" i="2"/>
  <c r="W21" i="2"/>
  <c r="R18" i="18"/>
  <c r="R32" i="18"/>
  <c r="Y25" i="18"/>
  <c r="W27" i="18"/>
  <c r="V28" i="18"/>
  <c r="U29" i="18"/>
  <c r="R17" i="18"/>
  <c r="S16" i="18"/>
  <c r="T30" i="18"/>
  <c r="X26" i="18"/>
  <c r="R31" i="18"/>
  <c r="W12" i="2"/>
  <c r="U6" i="18"/>
  <c r="V15" i="18"/>
  <c r="T7" i="18"/>
  <c r="V13" i="2"/>
  <c r="AA21" i="18"/>
  <c r="AA19" i="18"/>
  <c r="AA20" i="18"/>
  <c r="AB8" i="18"/>
  <c r="W13" i="18"/>
  <c r="X12" i="18"/>
  <c r="V14" i="18"/>
  <c r="AA9" i="18"/>
  <c r="X17" i="2"/>
  <c r="X16" i="2"/>
  <c r="X18" i="2"/>
  <c r="X8" i="2"/>
  <c r="X9" i="2"/>
  <c r="X10" i="2"/>
  <c r="X11" i="2"/>
  <c r="Z10" i="18"/>
  <c r="Y11" i="18"/>
  <c r="AC5" i="18"/>
  <c r="V14" i="2"/>
  <c r="K1" i="18"/>
  <c r="K2" i="18" s="1"/>
  <c r="S30" i="2"/>
  <c r="T32" i="2"/>
  <c r="X34" i="2"/>
  <c r="X36" i="2"/>
  <c r="X35" i="2"/>
  <c r="T31" i="2"/>
  <c r="X33" i="2"/>
  <c r="V9" i="4"/>
  <c r="V9" i="13" s="1"/>
  <c r="V8" i="4"/>
  <c r="V8" i="13" s="1"/>
  <c r="V7" i="4"/>
  <c r="V7" i="13" s="1"/>
  <c r="W1" i="13"/>
  <c r="Y2" i="5"/>
  <c r="W1" i="4"/>
  <c r="A23" i="11" a="1"/>
  <c r="A23" i="11" s="1"/>
  <c r="Y5" i="2"/>
  <c r="V10" i="4"/>
  <c r="V10" i="13" s="1"/>
  <c r="X11" i="4"/>
  <c r="X11" i="13" s="1"/>
  <c r="Y36" i="2" a="1"/>
  <c r="U31" i="2" a="1"/>
  <c r="U32" i="2" a="1"/>
  <c r="T30" i="2" a="1"/>
  <c r="X29" i="2" a="1"/>
  <c r="Y33" i="2" a="1"/>
  <c r="Y34" i="2" a="1"/>
  <c r="X28" i="2" a="1"/>
  <c r="Y35" i="2" a="1"/>
  <c r="S38" i="18" a="1"/>
  <c r="V35" i="18" a="1"/>
  <c r="W34" i="18" a="1"/>
  <c r="X33" i="18" a="1"/>
  <c r="S37" i="18" a="1"/>
  <c r="U36" i="18" a="1"/>
  <c r="AB39" i="18" a="1"/>
  <c r="X25" i="2" a="1"/>
  <c r="X24" i="2" a="1"/>
  <c r="X20" i="2" a="1"/>
  <c r="X23" i="2" a="1"/>
  <c r="X21" i="2" a="1"/>
  <c r="X22" i="2" a="1"/>
  <c r="X27" i="2" a="1"/>
  <c r="X26" i="2" a="1"/>
  <c r="W28" i="18" a="1"/>
  <c r="V29" i="18" a="1"/>
  <c r="S31" i="18" a="1"/>
  <c r="S32" i="18" a="1"/>
  <c r="U30" i="18" a="1"/>
  <c r="X27" i="18" a="1"/>
  <c r="S17" i="18" a="1"/>
  <c r="Y10" i="2" a="1"/>
  <c r="U7" i="2" a="1"/>
  <c r="Y9" i="2" a="1"/>
  <c r="AB19" i="18" a="1"/>
  <c r="Y26" i="18" a="1"/>
  <c r="AB21" i="18" a="1"/>
  <c r="Y18" i="2" a="1"/>
  <c r="U7" i="18" a="1"/>
  <c r="X12" i="2" a="1"/>
  <c r="S24" i="18" a="1"/>
  <c r="Y17" i="2" a="1"/>
  <c r="V6" i="18" a="1"/>
  <c r="AC8" i="18" a="1"/>
  <c r="AB20" i="18" a="1"/>
  <c r="Y8" i="2" a="1"/>
  <c r="AB9" i="18" a="1"/>
  <c r="S18" i="18" a="1"/>
  <c r="S23" i="18" a="1"/>
  <c r="W14" i="18" a="1"/>
  <c r="Z25" i="18" a="1"/>
  <c r="T22" i="18" a="1"/>
  <c r="W13" i="2" a="1"/>
  <c r="X19" i="2" a="1"/>
  <c r="W14" i="2" a="1"/>
  <c r="Y11" i="2" a="1"/>
  <c r="W15" i="18" a="1"/>
  <c r="V6" i="2" a="1"/>
  <c r="Z11" i="18" a="1"/>
  <c r="Y12" i="18" a="1"/>
  <c r="W15" i="2" a="1"/>
  <c r="Y16" i="2" a="1"/>
  <c r="X13" i="18" a="1"/>
  <c r="AA10" i="18" a="1"/>
  <c r="T16" i="18" a="1"/>
  <c r="X28" i="2" l="1"/>
  <c r="X29" i="2"/>
  <c r="S38" i="18"/>
  <c r="S24" i="18"/>
  <c r="U36" i="18"/>
  <c r="S37" i="18"/>
  <c r="X33" i="18"/>
  <c r="W15" i="2"/>
  <c r="W34" i="18"/>
  <c r="V35" i="18"/>
  <c r="V6" i="2"/>
  <c r="T22" i="18"/>
  <c r="S23" i="18"/>
  <c r="U7" i="2"/>
  <c r="K14" i="5"/>
  <c r="K17" i="5"/>
  <c r="K16" i="5"/>
  <c r="K20" i="5"/>
  <c r="K19" i="5"/>
  <c r="K18" i="5"/>
  <c r="K15" i="5"/>
  <c r="K4" i="18"/>
  <c r="L5" i="5"/>
  <c r="AB39" i="18"/>
  <c r="X26" i="2"/>
  <c r="X27" i="2"/>
  <c r="X22" i="2"/>
  <c r="X21" i="2"/>
  <c r="X23" i="2"/>
  <c r="X20" i="2"/>
  <c r="X24" i="2"/>
  <c r="X25" i="2"/>
  <c r="X19" i="2"/>
  <c r="S32" i="18"/>
  <c r="S18" i="18"/>
  <c r="U30" i="18"/>
  <c r="T16" i="18"/>
  <c r="S17" i="18"/>
  <c r="S31" i="18"/>
  <c r="V29" i="18"/>
  <c r="Y26" i="18"/>
  <c r="W28" i="18"/>
  <c r="X27" i="18"/>
  <c r="Z25" i="18"/>
  <c r="W13" i="2"/>
  <c r="U7" i="18"/>
  <c r="W15" i="18"/>
  <c r="V6" i="18"/>
  <c r="X12" i="2"/>
  <c r="AB21" i="18"/>
  <c r="AB19" i="18"/>
  <c r="AB20" i="18"/>
  <c r="AC8" i="18"/>
  <c r="Z11" i="18"/>
  <c r="AB9" i="18"/>
  <c r="AA10" i="18"/>
  <c r="W14" i="18"/>
  <c r="Y12" i="18"/>
  <c r="X13" i="18"/>
  <c r="Y17" i="2"/>
  <c r="Y16" i="2"/>
  <c r="Y18" i="2"/>
  <c r="Y8" i="2"/>
  <c r="Y9" i="2"/>
  <c r="Y10" i="2"/>
  <c r="Y11" i="2"/>
  <c r="W14" i="2"/>
  <c r="L1" i="18"/>
  <c r="L2" i="18" s="1"/>
  <c r="T30" i="2"/>
  <c r="Y36" i="2"/>
  <c r="Y34" i="2"/>
  <c r="Y33" i="2"/>
  <c r="U32" i="2"/>
  <c r="U31" i="2"/>
  <c r="Y35" i="2"/>
  <c r="W9" i="4"/>
  <c r="W9" i="13" s="1"/>
  <c r="W7" i="4"/>
  <c r="W7" i="13" s="1"/>
  <c r="W10" i="4"/>
  <c r="W10" i="13" s="1"/>
  <c r="W8" i="4"/>
  <c r="W8" i="13" s="1"/>
  <c r="X1" i="13"/>
  <c r="X1" i="4"/>
  <c r="A24" i="11" a="1"/>
  <c r="A24" i="11" s="1"/>
  <c r="Z2" i="5"/>
  <c r="Z5" i="2"/>
  <c r="Z36" i="2" a="1"/>
  <c r="V32" i="2" a="1"/>
  <c r="V31" i="2" a="1"/>
  <c r="Z35" i="2" a="1"/>
  <c r="Y28" i="2" a="1"/>
  <c r="Z34" i="2" a="1"/>
  <c r="Y29" i="2" a="1"/>
  <c r="Z33" i="2" a="1"/>
  <c r="U30" i="2" a="1"/>
  <c r="T38" i="18" a="1"/>
  <c r="V36" i="18" a="1"/>
  <c r="T37" i="18" a="1"/>
  <c r="Y33" i="18" a="1"/>
  <c r="X34" i="18" a="1"/>
  <c r="W35" i="18" a="1"/>
  <c r="AC39" i="18" a="1"/>
  <c r="Y24" i="2" a="1"/>
  <c r="Y20" i="2" a="1"/>
  <c r="Y23" i="2" a="1"/>
  <c r="Y21" i="2" a="1"/>
  <c r="Y22" i="2" a="1"/>
  <c r="Y25" i="2" a="1"/>
  <c r="Y27" i="2" a="1"/>
  <c r="Y26" i="2" a="1"/>
  <c r="W29" i="18" a="1"/>
  <c r="X28" i="18" a="1"/>
  <c r="Y27" i="18" a="1"/>
  <c r="T32" i="18" a="1"/>
  <c r="V30" i="18" a="1"/>
  <c r="T31" i="18" a="1"/>
  <c r="X14" i="2" a="1"/>
  <c r="T24" i="18" a="1"/>
  <c r="AC20" i="18" a="1"/>
  <c r="AA25" i="18" a="1"/>
  <c r="AC9" i="18" a="1"/>
  <c r="Y19" i="2" a="1"/>
  <c r="T23" i="18" a="1"/>
  <c r="Z8" i="2" a="1"/>
  <c r="AB10" i="18" a="1"/>
  <c r="V7" i="18" a="1"/>
  <c r="Y13" i="18" a="1"/>
  <c r="AC21" i="18" a="1"/>
  <c r="AC19" i="18" a="1"/>
  <c r="T18" i="18" a="1"/>
  <c r="Z26" i="18" a="1"/>
  <c r="Z17" i="2" a="1"/>
  <c r="X15" i="18" a="1"/>
  <c r="V7" i="2" a="1"/>
  <c r="Z11" i="2" a="1"/>
  <c r="Z18" i="2" a="1"/>
  <c r="Z12" i="18" a="1"/>
  <c r="Y12" i="2" a="1"/>
  <c r="T17" i="18" a="1"/>
  <c r="W6" i="18" a="1"/>
  <c r="W6" i="2" a="1"/>
  <c r="Z16" i="2" a="1"/>
  <c r="Z10" i="2" a="1"/>
  <c r="Z9" i="2" a="1"/>
  <c r="U22" i="18" a="1"/>
  <c r="AA11" i="18" a="1"/>
  <c r="U16" i="18" a="1"/>
  <c r="X15" i="2" a="1"/>
  <c r="X13" i="2" a="1"/>
  <c r="X14" i="18" a="1"/>
  <c r="Y29" i="2" l="1"/>
  <c r="Y28" i="2"/>
  <c r="T24" i="18"/>
  <c r="T38" i="18"/>
  <c r="V7" i="2"/>
  <c r="T23" i="18"/>
  <c r="U22" i="18"/>
  <c r="W6" i="2"/>
  <c r="W35" i="18"/>
  <c r="X34" i="18"/>
  <c r="X15" i="2"/>
  <c r="Y33" i="18"/>
  <c r="T37" i="18"/>
  <c r="V36" i="18"/>
  <c r="L14" i="5"/>
  <c r="L19" i="5"/>
  <c r="L16" i="5"/>
  <c r="L20" i="5"/>
  <c r="L17" i="5"/>
  <c r="L15" i="5"/>
  <c r="L18" i="5"/>
  <c r="L4" i="18"/>
  <c r="M5" i="5"/>
  <c r="AC39" i="18"/>
  <c r="Y26" i="2"/>
  <c r="Y27" i="2"/>
  <c r="Y25" i="2"/>
  <c r="Y22" i="2"/>
  <c r="Y21" i="2"/>
  <c r="Y23" i="2"/>
  <c r="Y20" i="2"/>
  <c r="Y24" i="2"/>
  <c r="Y19" i="2"/>
  <c r="T18" i="18"/>
  <c r="T32" i="18"/>
  <c r="AA25" i="18"/>
  <c r="Y27" i="18"/>
  <c r="X28" i="18"/>
  <c r="Z26" i="18"/>
  <c r="W29" i="18"/>
  <c r="T31" i="18"/>
  <c r="T17" i="18"/>
  <c r="U16" i="18"/>
  <c r="V30" i="18"/>
  <c r="X13" i="2"/>
  <c r="Y12" i="2"/>
  <c r="W6" i="18"/>
  <c r="X15" i="18"/>
  <c r="V7" i="18"/>
  <c r="AC21" i="18"/>
  <c r="AC20" i="18"/>
  <c r="AC19" i="18"/>
  <c r="Z12" i="18"/>
  <c r="X14" i="18"/>
  <c r="AB10" i="18"/>
  <c r="AC9" i="18"/>
  <c r="AA11" i="18"/>
  <c r="Z17" i="2"/>
  <c r="Z16" i="2"/>
  <c r="Z18" i="2"/>
  <c r="Z8" i="2"/>
  <c r="Z9" i="2"/>
  <c r="Z10" i="2"/>
  <c r="Z11" i="2"/>
  <c r="Y13" i="18"/>
  <c r="X14" i="2"/>
  <c r="M1" i="18"/>
  <c r="M2" i="18" s="1"/>
  <c r="U30" i="2"/>
  <c r="Z36" i="2"/>
  <c r="Z35" i="2"/>
  <c r="Z33" i="2"/>
  <c r="Z34" i="2"/>
  <c r="V31" i="2"/>
  <c r="V32" i="2"/>
  <c r="X9" i="4"/>
  <c r="X9" i="13" s="1"/>
  <c r="X8" i="4"/>
  <c r="X8" i="13" s="1"/>
  <c r="X10" i="4"/>
  <c r="X10" i="13" s="1"/>
  <c r="AA2" i="5"/>
  <c r="AA5" i="2"/>
  <c r="X7" i="4"/>
  <c r="X7" i="13" s="1"/>
  <c r="AA36" i="2" a="1"/>
  <c r="AA35" i="2" a="1"/>
  <c r="AA33" i="2" a="1"/>
  <c r="AA34" i="2" a="1"/>
  <c r="Z28" i="2" a="1"/>
  <c r="W32" i="2" a="1"/>
  <c r="Z29" i="2" a="1"/>
  <c r="W31" i="2" a="1"/>
  <c r="V30" i="2" a="1"/>
  <c r="U38" i="18" a="1"/>
  <c r="X35" i="18" a="1"/>
  <c r="Y34" i="18" a="1"/>
  <c r="Z33" i="18" a="1"/>
  <c r="U37" i="18" a="1"/>
  <c r="W36" i="18" a="1"/>
  <c r="Z24" i="2" a="1"/>
  <c r="Z20" i="2" a="1"/>
  <c r="Z22" i="2" a="1"/>
  <c r="Z23" i="2" a="1"/>
  <c r="Z21" i="2" a="1"/>
  <c r="Z25" i="2" a="1"/>
  <c r="Z26" i="2" a="1"/>
  <c r="Z27" i="2" a="1"/>
  <c r="X29" i="18" a="1"/>
  <c r="Y28" i="18" a="1"/>
  <c r="Z27" i="18" a="1"/>
  <c r="U31" i="18" a="1"/>
  <c r="W30" i="18" a="1"/>
  <c r="U32" i="18" a="1"/>
  <c r="AA16" i="2" a="1"/>
  <c r="Y15" i="2" a="1"/>
  <c r="AA26" i="18" a="1"/>
  <c r="AA9" i="2" a="1"/>
  <c r="Y13" i="2" a="1"/>
  <c r="V16" i="18" a="1"/>
  <c r="AA8" i="2" a="1"/>
  <c r="X6" i="18" a="1"/>
  <c r="Y14" i="18" a="1"/>
  <c r="AA18" i="2" a="1"/>
  <c r="U17" i="18" a="1"/>
  <c r="X6" i="2" a="1"/>
  <c r="AB11" i="18" a="1"/>
  <c r="AB25" i="18" a="1"/>
  <c r="AA11" i="2" a="1"/>
  <c r="U23" i="18" a="1"/>
  <c r="U18" i="18" a="1"/>
  <c r="AA12" i="18" a="1"/>
  <c r="Z19" i="2" a="1"/>
  <c r="W7" i="18" a="1"/>
  <c r="AA17" i="2" a="1"/>
  <c r="U24" i="18" a="1"/>
  <c r="Z13" i="18" a="1"/>
  <c r="AA10" i="2" a="1"/>
  <c r="Y15" i="18" a="1"/>
  <c r="W7" i="2" a="1"/>
  <c r="V22" i="18" a="1"/>
  <c r="Y14" i="2" a="1"/>
  <c r="Z12" i="2" a="1"/>
  <c r="AC10" i="18" a="1"/>
  <c r="Z29" i="2" l="1"/>
  <c r="Z28" i="2"/>
  <c r="U38" i="18"/>
  <c r="U24" i="18"/>
  <c r="W36" i="18"/>
  <c r="U37" i="18"/>
  <c r="Z33" i="18"/>
  <c r="Y15" i="2"/>
  <c r="Y34" i="18"/>
  <c r="X35" i="18"/>
  <c r="X6" i="2"/>
  <c r="V22" i="18"/>
  <c r="U23" i="18"/>
  <c r="W7" i="2"/>
  <c r="M14" i="5"/>
  <c r="M17" i="5"/>
  <c r="M19" i="5"/>
  <c r="M16" i="5"/>
  <c r="M20" i="5"/>
  <c r="M15" i="5"/>
  <c r="M18" i="5"/>
  <c r="M4" i="18"/>
  <c r="N5" i="5"/>
  <c r="Z27" i="2"/>
  <c r="Z26" i="2"/>
  <c r="Z25" i="2"/>
  <c r="Z21" i="2"/>
  <c r="Z23" i="2"/>
  <c r="Z19" i="2"/>
  <c r="Z22" i="2"/>
  <c r="Z20" i="2"/>
  <c r="Z24" i="2"/>
  <c r="U32" i="18"/>
  <c r="U18" i="18"/>
  <c r="W30" i="18"/>
  <c r="V16" i="18"/>
  <c r="U31" i="18"/>
  <c r="U17" i="18"/>
  <c r="X29" i="18"/>
  <c r="AA26" i="18"/>
  <c r="Y28" i="18"/>
  <c r="Z27" i="18"/>
  <c r="AB25" i="18"/>
  <c r="W7" i="18"/>
  <c r="Z12" i="2"/>
  <c r="Y13" i="2"/>
  <c r="Y15" i="18"/>
  <c r="X6" i="18"/>
  <c r="AA16" i="2"/>
  <c r="AA17" i="2"/>
  <c r="AA18" i="2"/>
  <c r="AA8" i="2"/>
  <c r="AA9" i="2"/>
  <c r="AA10" i="2"/>
  <c r="AA11" i="2"/>
  <c r="AB11" i="18"/>
  <c r="Z13" i="18"/>
  <c r="AC10" i="18"/>
  <c r="Y14" i="18"/>
  <c r="AA12" i="18"/>
  <c r="Y14" i="2"/>
  <c r="N1" i="18"/>
  <c r="N2" i="18" s="1"/>
  <c r="V30" i="2"/>
  <c r="AA33" i="2"/>
  <c r="AA34" i="2"/>
  <c r="W32" i="2"/>
  <c r="AA36" i="2"/>
  <c r="AA35" i="2"/>
  <c r="W31" i="2"/>
  <c r="AB2" i="5"/>
  <c r="AB5" i="2"/>
  <c r="AB36" i="2" a="1"/>
  <c r="X31" i="2" a="1"/>
  <c r="X32" i="2" a="1"/>
  <c r="AA28" i="2" a="1"/>
  <c r="AB35" i="2" a="1"/>
  <c r="AB34" i="2" a="1"/>
  <c r="AB33" i="2" a="1"/>
  <c r="AA29" i="2" a="1"/>
  <c r="W30" i="2" a="1"/>
  <c r="V38" i="18" a="1"/>
  <c r="X36" i="18" a="1"/>
  <c r="V37" i="18" a="1"/>
  <c r="AA33" i="18" a="1"/>
  <c r="Y35" i="18" a="1"/>
  <c r="Z34" i="18" a="1"/>
  <c r="AA25" i="2" a="1"/>
  <c r="AA24" i="2" a="1"/>
  <c r="AA23" i="2" a="1"/>
  <c r="AA27" i="2" a="1"/>
  <c r="AA22" i="2" a="1"/>
  <c r="AA26" i="2" a="1"/>
  <c r="AA21" i="2" a="1"/>
  <c r="AA20" i="2" a="1"/>
  <c r="V31" i="18" a="1"/>
  <c r="X30" i="18" a="1"/>
  <c r="Y29" i="18" a="1"/>
  <c r="Z28" i="18" a="1"/>
  <c r="AA27" i="18" a="1"/>
  <c r="V32" i="18" a="1"/>
  <c r="Z14" i="2" a="1"/>
  <c r="AB10" i="2" a="1"/>
  <c r="V17" i="18" a="1"/>
  <c r="AC25" i="18" a="1"/>
  <c r="X7" i="18" a="1"/>
  <c r="AB9" i="2" a="1"/>
  <c r="V24" i="18" a="1"/>
  <c r="Z13" i="2" a="1"/>
  <c r="AA19" i="2" a="1"/>
  <c r="AC11" i="18" a="1"/>
  <c r="Z14" i="18" a="1"/>
  <c r="AB26" i="18" a="1"/>
  <c r="Z15" i="18" a="1"/>
  <c r="W16" i="18" a="1"/>
  <c r="Y6" i="2" a="1"/>
  <c r="X7" i="2" a="1"/>
  <c r="V18" i="18" a="1"/>
  <c r="AB12" i="18" a="1"/>
  <c r="AA12" i="2" a="1"/>
  <c r="AB8" i="2" a="1"/>
  <c r="Y6" i="18" a="1"/>
  <c r="AB11" i="2" a="1"/>
  <c r="AB16" i="2" a="1"/>
  <c r="V23" i="18" a="1"/>
  <c r="W22" i="18" a="1"/>
  <c r="AA13" i="18" a="1"/>
  <c r="Z15" i="2" a="1"/>
  <c r="AB17" i="2" a="1"/>
  <c r="AB18" i="2" a="1"/>
  <c r="AA29" i="2" l="1"/>
  <c r="AA28" i="2"/>
  <c r="V24" i="18"/>
  <c r="V38" i="18"/>
  <c r="X7" i="2"/>
  <c r="V23" i="18"/>
  <c r="W22" i="18"/>
  <c r="Y6" i="2"/>
  <c r="Z34" i="18"/>
  <c r="Z15" i="2"/>
  <c r="Y35" i="18"/>
  <c r="AA33" i="18"/>
  <c r="V37" i="18"/>
  <c r="X36" i="18"/>
  <c r="N14" i="5"/>
  <c r="N16" i="5"/>
  <c r="N18" i="5"/>
  <c r="N20" i="5"/>
  <c r="N15" i="5"/>
  <c r="N17" i="5"/>
  <c r="N19" i="5"/>
  <c r="N4" i="18"/>
  <c r="O5" i="5"/>
  <c r="AA20" i="2"/>
  <c r="AA21" i="2"/>
  <c r="AA26" i="2"/>
  <c r="AA22" i="2"/>
  <c r="AA27" i="2"/>
  <c r="AA23" i="2"/>
  <c r="AA24" i="2"/>
  <c r="AA25" i="2"/>
  <c r="AA19" i="2"/>
  <c r="V18" i="18"/>
  <c r="V32" i="18"/>
  <c r="AC25" i="18"/>
  <c r="AA27" i="18"/>
  <c r="Z28" i="18"/>
  <c r="AB26" i="18"/>
  <c r="Y29" i="18"/>
  <c r="V17" i="18"/>
  <c r="V31" i="18"/>
  <c r="W16" i="18"/>
  <c r="X30" i="18"/>
  <c r="AA12" i="2"/>
  <c r="X7" i="18"/>
  <c r="Y6" i="18"/>
  <c r="Z15" i="18"/>
  <c r="Z13" i="2"/>
  <c r="AC11" i="18"/>
  <c r="AA13" i="18"/>
  <c r="AB12" i="18"/>
  <c r="AB17" i="2"/>
  <c r="AB16" i="2"/>
  <c r="AB18" i="2"/>
  <c r="AB8" i="2"/>
  <c r="AB9" i="2"/>
  <c r="AB10" i="2"/>
  <c r="AB11" i="2"/>
  <c r="Z14" i="18"/>
  <c r="Z14" i="2"/>
  <c r="O1" i="18"/>
  <c r="O2" i="18" s="1"/>
  <c r="W30" i="2"/>
  <c r="AB33" i="2"/>
  <c r="X32" i="2"/>
  <c r="AB34" i="2"/>
  <c r="AB35" i="2"/>
  <c r="AB36" i="2"/>
  <c r="X31" i="2"/>
  <c r="AC2" i="5"/>
  <c r="AC5" i="2"/>
  <c r="AC36" i="2" a="1"/>
  <c r="Y32" i="2" a="1"/>
  <c r="X30" i="2" a="1"/>
  <c r="Y31" i="2" a="1"/>
  <c r="AC33" i="2" a="1"/>
  <c r="AC35" i="2" a="1"/>
  <c r="AB28" i="2" a="1"/>
  <c r="AB29" i="2" a="1"/>
  <c r="AC34" i="2" a="1"/>
  <c r="W38" i="18" a="1"/>
  <c r="AA34" i="18" a="1"/>
  <c r="Z35" i="18" a="1"/>
  <c r="AB33" i="18" a="1"/>
  <c r="W37" i="18" a="1"/>
  <c r="Y36" i="18" a="1"/>
  <c r="AB21" i="2" a="1"/>
  <c r="AB20" i="2" a="1"/>
  <c r="AB24" i="2" a="1"/>
  <c r="AB27" i="2" a="1"/>
  <c r="AB22" i="2" a="1"/>
  <c r="AB25" i="2" a="1"/>
  <c r="AB23" i="2" a="1"/>
  <c r="AB26" i="2" a="1"/>
  <c r="Z29" i="18" a="1"/>
  <c r="AA28" i="18" a="1"/>
  <c r="W31" i="18" a="1"/>
  <c r="Y30" i="18" a="1"/>
  <c r="W32" i="18" a="1"/>
  <c r="AB27" i="18" a="1"/>
  <c r="Y7" i="2" a="1"/>
  <c r="X16" i="18" a="1"/>
  <c r="AC17" i="2" a="1"/>
  <c r="AA13" i="2" a="1"/>
  <c r="W24" i="18" a="1"/>
  <c r="Y7" i="18" a="1"/>
  <c r="AC9" i="2" a="1"/>
  <c r="AB19" i="2" a="1"/>
  <c r="AC8" i="2" a="1"/>
  <c r="AB12" i="2" a="1"/>
  <c r="Z6" i="18" a="1"/>
  <c r="AC11" i="2" a="1"/>
  <c r="AA14" i="18" a="1"/>
  <c r="W18" i="18" a="1"/>
  <c r="AC16" i="2" a="1"/>
  <c r="AA15" i="2" a="1"/>
  <c r="X22" i="18" a="1"/>
  <c r="AB13" i="18" a="1"/>
  <c r="Z6" i="2" a="1"/>
  <c r="AA14" i="2" a="1"/>
  <c r="AC12" i="18" a="1"/>
  <c r="W17" i="18" a="1"/>
  <c r="AC10" i="2" a="1"/>
  <c r="AC18" i="2" a="1"/>
  <c r="W23" i="18" a="1"/>
  <c r="AA15" i="18" a="1"/>
  <c r="AC26" i="18" a="1"/>
  <c r="AB29" i="2" l="1"/>
  <c r="AB28" i="2"/>
  <c r="W38" i="18"/>
  <c r="W24" i="18"/>
  <c r="Y36" i="18"/>
  <c r="W37" i="18"/>
  <c r="AB33" i="18"/>
  <c r="Z35" i="18"/>
  <c r="Z6" i="2"/>
  <c r="X22" i="18"/>
  <c r="AA15" i="2"/>
  <c r="W23" i="18"/>
  <c r="AA34" i="18"/>
  <c r="Y7" i="2"/>
  <c r="O14" i="5"/>
  <c r="O16" i="5"/>
  <c r="O18" i="5"/>
  <c r="O20" i="5"/>
  <c r="O15" i="5"/>
  <c r="O17" i="5"/>
  <c r="O19" i="5"/>
  <c r="O4" i="18"/>
  <c r="P5" i="5"/>
  <c r="AB26" i="2"/>
  <c r="AB23" i="2"/>
  <c r="AB25" i="2"/>
  <c r="AB22" i="2"/>
  <c r="AB27" i="2"/>
  <c r="AB24" i="2"/>
  <c r="AB20" i="2"/>
  <c r="AB19" i="2"/>
  <c r="AB21" i="2"/>
  <c r="W32" i="18"/>
  <c r="W18" i="18"/>
  <c r="Y30" i="18"/>
  <c r="W31" i="18"/>
  <c r="W17" i="18"/>
  <c r="X16" i="18"/>
  <c r="Z29" i="18"/>
  <c r="AC26" i="18"/>
  <c r="AA28" i="18"/>
  <c r="AB27" i="18"/>
  <c r="AA15" i="18"/>
  <c r="Z6" i="18"/>
  <c r="AA13" i="2"/>
  <c r="Y7" i="18"/>
  <c r="AB12" i="2"/>
  <c r="AC16" i="2"/>
  <c r="AC17" i="2"/>
  <c r="AC18" i="2"/>
  <c r="AC8" i="2"/>
  <c r="AC9" i="2"/>
  <c r="AC10" i="2"/>
  <c r="AC11" i="2"/>
  <c r="AC12" i="18"/>
  <c r="AA14" i="18"/>
  <c r="AB13" i="18"/>
  <c r="AA14" i="2"/>
  <c r="P1" i="18"/>
  <c r="P2" i="18" s="1"/>
  <c r="X30" i="2"/>
  <c r="Y32" i="2"/>
  <c r="AC33" i="2"/>
  <c r="AC35" i="2"/>
  <c r="AC34" i="2"/>
  <c r="AC36" i="2"/>
  <c r="Y31" i="2"/>
  <c r="AD2" i="5"/>
  <c r="Z32" i="2" a="1"/>
  <c r="AC28" i="2" a="1"/>
  <c r="Z31" i="2" a="1"/>
  <c r="AC29" i="2" a="1"/>
  <c r="Y30" i="2" a="1"/>
  <c r="X38" i="18" a="1"/>
  <c r="Z36" i="18" a="1"/>
  <c r="X37" i="18" a="1"/>
  <c r="AC33" i="18" a="1"/>
  <c r="AA35" i="18" a="1"/>
  <c r="AB34" i="18" a="1"/>
  <c r="AC21" i="2" a="1"/>
  <c r="AC22" i="2" a="1"/>
  <c r="AC24" i="2" a="1"/>
  <c r="AC23" i="2" a="1"/>
  <c r="AC27" i="2" a="1"/>
  <c r="AC20" i="2" a="1"/>
  <c r="AC26" i="2" a="1"/>
  <c r="AC25" i="2" a="1"/>
  <c r="AA29" i="18" a="1"/>
  <c r="X32" i="18" a="1"/>
  <c r="Z30" i="18" a="1"/>
  <c r="X31" i="18" a="1"/>
  <c r="AB28" i="18" a="1"/>
  <c r="AC27" i="18" a="1"/>
  <c r="Z7" i="18" a="1"/>
  <c r="Y16" i="18" a="1"/>
  <c r="AB15" i="2" a="1"/>
  <c r="AB13" i="2" a="1"/>
  <c r="X24" i="18" a="1"/>
  <c r="AC13" i="18" a="1"/>
  <c r="AA6" i="18" a="1"/>
  <c r="Z7" i="2" a="1"/>
  <c r="AC12" i="2" a="1"/>
  <c r="X18" i="18" a="1"/>
  <c r="AB15" i="18" a="1"/>
  <c r="AA6" i="2" a="1"/>
  <c r="X17" i="18" a="1"/>
  <c r="AC19" i="2" a="1"/>
  <c r="AB14" i="2" a="1"/>
  <c r="AB14" i="18" a="1"/>
  <c r="X23" i="18" a="1"/>
  <c r="Y22" i="18" a="1"/>
  <c r="AC29" i="2" l="1"/>
  <c r="AC28" i="2"/>
  <c r="X24" i="18"/>
  <c r="X38" i="18"/>
  <c r="AB34" i="18"/>
  <c r="X23" i="18"/>
  <c r="AB15" i="2"/>
  <c r="AA6" i="2"/>
  <c r="AA35" i="18"/>
  <c r="Z7" i="2"/>
  <c r="AC33" i="18"/>
  <c r="Y22" i="18"/>
  <c r="X37" i="18"/>
  <c r="Z36" i="18"/>
  <c r="P14" i="5"/>
  <c r="P16" i="5"/>
  <c r="P18" i="5"/>
  <c r="P20" i="5"/>
  <c r="P15" i="5"/>
  <c r="P17" i="5"/>
  <c r="P19" i="5"/>
  <c r="P4" i="18"/>
  <c r="Q5" i="5"/>
  <c r="AC19" i="2"/>
  <c r="AC25" i="2"/>
  <c r="AC26" i="2"/>
  <c r="AC20" i="2"/>
  <c r="AC27" i="2"/>
  <c r="AC23" i="2"/>
  <c r="AC24" i="2"/>
  <c r="AC22" i="2"/>
  <c r="AC21" i="2"/>
  <c r="X18" i="18"/>
  <c r="X32" i="18"/>
  <c r="AA29" i="18"/>
  <c r="Y16" i="18"/>
  <c r="X17" i="18"/>
  <c r="AB28" i="18"/>
  <c r="X31" i="18"/>
  <c r="AC27" i="18"/>
  <c r="Z30" i="18"/>
  <c r="AB13" i="2"/>
  <c r="Z7" i="18"/>
  <c r="AC12" i="2"/>
  <c r="AA6" i="18"/>
  <c r="AB15" i="18"/>
  <c r="AB14" i="18"/>
  <c r="AC13" i="18"/>
  <c r="AB14" i="2"/>
  <c r="Q1" i="18"/>
  <c r="Q2" i="18" s="1"/>
  <c r="Y30" i="2"/>
  <c r="Z31" i="2"/>
  <c r="Z32" i="2"/>
  <c r="AA32" i="2" a="1"/>
  <c r="AA31" i="2" a="1"/>
  <c r="Z30" i="2" a="1"/>
  <c r="Y38" i="18" a="1"/>
  <c r="AC34" i="18" a="1"/>
  <c r="AB35" i="18" a="1"/>
  <c r="Y37" i="18" a="1"/>
  <c r="AA36" i="18" a="1"/>
  <c r="Y32" i="18" a="1"/>
  <c r="AB29" i="18" a="1"/>
  <c r="Y31" i="18" a="1"/>
  <c r="AC28" i="18" a="1"/>
  <c r="AA30" i="18" a="1"/>
  <c r="Y24" i="18" a="1"/>
  <c r="AC14" i="2" a="1"/>
  <c r="AA7" i="2" a="1"/>
  <c r="Y17" i="18" a="1"/>
  <c r="Y23" i="18" a="1"/>
  <c r="Z16" i="18" a="1"/>
  <c r="AC15" i="2" a="1"/>
  <c r="Z22" i="18" a="1"/>
  <c r="AA7" i="18" a="1"/>
  <c r="AC14" i="18" a="1"/>
  <c r="AB6" i="2" a="1"/>
  <c r="Y18" i="18" a="1"/>
  <c r="AB6" i="18" a="1"/>
  <c r="AC15" i="18" a="1"/>
  <c r="AC13" i="2" a="1"/>
  <c r="Y24" i="18" l="1"/>
  <c r="Y38" i="18"/>
  <c r="AA36" i="18"/>
  <c r="Y37" i="18"/>
  <c r="Z22" i="18"/>
  <c r="AA7" i="2"/>
  <c r="AB35" i="18"/>
  <c r="AB6" i="2"/>
  <c r="AC15" i="2"/>
  <c r="Y23" i="18"/>
  <c r="AC34" i="18"/>
  <c r="Q14" i="5"/>
  <c r="Q20" i="5"/>
  <c r="Q17" i="5"/>
  <c r="Q16" i="5"/>
  <c r="Q18" i="5"/>
  <c r="Q15" i="5"/>
  <c r="Q19" i="5"/>
  <c r="Q4" i="18"/>
  <c r="R5" i="5"/>
  <c r="Y32" i="18"/>
  <c r="Y18" i="18"/>
  <c r="Y31" i="18"/>
  <c r="Y17" i="18"/>
  <c r="AA30" i="18"/>
  <c r="AC28" i="18"/>
  <c r="Z16" i="18"/>
  <c r="AB29" i="18"/>
  <c r="AC15" i="18"/>
  <c r="AB6" i="18"/>
  <c r="AA7" i="18"/>
  <c r="AC13" i="2"/>
  <c r="AC14" i="18"/>
  <c r="AC14" i="2"/>
  <c r="R1" i="18"/>
  <c r="R2" i="18" s="1"/>
  <c r="Z30" i="2"/>
  <c r="AA32" i="2"/>
  <c r="AA31" i="2"/>
  <c r="AA30" i="2" a="1"/>
  <c r="AB32" i="2" a="1"/>
  <c r="AB31" i="2" a="1"/>
  <c r="Z38" i="18" a="1"/>
  <c r="AB36" i="18" a="1"/>
  <c r="Z37" i="18" a="1"/>
  <c r="AC35" i="18" a="1"/>
  <c r="AB30" i="18" a="1"/>
  <c r="AC29" i="18" a="1"/>
  <c r="Z32" i="18" a="1"/>
  <c r="Z31" i="18" a="1"/>
  <c r="AA16" i="18" a="1"/>
  <c r="AC6" i="18" a="1"/>
  <c r="AC6" i="2" a="1"/>
  <c r="Z23" i="18" a="1"/>
  <c r="Z17" i="18" a="1"/>
  <c r="Z24" i="18" a="1"/>
  <c r="AB7" i="2" a="1"/>
  <c r="Z18" i="18" a="1"/>
  <c r="AA22" i="18" a="1"/>
  <c r="AB7" i="18" a="1"/>
  <c r="Z38" i="18" l="1"/>
  <c r="Z24" i="18"/>
  <c r="Z23" i="18"/>
  <c r="AC6" i="2"/>
  <c r="AC35" i="18"/>
  <c r="AB7" i="2"/>
  <c r="AA22" i="18"/>
  <c r="Z37" i="18"/>
  <c r="AB36" i="18"/>
  <c r="R14" i="5"/>
  <c r="R16" i="5"/>
  <c r="R18" i="5"/>
  <c r="R17" i="5"/>
  <c r="R20" i="5"/>
  <c r="R15" i="5"/>
  <c r="R19" i="5"/>
  <c r="R4" i="18"/>
  <c r="S5" i="5"/>
  <c r="Z18" i="18"/>
  <c r="Z32" i="18"/>
  <c r="AC29" i="18"/>
  <c r="Z31" i="18"/>
  <c r="AB30" i="18"/>
  <c r="AA16" i="18"/>
  <c r="Z17" i="18"/>
  <c r="AB7" i="18"/>
  <c r="AC6" i="18"/>
  <c r="S1" i="18"/>
  <c r="S2" i="18" s="1"/>
  <c r="AA30" i="2"/>
  <c r="AB31" i="2"/>
  <c r="AB32" i="2"/>
  <c r="AC31" i="2" a="1"/>
  <c r="AB30" i="2" a="1"/>
  <c r="AC32" i="2" a="1"/>
  <c r="AA38" i="18" a="1"/>
  <c r="AA37" i="18" a="1"/>
  <c r="AC36" i="18" a="1"/>
  <c r="AA32" i="18" a="1"/>
  <c r="AA31" i="18" a="1"/>
  <c r="AC30" i="18" a="1"/>
  <c r="AA23" i="18" a="1"/>
  <c r="AC7" i="2" a="1"/>
  <c r="AB22" i="18" a="1"/>
  <c r="AB16" i="18" a="1"/>
  <c r="AA17" i="18" a="1"/>
  <c r="AA24" i="18" a="1"/>
  <c r="AC7" i="18" a="1"/>
  <c r="AA18" i="18" a="1"/>
  <c r="AA24" i="18" l="1"/>
  <c r="AA38" i="18"/>
  <c r="AC36" i="18"/>
  <c r="AA37" i="18"/>
  <c r="AB22" i="18"/>
  <c r="AC7" i="2"/>
  <c r="AA23" i="18"/>
  <c r="S14" i="5"/>
  <c r="S16" i="5"/>
  <c r="S19" i="5"/>
  <c r="S18" i="5"/>
  <c r="S20" i="5"/>
  <c r="S15" i="5"/>
  <c r="S17" i="5"/>
  <c r="S4" i="18"/>
  <c r="T5" i="5"/>
  <c r="AA32" i="18"/>
  <c r="AA18" i="18"/>
  <c r="AA17" i="18"/>
  <c r="AB16" i="18"/>
  <c r="AC30" i="18"/>
  <c r="AA31" i="18"/>
  <c r="AC7" i="18"/>
  <c r="T1" i="18"/>
  <c r="T2" i="18" s="1"/>
  <c r="AB30" i="2"/>
  <c r="AC31" i="2"/>
  <c r="AC32" i="2"/>
  <c r="AC30" i="2" a="1"/>
  <c r="AB38" i="18" a="1"/>
  <c r="AB37" i="18" a="1"/>
  <c r="AB32" i="18" a="1"/>
  <c r="AB31" i="18" a="1"/>
  <c r="AB18" i="18" a="1"/>
  <c r="AB24" i="18" a="1"/>
  <c r="AB23" i="18" a="1"/>
  <c r="AC22" i="18" a="1"/>
  <c r="AB17" i="18" a="1"/>
  <c r="AC16" i="18" a="1"/>
  <c r="AB38" i="18" l="1"/>
  <c r="AB24" i="18"/>
  <c r="AB23" i="18"/>
  <c r="AC22" i="18"/>
  <c r="AB37" i="18"/>
  <c r="T14" i="5"/>
  <c r="T15" i="5"/>
  <c r="T17" i="5"/>
  <c r="T19" i="5"/>
  <c r="T16" i="5"/>
  <c r="T18" i="5"/>
  <c r="T20" i="5"/>
  <c r="T4" i="18"/>
  <c r="U5" i="5"/>
  <c r="AB18" i="18"/>
  <c r="AB32" i="18"/>
  <c r="AC16" i="18"/>
  <c r="AB31" i="18"/>
  <c r="AB17" i="18"/>
  <c r="U1" i="18"/>
  <c r="U2" i="18" s="1"/>
  <c r="AC30" i="2"/>
  <c r="AC38" i="18" a="1"/>
  <c r="AC37" i="18" a="1"/>
  <c r="AC32" i="18" a="1"/>
  <c r="AC31" i="18" a="1"/>
  <c r="AC18" i="18" a="1"/>
  <c r="AC24" i="18" a="1"/>
  <c r="AC23" i="18" a="1"/>
  <c r="AC17" i="18" a="1"/>
  <c r="AC24" i="18" l="1"/>
  <c r="AC38" i="18"/>
  <c r="AC23" i="18"/>
  <c r="AC37" i="18"/>
  <c r="U14" i="5"/>
  <c r="U15" i="5"/>
  <c r="U17" i="5"/>
  <c r="U19" i="5"/>
  <c r="U16" i="5"/>
  <c r="U18" i="5"/>
  <c r="U20" i="5"/>
  <c r="U4" i="18"/>
  <c r="V5" i="5"/>
  <c r="AC32" i="18"/>
  <c r="AC18" i="18"/>
  <c r="AC17" i="18"/>
  <c r="AC31" i="18"/>
  <c r="V1" i="18"/>
  <c r="V2" i="18" s="1"/>
  <c r="V14" i="5" l="1"/>
  <c r="V15" i="5"/>
  <c r="V17" i="5"/>
  <c r="V19" i="5"/>
  <c r="V16" i="5"/>
  <c r="V18" i="5"/>
  <c r="V20" i="5"/>
  <c r="V4" i="18"/>
  <c r="W5" i="5"/>
  <c r="W1" i="18"/>
  <c r="W2" i="18" s="1"/>
  <c r="W14" i="5" l="1"/>
  <c r="W19" i="5"/>
  <c r="W15" i="5"/>
  <c r="W17" i="5"/>
  <c r="W16" i="5"/>
  <c r="W18" i="5"/>
  <c r="W20" i="5"/>
  <c r="W4" i="18"/>
  <c r="X5" i="5"/>
  <c r="X1" i="18"/>
  <c r="X2" i="18" s="1"/>
  <c r="X14" i="5" l="1"/>
  <c r="X15" i="5"/>
  <c r="X17" i="5"/>
  <c r="X19" i="5"/>
  <c r="X16" i="5"/>
  <c r="X18" i="5"/>
  <c r="X20" i="5"/>
  <c r="X4" i="18"/>
  <c r="Y5" i="5"/>
  <c r="Y1" i="18"/>
  <c r="Y2" i="18" s="1"/>
  <c r="Y14" i="5" l="1"/>
  <c r="Y20" i="5"/>
  <c r="Y17" i="5"/>
  <c r="Y19" i="5"/>
  <c r="Y18" i="5"/>
  <c r="Y15" i="5"/>
  <c r="Y16" i="5"/>
  <c r="Y4" i="18"/>
  <c r="Z5" i="5"/>
  <c r="Z1" i="18"/>
  <c r="Z2" i="18" s="1"/>
  <c r="Z14" i="5" l="1"/>
  <c r="Z16" i="5"/>
  <c r="Z18" i="5"/>
  <c r="Z20" i="5"/>
  <c r="Z15" i="5"/>
  <c r="Z17" i="5"/>
  <c r="Z19" i="5"/>
  <c r="Z4" i="18"/>
  <c r="AA5" i="5"/>
  <c r="AA1" i="18"/>
  <c r="AA2" i="18" s="1"/>
  <c r="AA14" i="5" l="1"/>
  <c r="AA16" i="5"/>
  <c r="AA18" i="5"/>
  <c r="AA20" i="5"/>
  <c r="AA15" i="5"/>
  <c r="AA17" i="5"/>
  <c r="AA19" i="5"/>
  <c r="AA4" i="18"/>
  <c r="AB5" i="5"/>
  <c r="AB1" i="18"/>
  <c r="AB2" i="18" s="1"/>
  <c r="AB14" i="5" l="1"/>
  <c r="AB16" i="5"/>
  <c r="AB18" i="5"/>
  <c r="AB20" i="5"/>
  <c r="AB15" i="5"/>
  <c r="AB17" i="5"/>
  <c r="AB19" i="5"/>
  <c r="AB4" i="18"/>
  <c r="AC5" i="5"/>
  <c r="AC17" i="5" s="1"/>
  <c r="AC1" i="18"/>
  <c r="AC2" i="18" s="1"/>
  <c r="AD5" i="5" s="1"/>
  <c r="B2" i="4"/>
  <c r="B2" i="13" s="1"/>
  <c r="B6" i="4"/>
  <c r="B6" i="13" s="1"/>
  <c r="B4" i="4"/>
  <c r="B4" i="13" s="1"/>
  <c r="B5" i="4"/>
  <c r="B5" i="13" s="1"/>
  <c r="B3" i="4"/>
  <c r="B3" i="13" s="1"/>
  <c r="C1" i="2"/>
  <c r="C2" i="2" s="1"/>
  <c r="AD14" i="5" l="1"/>
  <c r="AD16" i="5"/>
  <c r="AD20" i="5"/>
  <c r="AD15" i="5"/>
  <c r="AD18" i="5"/>
  <c r="AD19" i="5"/>
  <c r="AD17" i="5"/>
  <c r="AC14" i="5"/>
  <c r="AC18" i="5"/>
  <c r="AC16" i="5"/>
  <c r="AC20" i="5"/>
  <c r="AC15" i="5"/>
  <c r="AC19" i="5"/>
  <c r="E5" i="17" a="1"/>
  <c r="E5" i="17" s="1"/>
  <c r="AC4" i="18"/>
  <c r="D4" i="5"/>
  <c r="C4" i="2"/>
  <c r="B2" i="11" a="1"/>
  <c r="B2" i="11" s="1"/>
  <c r="D6" i="5" l="1"/>
  <c r="D10" i="5"/>
  <c r="D13" i="5"/>
  <c r="D12" i="5"/>
  <c r="D9" i="5"/>
  <c r="D8" i="5"/>
  <c r="D11" i="5"/>
  <c r="D7" i="5"/>
  <c r="D2" i="11" l="1" a="1"/>
  <c r="D2" i="11" s="1"/>
  <c r="F2" i="11" a="1"/>
  <c r="F2" i="11" s="1"/>
  <c r="G2" i="11" a="1"/>
  <c r="G2" i="11" s="1"/>
  <c r="E2" i="11" a="1"/>
  <c r="E2" i="11" s="1"/>
  <c r="F6" i="4"/>
  <c r="F6" i="13" s="1"/>
  <c r="P2" i="4"/>
  <c r="P2" i="13" s="1"/>
  <c r="N3" i="4"/>
  <c r="N3" i="13" s="1"/>
  <c r="F4" i="4"/>
  <c r="F4" i="13" s="1"/>
  <c r="V6" i="4"/>
  <c r="V6" i="13" s="1"/>
  <c r="V5" i="4"/>
  <c r="V5" i="13" s="1"/>
  <c r="J3" i="4"/>
  <c r="J3" i="13" s="1"/>
  <c r="E4" i="4"/>
  <c r="E4" i="13" s="1"/>
  <c r="D4" i="4"/>
  <c r="D4" i="13" s="1"/>
  <c r="O2" i="4"/>
  <c r="O2" i="13" s="1"/>
  <c r="P6" i="4"/>
  <c r="P6" i="13" s="1"/>
  <c r="G6" i="4"/>
  <c r="G6" i="13" s="1"/>
  <c r="P1" i="2"/>
  <c r="N4" i="4"/>
  <c r="N4" i="13" s="1"/>
  <c r="AA1" i="2"/>
  <c r="W6" i="4"/>
  <c r="W6" i="13" s="1"/>
  <c r="C2" i="4"/>
  <c r="C2" i="13" s="1"/>
  <c r="L5" i="4"/>
  <c r="L5" i="13" s="1"/>
  <c r="I3" i="4"/>
  <c r="I3" i="13" s="1"/>
  <c r="Q2" i="4"/>
  <c r="Q2" i="13" s="1"/>
  <c r="S4" i="4"/>
  <c r="S4" i="13" s="1"/>
  <c r="T1" i="2"/>
  <c r="R1" i="2"/>
  <c r="X4" i="4"/>
  <c r="X4" i="13" s="1"/>
  <c r="G3" i="4"/>
  <c r="G3" i="13" s="1"/>
  <c r="C3" i="4"/>
  <c r="C3" i="13" s="1"/>
  <c r="T5" i="4"/>
  <c r="T5" i="13" s="1"/>
  <c r="J6" i="4"/>
  <c r="J6" i="13" s="1"/>
  <c r="R6" i="4"/>
  <c r="R6" i="13" s="1"/>
  <c r="I5" i="4"/>
  <c r="I5" i="13" s="1"/>
  <c r="X3" i="4"/>
  <c r="X3" i="13" s="1"/>
  <c r="Q1" i="2"/>
  <c r="F3" i="4"/>
  <c r="F3" i="13" s="1"/>
  <c r="S2" i="4"/>
  <c r="S2" i="13" s="1"/>
  <c r="M2" i="4"/>
  <c r="M2" i="13" s="1"/>
  <c r="P3" i="4"/>
  <c r="P3" i="13" s="1"/>
  <c r="O5" i="4"/>
  <c r="O5" i="13" s="1"/>
  <c r="R3" i="4"/>
  <c r="R3" i="13" s="1"/>
  <c r="Q5" i="4"/>
  <c r="Q5" i="13" s="1"/>
  <c r="F2" i="4"/>
  <c r="F2" i="13" s="1"/>
  <c r="E1" i="2"/>
  <c r="R5" i="4"/>
  <c r="R5" i="13" s="1"/>
  <c r="L1" i="2"/>
  <c r="C5" i="4"/>
  <c r="C5" i="13" s="1"/>
  <c r="M1" i="2"/>
  <c r="J5" i="4"/>
  <c r="J5" i="13" s="1"/>
  <c r="Q6" i="4"/>
  <c r="Q6" i="13" s="1"/>
  <c r="K3" i="4"/>
  <c r="K3" i="13" s="1"/>
  <c r="U5" i="4"/>
  <c r="U5" i="13" s="1"/>
  <c r="G1" i="2"/>
  <c r="J4" i="4"/>
  <c r="J4" i="13" s="1"/>
  <c r="H4" i="4"/>
  <c r="H4" i="13" s="1"/>
  <c r="H3" i="4"/>
  <c r="H3" i="13" s="1"/>
  <c r="C6" i="4"/>
  <c r="C6" i="13" s="1"/>
  <c r="Q4" i="4"/>
  <c r="Q4" i="13" s="1"/>
  <c r="W3" i="4"/>
  <c r="W3" i="13" s="1"/>
  <c r="H6" i="4"/>
  <c r="H6" i="13" s="1"/>
  <c r="C4" i="4"/>
  <c r="C4" i="13" s="1"/>
  <c r="N1" i="2"/>
  <c r="AB1" i="2"/>
  <c r="AC1" i="2"/>
  <c r="O3" i="4"/>
  <c r="O3" i="13" s="1"/>
  <c r="L2" i="4"/>
  <c r="L2" i="13" s="1"/>
  <c r="T3" i="4"/>
  <c r="T3" i="13" s="1"/>
  <c r="X2" i="4"/>
  <c r="X2" i="13" s="1"/>
  <c r="H5" i="4"/>
  <c r="H5" i="13" s="1"/>
  <c r="T2" i="4"/>
  <c r="T2" i="13" s="1"/>
  <c r="T6" i="4"/>
  <c r="T6" i="13" s="1"/>
  <c r="F5" i="4"/>
  <c r="F5" i="13" s="1"/>
  <c r="K2" i="4"/>
  <c r="K2" i="13" s="1"/>
  <c r="L4" i="4"/>
  <c r="L4" i="13" s="1"/>
  <c r="I4" i="4"/>
  <c r="I4" i="13" s="1"/>
  <c r="H2" i="4"/>
  <c r="H2" i="13" s="1"/>
  <c r="I6" i="4"/>
  <c r="I6" i="13" s="1"/>
  <c r="X6" i="4"/>
  <c r="X6" i="13" s="1"/>
  <c r="L6" i="4"/>
  <c r="L6" i="13" s="1"/>
  <c r="M6" i="4"/>
  <c r="M6" i="13" s="1"/>
  <c r="P4" i="4"/>
  <c r="P4" i="13" s="1"/>
  <c r="V3" i="4"/>
  <c r="V3" i="13" s="1"/>
  <c r="I1" i="2"/>
  <c r="R4" i="4"/>
  <c r="R4" i="13" s="1"/>
  <c r="E5" i="4"/>
  <c r="E5" i="13" s="1"/>
  <c r="U3" i="4"/>
  <c r="U3" i="13" s="1"/>
  <c r="P5" i="4"/>
  <c r="P5" i="13" s="1"/>
  <c r="V2" i="4"/>
  <c r="V2" i="13" s="1"/>
  <c r="W4" i="4"/>
  <c r="W4" i="13" s="1"/>
  <c r="T4" i="4"/>
  <c r="T4" i="13" s="1"/>
  <c r="S1" i="2"/>
  <c r="X5" i="4"/>
  <c r="X5" i="13" s="1"/>
  <c r="W1" i="2"/>
  <c r="U4" i="4"/>
  <c r="U4" i="13" s="1"/>
  <c r="E2" i="4"/>
  <c r="E2" i="13" s="1"/>
  <c r="R2" i="4"/>
  <c r="R2" i="13" s="1"/>
  <c r="O4" i="4"/>
  <c r="O4" i="13" s="1"/>
  <c r="Y1" i="2"/>
  <c r="O6" i="4"/>
  <c r="O6" i="13" s="1"/>
  <c r="M3" i="4"/>
  <c r="M3" i="13" s="1"/>
  <c r="G4" i="4"/>
  <c r="G4" i="13" s="1"/>
  <c r="K5" i="4"/>
  <c r="K5" i="13" s="1"/>
  <c r="U1" i="2"/>
  <c r="X1" i="2"/>
  <c r="S6" i="4"/>
  <c r="S6" i="13" s="1"/>
  <c r="V1" i="2"/>
  <c r="L3" i="4"/>
  <c r="L3" i="13" s="1"/>
  <c r="H1" i="2"/>
  <c r="M4" i="4"/>
  <c r="M4" i="13" s="1"/>
  <c r="V4" i="4"/>
  <c r="V4" i="13" s="1"/>
  <c r="K1" i="2"/>
  <c r="K6" i="4"/>
  <c r="K6" i="13" s="1"/>
  <c r="N5" i="4"/>
  <c r="N5" i="13" s="1"/>
  <c r="S3" i="4"/>
  <c r="S3" i="13" s="1"/>
  <c r="F1" i="2"/>
  <c r="G5" i="4"/>
  <c r="G5" i="13" s="1"/>
  <c r="U2" i="4"/>
  <c r="U2" i="13" s="1"/>
  <c r="Q3" i="4"/>
  <c r="Q3" i="13" s="1"/>
  <c r="D3" i="4"/>
  <c r="D3" i="13" s="1"/>
  <c r="E6" i="4"/>
  <c r="E6" i="13" s="1"/>
  <c r="D2" i="4"/>
  <c r="D2" i="13" s="1"/>
  <c r="W5" i="4"/>
  <c r="W5" i="13" s="1"/>
  <c r="W2" i="4"/>
  <c r="W2" i="13" s="1"/>
  <c r="N2" i="4"/>
  <c r="N2" i="13" s="1"/>
  <c r="E3" i="4"/>
  <c r="E3" i="13" s="1"/>
  <c r="D5" i="4"/>
  <c r="D5" i="13" s="1"/>
  <c r="K4" i="4"/>
  <c r="K4" i="13" s="1"/>
  <c r="S5" i="4"/>
  <c r="S5" i="13" s="1"/>
  <c r="G2" i="4"/>
  <c r="G2" i="13" s="1"/>
  <c r="O1" i="2"/>
  <c r="I2" i="4"/>
  <c r="I2" i="13" s="1"/>
  <c r="N6" i="4"/>
  <c r="N6" i="13" s="1"/>
  <c r="M5" i="4"/>
  <c r="M5" i="13" s="1"/>
  <c r="J1" i="2"/>
  <c r="J2" i="4"/>
  <c r="J2" i="13" s="1"/>
  <c r="U6" i="4"/>
  <c r="U6" i="13" s="1"/>
  <c r="D6" i="4"/>
  <c r="D6" i="13" s="1"/>
  <c r="Z1" i="2"/>
  <c r="D1" i="2"/>
  <c r="D2" i="2" s="1"/>
  <c r="D4" i="2" l="1"/>
  <c r="E4" i="5"/>
  <c r="B3" i="11" a="1"/>
  <c r="B3" i="11" s="1"/>
  <c r="E2" i="2"/>
  <c r="E4" i="2" l="1"/>
  <c r="F4" i="5"/>
  <c r="B4" i="11" a="1"/>
  <c r="B4" i="11" s="1"/>
  <c r="F2" i="2"/>
  <c r="E9" i="5"/>
  <c r="E12" i="5"/>
  <c r="E11" i="5"/>
  <c r="E6" i="5"/>
  <c r="E13" i="5"/>
  <c r="E8" i="5"/>
  <c r="E10" i="5"/>
  <c r="E7" i="5"/>
  <c r="E3" i="11" l="1" a="1"/>
  <c r="E3" i="11" s="1"/>
  <c r="G3" i="11" a="1"/>
  <c r="G3" i="11" s="1"/>
  <c r="D3" i="11" a="1"/>
  <c r="D3" i="11" s="1"/>
  <c r="F3" i="11" a="1"/>
  <c r="F3" i="11" s="1"/>
  <c r="G4" i="5"/>
  <c r="B5" i="11" a="1"/>
  <c r="B5" i="11" s="1"/>
  <c r="G2" i="2"/>
  <c r="F4" i="2"/>
  <c r="F12" i="5"/>
  <c r="F10" i="5"/>
  <c r="F6" i="5"/>
  <c r="F8" i="5"/>
  <c r="F7" i="5"/>
  <c r="F11" i="5"/>
  <c r="F9" i="5"/>
  <c r="F13" i="5"/>
  <c r="D4" i="11" l="1" a="1"/>
  <c r="D4" i="11" s="1"/>
  <c r="G8" i="5"/>
  <c r="G13" i="5"/>
  <c r="G12" i="5"/>
  <c r="G9" i="5"/>
  <c r="G10" i="5"/>
  <c r="G6" i="5"/>
  <c r="G11" i="5"/>
  <c r="G7" i="5"/>
  <c r="G4" i="11" a="1"/>
  <c r="G4" i="11" s="1"/>
  <c r="F4" i="11" a="1"/>
  <c r="F4" i="11" s="1"/>
  <c r="E4" i="11" a="1"/>
  <c r="E4" i="11" s="1"/>
  <c r="G4" i="2"/>
  <c r="H4" i="5"/>
  <c r="H2" i="2"/>
  <c r="B6" i="11" a="1"/>
  <c r="B6" i="11" s="1"/>
  <c r="D5" i="11" l="1" a="1"/>
  <c r="D5" i="11" s="1"/>
  <c r="F5" i="8"/>
  <c r="H4" i="2"/>
  <c r="I2" i="2"/>
  <c r="B7" i="11" a="1"/>
  <c r="B7" i="11" s="1"/>
  <c r="B5" i="9"/>
  <c r="I4" i="5"/>
  <c r="H6" i="5"/>
  <c r="H7" i="5"/>
  <c r="H13" i="5"/>
  <c r="H9" i="5"/>
  <c r="H12" i="5"/>
  <c r="H8" i="5"/>
  <c r="H10" i="5"/>
  <c r="H11" i="5"/>
  <c r="F5" i="11" a="1"/>
  <c r="F5" i="11" s="1"/>
  <c r="E5" i="11" a="1"/>
  <c r="E5" i="11" s="1"/>
  <c r="G5" i="11" a="1"/>
  <c r="G5" i="11" s="1"/>
  <c r="D6" i="11" l="1" a="1"/>
  <c r="D6" i="11" s="1"/>
  <c r="J2" i="2"/>
  <c r="B8" i="11" a="1"/>
  <c r="B8" i="11" s="1"/>
  <c r="I4" i="2"/>
  <c r="J4" i="5"/>
  <c r="G6" i="11" a="1"/>
  <c r="G6" i="11" s="1"/>
  <c r="E6" i="11" a="1"/>
  <c r="E6" i="11" s="1"/>
  <c r="I7" i="5"/>
  <c r="I11" i="5"/>
  <c r="I12" i="5"/>
  <c r="I9" i="5"/>
  <c r="I8" i="5"/>
  <c r="I13" i="5"/>
  <c r="I6" i="5"/>
  <c r="I10" i="5"/>
  <c r="F6" i="11" a="1"/>
  <c r="F6" i="11" s="1"/>
  <c r="F7" i="11" l="1" a="1"/>
  <c r="F7" i="11" s="1"/>
  <c r="J9" i="5"/>
  <c r="J13" i="5"/>
  <c r="J7" i="5"/>
  <c r="J10" i="5"/>
  <c r="J6" i="5"/>
  <c r="J8" i="5"/>
  <c r="J11" i="5"/>
  <c r="J12" i="5"/>
  <c r="G7" i="11" a="1"/>
  <c r="G7" i="11" s="1"/>
  <c r="K4" i="5"/>
  <c r="J4" i="2"/>
  <c r="B9" i="11" a="1"/>
  <c r="B9" i="11" s="1"/>
  <c r="K2" i="2"/>
  <c r="E7" i="11" a="1"/>
  <c r="E7" i="11" s="1"/>
  <c r="D7" i="11" a="1"/>
  <c r="D7" i="11" s="1"/>
  <c r="D8" i="11" l="1" a="1"/>
  <c r="D8" i="11" s="1"/>
  <c r="F8" i="11" a="1"/>
  <c r="F8" i="11" s="1"/>
  <c r="K4" i="2"/>
  <c r="B10" i="11" a="1"/>
  <c r="B10" i="11" s="1"/>
  <c r="L4" i="5"/>
  <c r="L2" i="2"/>
  <c r="K13" i="5"/>
  <c r="K6" i="5"/>
  <c r="K12" i="5"/>
  <c r="K10" i="5"/>
  <c r="K9" i="5"/>
  <c r="K11" i="5"/>
  <c r="K7" i="5"/>
  <c r="K8" i="5"/>
  <c r="G8" i="11" a="1"/>
  <c r="G8" i="11" s="1"/>
  <c r="E8" i="11" a="1"/>
  <c r="E8" i="11" s="1"/>
  <c r="D9" i="11" l="1" a="1"/>
  <c r="D9" i="11" s="1"/>
  <c r="E9" i="11" a="1"/>
  <c r="E9" i="11" s="1"/>
  <c r="F9" i="11" a="1"/>
  <c r="F9" i="11" s="1"/>
  <c r="B11" i="11" a="1"/>
  <c r="B11" i="11" s="1"/>
  <c r="L4" i="2"/>
  <c r="M2" i="2"/>
  <c r="M4" i="5"/>
  <c r="L7" i="5"/>
  <c r="L8" i="5"/>
  <c r="L12" i="5"/>
  <c r="L6" i="5"/>
  <c r="L13" i="5"/>
  <c r="L9" i="5"/>
  <c r="L11" i="5"/>
  <c r="L10" i="5"/>
  <c r="G9" i="11" a="1"/>
  <c r="G9" i="11" s="1"/>
  <c r="D10" i="11" l="1" a="1"/>
  <c r="D10" i="11" s="1"/>
  <c r="F10" i="11" a="1"/>
  <c r="F10" i="11" s="1"/>
  <c r="E10" i="11" a="1"/>
  <c r="E10" i="11" s="1"/>
  <c r="M13" i="5"/>
  <c r="M9" i="5"/>
  <c r="M10" i="5"/>
  <c r="M7" i="5"/>
  <c r="M8" i="5"/>
  <c r="M12" i="5"/>
  <c r="M11" i="5"/>
  <c r="M6" i="5"/>
  <c r="G10" i="11" a="1"/>
  <c r="G10" i="11" s="1"/>
  <c r="N4" i="5"/>
  <c r="N2" i="2"/>
  <c r="B12" i="11" a="1"/>
  <c r="B12" i="11" s="1"/>
  <c r="M4" i="2"/>
  <c r="D11" i="11" l="1" a="1"/>
  <c r="D11" i="11" s="1"/>
  <c r="G11" i="11" a="1"/>
  <c r="G11" i="11" s="1"/>
  <c r="O2" i="2"/>
  <c r="B13" i="11" a="1"/>
  <c r="B13" i="11" s="1"/>
  <c r="N4" i="2"/>
  <c r="O4" i="5"/>
  <c r="E11" i="11" a="1"/>
  <c r="E11" i="11" s="1"/>
  <c r="N10" i="5"/>
  <c r="N7" i="5"/>
  <c r="N9" i="5"/>
  <c r="N8" i="5"/>
  <c r="N13" i="5"/>
  <c r="N12" i="5"/>
  <c r="N6" i="5"/>
  <c r="N11" i="5"/>
  <c r="F11" i="11" a="1"/>
  <c r="F11" i="11" s="1"/>
  <c r="D12" i="11" l="1" a="1"/>
  <c r="D12" i="11" s="1"/>
  <c r="E12" i="11" a="1"/>
  <c r="E12" i="11" s="1"/>
  <c r="O10" i="5"/>
  <c r="O8" i="5"/>
  <c r="O12" i="5"/>
  <c r="O7" i="5"/>
  <c r="O13" i="5"/>
  <c r="O6" i="5"/>
  <c r="O11" i="5"/>
  <c r="O9" i="5"/>
  <c r="F12" i="11" a="1"/>
  <c r="F12" i="11" s="1"/>
  <c r="B14" i="11" a="1"/>
  <c r="B14" i="11" s="1"/>
  <c r="P4" i="5"/>
  <c r="P2" i="2"/>
  <c r="O4" i="2"/>
  <c r="G12" i="11" a="1"/>
  <c r="G12" i="11" s="1"/>
  <c r="D13" i="11" l="1" a="1"/>
  <c r="D13" i="11" s="1"/>
  <c r="P4" i="2"/>
  <c r="Q4" i="5"/>
  <c r="Q2" i="2"/>
  <c r="B15" i="11" a="1"/>
  <c r="B15" i="11" s="1"/>
  <c r="P8" i="5"/>
  <c r="P10" i="5"/>
  <c r="P7" i="5"/>
  <c r="P6" i="5"/>
  <c r="P9" i="5"/>
  <c r="P13" i="5"/>
  <c r="P11" i="5"/>
  <c r="P12" i="5"/>
  <c r="E13" i="11" a="1"/>
  <c r="E13" i="11" s="1"/>
  <c r="F13" i="11" a="1"/>
  <c r="F13" i="11" s="1"/>
  <c r="G13" i="11" a="1"/>
  <c r="G13" i="11" s="1"/>
  <c r="D14" i="11" l="1" a="1"/>
  <c r="D14" i="11" s="1"/>
  <c r="E14" i="11" a="1"/>
  <c r="E14" i="11" s="1"/>
  <c r="F14" i="11" a="1"/>
  <c r="F14" i="11" s="1"/>
  <c r="R2" i="2"/>
  <c r="Q4" i="2"/>
  <c r="B16" i="11" a="1"/>
  <c r="B16" i="11" s="1"/>
  <c r="R4" i="5"/>
  <c r="Q11" i="5"/>
  <c r="Q9" i="5"/>
  <c r="Q7" i="5"/>
  <c r="Q6" i="5"/>
  <c r="Q8" i="5"/>
  <c r="Q13" i="5"/>
  <c r="Q10" i="5"/>
  <c r="Q12" i="5"/>
  <c r="G14" i="11" a="1"/>
  <c r="G14" i="11" s="1"/>
  <c r="D15" i="11" l="1" a="1"/>
  <c r="D15" i="11" s="1"/>
  <c r="E15" i="11" a="1"/>
  <c r="E15" i="11" s="1"/>
  <c r="G15" i="11" a="1"/>
  <c r="G15" i="11" s="1"/>
  <c r="R7" i="5"/>
  <c r="R6" i="5"/>
  <c r="R10" i="5"/>
  <c r="R11" i="5"/>
  <c r="R8" i="5"/>
  <c r="R9" i="5"/>
  <c r="R13" i="5"/>
  <c r="R12" i="5"/>
  <c r="R4" i="2"/>
  <c r="B17" i="11" a="1"/>
  <c r="B17" i="11" s="1"/>
  <c r="S4" i="5"/>
  <c r="S2" i="2"/>
  <c r="F15" i="11" a="1"/>
  <c r="F15" i="11" s="1"/>
  <c r="D16" i="11" l="1" a="1"/>
  <c r="D16" i="11" s="1"/>
  <c r="S4" i="2"/>
  <c r="T4" i="5"/>
  <c r="B18" i="11" a="1"/>
  <c r="B18" i="11" s="1"/>
  <c r="T2" i="2"/>
  <c r="S9" i="5"/>
  <c r="S13" i="5"/>
  <c r="S11" i="5"/>
  <c r="S7" i="5"/>
  <c r="S6" i="5"/>
  <c r="S10" i="5"/>
  <c r="S12" i="5"/>
  <c r="S8" i="5"/>
  <c r="E16" i="11" a="1"/>
  <c r="E16" i="11" s="1"/>
  <c r="G16" i="11" a="1"/>
  <c r="G16" i="11" s="1"/>
  <c r="F16" i="11" a="1"/>
  <c r="F16" i="11" s="1"/>
  <c r="D17" i="11" l="1" a="1"/>
  <c r="D17" i="11" s="1"/>
  <c r="E17" i="11" a="1"/>
  <c r="E17" i="11" s="1"/>
  <c r="F17" i="11" a="1"/>
  <c r="F17" i="11" s="1"/>
  <c r="G17" i="11" a="1"/>
  <c r="G17" i="11" s="1"/>
  <c r="B19" i="11" a="1"/>
  <c r="B19" i="11" s="1"/>
  <c r="T4" i="2"/>
  <c r="U4" i="5"/>
  <c r="U2" i="2"/>
  <c r="T6" i="5"/>
  <c r="T11" i="5"/>
  <c r="T9" i="5"/>
  <c r="T8" i="5"/>
  <c r="T10" i="5"/>
  <c r="T12" i="5"/>
  <c r="T7" i="5"/>
  <c r="T13" i="5"/>
  <c r="D18" i="11" l="1" a="1"/>
  <c r="D18" i="11" s="1"/>
  <c r="B20" i="11" a="1"/>
  <c r="B20" i="11" s="1"/>
  <c r="U4" i="2"/>
  <c r="V2" i="2"/>
  <c r="V4" i="5"/>
  <c r="U9" i="5"/>
  <c r="U13" i="5"/>
  <c r="U6" i="5"/>
  <c r="U7" i="5"/>
  <c r="U12" i="5"/>
  <c r="U8" i="5"/>
  <c r="U10" i="5"/>
  <c r="U11" i="5"/>
  <c r="E18" i="11" a="1"/>
  <c r="E18" i="11" s="1"/>
  <c r="F18" i="11" a="1"/>
  <c r="F18" i="11" s="1"/>
  <c r="G18" i="11" a="1"/>
  <c r="G18" i="11" s="1"/>
  <c r="D19" i="11" l="1" a="1"/>
  <c r="D19" i="11" s="1"/>
  <c r="E19" i="11" a="1"/>
  <c r="E19" i="11" s="1"/>
  <c r="G19" i="11" a="1"/>
  <c r="G19" i="11" s="1"/>
  <c r="V4" i="2"/>
  <c r="B21" i="11" a="1"/>
  <c r="B21" i="11" s="1"/>
  <c r="W2" i="2"/>
  <c r="W4" i="5"/>
  <c r="V11" i="5"/>
  <c r="V8" i="5"/>
  <c r="V13" i="5"/>
  <c r="V12" i="5"/>
  <c r="V6" i="5"/>
  <c r="V7" i="5"/>
  <c r="V9" i="5"/>
  <c r="V10" i="5"/>
  <c r="F19" i="11" a="1"/>
  <c r="F19" i="11" s="1"/>
  <c r="D20" i="11" l="1" a="1"/>
  <c r="D20" i="11" s="1"/>
  <c r="F20" i="11" a="1"/>
  <c r="F20" i="11" s="1"/>
  <c r="W8" i="5"/>
  <c r="W7" i="5"/>
  <c r="W12" i="5"/>
  <c r="W9" i="5"/>
  <c r="W11" i="5"/>
  <c r="W13" i="5"/>
  <c r="W6" i="5"/>
  <c r="W10" i="5"/>
  <c r="X2" i="2"/>
  <c r="W4" i="2"/>
  <c r="B22" i="11" a="1"/>
  <c r="B22" i="11" s="1"/>
  <c r="X4" i="5"/>
  <c r="G20" i="11" a="1"/>
  <c r="G20" i="11" s="1"/>
  <c r="E20" i="11" a="1"/>
  <c r="E20" i="11" s="1"/>
  <c r="D21" i="11" l="1" a="1"/>
  <c r="D21" i="11" s="1"/>
  <c r="X9" i="5"/>
  <c r="X12" i="5"/>
  <c r="X7" i="5"/>
  <c r="X13" i="5"/>
  <c r="X11" i="5"/>
  <c r="X10" i="5"/>
  <c r="X6" i="5"/>
  <c r="X8" i="5"/>
  <c r="G21" i="11" a="1"/>
  <c r="G21" i="11" s="1"/>
  <c r="X4" i="2"/>
  <c r="Y4" i="5"/>
  <c r="Y2" i="2"/>
  <c r="B23" i="11" a="1"/>
  <c r="B23" i="11" s="1"/>
  <c r="E21" i="11" a="1"/>
  <c r="E21" i="11" s="1"/>
  <c r="F21" i="11" a="1"/>
  <c r="F21" i="11" s="1"/>
  <c r="D22" i="11" l="1" a="1"/>
  <c r="D22" i="11" s="1"/>
  <c r="F22" i="11" a="1"/>
  <c r="F22" i="11" s="1"/>
  <c r="B24" i="11" a="1"/>
  <c r="B24" i="11" s="1"/>
  <c r="Z4" i="5"/>
  <c r="Z8" i="5" s="1"/>
  <c r="Y4" i="2"/>
  <c r="Z2" i="2"/>
  <c r="Y9" i="5"/>
  <c r="Y6" i="5"/>
  <c r="Y7" i="5"/>
  <c r="Y12" i="5"/>
  <c r="Y8" i="5"/>
  <c r="Y11" i="5"/>
  <c r="Y10" i="5"/>
  <c r="Y13" i="5"/>
  <c r="E22" i="11" a="1"/>
  <c r="E22" i="11" s="1"/>
  <c r="G22" i="11" a="1"/>
  <c r="G22" i="11" s="1"/>
  <c r="D23" i="11" l="1" a="1"/>
  <c r="D23" i="11" s="1"/>
  <c r="E23" i="11" a="1"/>
  <c r="E23" i="11" s="1"/>
  <c r="G23" i="11" a="1"/>
  <c r="G23" i="11" s="1"/>
  <c r="AA4" i="5"/>
  <c r="Z4" i="2"/>
  <c r="AA2" i="2"/>
  <c r="F23" i="11" a="1"/>
  <c r="F23" i="11" s="1"/>
  <c r="Z11" i="5"/>
  <c r="Z13" i="5"/>
  <c r="Z6" i="5"/>
  <c r="Z12" i="5"/>
  <c r="Z10" i="5"/>
  <c r="Z7" i="5"/>
  <c r="Z9" i="5"/>
  <c r="D24" i="11" l="1" a="1"/>
  <c r="D24" i="11" s="1"/>
  <c r="AA4" i="2"/>
  <c r="AB2" i="2"/>
  <c r="AB4" i="5"/>
  <c r="G24" i="11" a="1"/>
  <c r="G24" i="11" s="1"/>
  <c r="E24" i="11" a="1"/>
  <c r="E24" i="11" s="1"/>
  <c r="AA12" i="5"/>
  <c r="AA7" i="5"/>
  <c r="AA11" i="5"/>
  <c r="AA8" i="5"/>
  <c r="AA13" i="5"/>
  <c r="AA6" i="5"/>
  <c r="AA10" i="5"/>
  <c r="AA9" i="5"/>
  <c r="F24" i="11" a="1"/>
  <c r="F24" i="11" s="1"/>
  <c r="AB12" i="5" l="1"/>
  <c r="AB13" i="5"/>
  <c r="AB11" i="5"/>
  <c r="AB9" i="5"/>
  <c r="AB7" i="5"/>
  <c r="AB8" i="5"/>
  <c r="AB10" i="5"/>
  <c r="AB6" i="5"/>
  <c r="AB4" i="2"/>
  <c r="AC2" i="2"/>
  <c r="D57" i="17" s="1" a="1"/>
  <c r="D57" i="17" s="1"/>
  <c r="AC4" i="5"/>
  <c r="E6" i="17" l="1"/>
  <c r="E27" i="17" a="1"/>
  <c r="E27" i="17" s="1"/>
  <c r="D5" i="17" a="1"/>
  <c r="D5" i="17" s="1"/>
  <c r="F5" i="17" s="1"/>
  <c r="AC7" i="5"/>
  <c r="AC9" i="5"/>
  <c r="AC10" i="5"/>
  <c r="AC11" i="5"/>
  <c r="AC8" i="5"/>
  <c r="AC6" i="5"/>
  <c r="AC12" i="5"/>
  <c r="AC13" i="5"/>
  <c r="AC4" i="2"/>
  <c r="AD4" i="5"/>
  <c r="D6" i="17" l="1"/>
  <c r="F6" i="17" s="1"/>
  <c r="AD12" i="5"/>
  <c r="C12" i="5" s="1" a="1"/>
  <c r="C12" i="5" s="1"/>
  <c r="AD11" i="5"/>
  <c r="C11" i="5" s="1" a="1"/>
  <c r="C11" i="5" s="1"/>
  <c r="AD9" i="5"/>
  <c r="C14" i="5" a="1"/>
  <c r="C14" i="5" s="1"/>
  <c r="D58" i="17" s="1"/>
  <c r="C58" i="17" s="1"/>
  <c r="AD7" i="5"/>
  <c r="AD8" i="5"/>
  <c r="C15" i="5" a="1"/>
  <c r="C15" i="5" s="1"/>
  <c r="D59" i="17" s="1"/>
  <c r="C59" i="17" s="1"/>
  <c r="C17" i="5" a="1"/>
  <c r="C17" i="5" s="1"/>
  <c r="D61" i="17" s="1"/>
  <c r="C61" i="17" s="1"/>
  <c r="C16" i="5" a="1"/>
  <c r="C16" i="5" s="1"/>
  <c r="D60" i="17" s="1"/>
  <c r="C60" i="17" s="1"/>
  <c r="C20" i="5" a="1"/>
  <c r="C20" i="5" s="1"/>
  <c r="AD13" i="5"/>
  <c r="C13" i="5" s="1" a="1"/>
  <c r="C13" i="5" s="1"/>
  <c r="C19" i="5" a="1"/>
  <c r="C19" i="5" s="1"/>
  <c r="AD6" i="5"/>
  <c r="C6" i="5" s="1" a="1"/>
  <c r="C6" i="5" s="1"/>
  <c r="E28" i="17" s="1"/>
  <c r="D28" i="17" s="1"/>
  <c r="AD10" i="5"/>
  <c r="C10" i="5" s="1" a="1"/>
  <c r="C10" i="5" s="1"/>
  <c r="C18" i="5" a="1"/>
  <c r="C18" i="5" s="1"/>
  <c r="C9" i="5" l="1" a="1"/>
  <c r="C9" i="5" s="1"/>
  <c r="E31" i="17" s="1"/>
  <c r="D31" i="17" s="1"/>
  <c r="C8" i="5" a="1"/>
  <c r="C8" i="5" s="1"/>
  <c r="E30" i="17" s="1"/>
  <c r="D30" i="17" s="1"/>
  <c r="C7" i="5" a="1"/>
  <c r="C7" i="5" s="1"/>
  <c r="E29" i="17" s="1"/>
  <c r="D29" i="1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<sst xmlns="http://schemas.openxmlformats.org/spreadsheetml/2006/main" count="250" uniqueCount="129">
  <si>
    <t>Country</t>
  </si>
  <si>
    <t>Site</t>
  </si>
  <si>
    <t>Monthly Enrollment Rate</t>
  </si>
  <si>
    <t>Include?</t>
  </si>
  <si>
    <t>Malaysia</t>
  </si>
  <si>
    <t>Saudi Arabia</t>
  </si>
  <si>
    <t>Yes</t>
  </si>
  <si>
    <t>No</t>
  </si>
  <si>
    <t>Monthly Total</t>
  </si>
  <si>
    <t>Cumulative Enrollment</t>
  </si>
  <si>
    <t>Enrollment Target</t>
  </si>
  <si>
    <t>Enrollment Target Date</t>
  </si>
  <si>
    <t>Column1</t>
  </si>
  <si>
    <t>Status</t>
  </si>
  <si>
    <t>Brazil</t>
  </si>
  <si>
    <t>Australia</t>
  </si>
  <si>
    <t>Approval Date</t>
  </si>
  <si>
    <t>First Enrollment Date</t>
  </si>
  <si>
    <t>Countries</t>
  </si>
  <si>
    <t>First Site Activated</t>
  </si>
  <si>
    <t>Approval to Activation</t>
  </si>
  <si>
    <t>Activation to Enrollment</t>
  </si>
  <si>
    <t>Last Site Activated</t>
  </si>
  <si>
    <t>Time to Activate all Sites</t>
  </si>
  <si>
    <t>Target LPI</t>
  </si>
  <si>
    <t>Target Enrollment</t>
  </si>
  <si>
    <t>Scenario?</t>
  </si>
  <si>
    <t>Chile</t>
  </si>
  <si>
    <t>France</t>
  </si>
  <si>
    <t>India</t>
  </si>
  <si>
    <t>Italy</t>
  </si>
  <si>
    <t>Mexico</t>
  </si>
  <si>
    <t>Netherlands</t>
  </si>
  <si>
    <t>Poland</t>
  </si>
  <si>
    <t>Norway</t>
  </si>
  <si>
    <t>Qatar</t>
  </si>
  <si>
    <t>Romania</t>
  </si>
  <si>
    <t>Singapore</t>
  </si>
  <si>
    <t>South Africa</t>
  </si>
  <si>
    <t>South Korea</t>
  </si>
  <si>
    <t>Thailand</t>
  </si>
  <si>
    <t>Japan</t>
  </si>
  <si>
    <t>Sweden</t>
  </si>
  <si>
    <t>Argentina</t>
  </si>
  <si>
    <t>Canada</t>
  </si>
  <si>
    <t>United Arab Emirates</t>
  </si>
  <si>
    <t>United Kingdom</t>
  </si>
  <si>
    <t>United States</t>
  </si>
  <si>
    <t>Sites</t>
  </si>
  <si>
    <t>Approved</t>
  </si>
  <si>
    <t>Not Yet Approved</t>
  </si>
  <si>
    <t>In Progress</t>
  </si>
  <si>
    <t>First Active</t>
  </si>
  <si>
    <t>Last Active</t>
  </si>
  <si>
    <t>Check Yes/No</t>
  </si>
  <si>
    <t>Site Amounts</t>
  </si>
  <si>
    <t>Month</t>
  </si>
  <si>
    <t>Base Enrollment Rate</t>
  </si>
  <si>
    <t>Base Enrollment</t>
  </si>
  <si>
    <t>Completion</t>
  </si>
  <si>
    <t>Forecasted LPI</t>
  </si>
  <si>
    <t>Active Sites</t>
  </si>
  <si>
    <t>Enrollment Progress</t>
  </si>
  <si>
    <t>Enrollment Rate</t>
  </si>
  <si>
    <t>KPI</t>
  </si>
  <si>
    <t>Value</t>
  </si>
  <si>
    <t>Forecast LPI</t>
  </si>
  <si>
    <t>Current Enrollment</t>
  </si>
  <si>
    <t>Forecast Enrollment</t>
  </si>
  <si>
    <t>Scenario 1</t>
  </si>
  <si>
    <t>Scenario 2</t>
  </si>
  <si>
    <t>Scenario 3</t>
  </si>
  <si>
    <t>Scenario 4</t>
  </si>
  <si>
    <t>Scenario</t>
  </si>
  <si>
    <t>&lt;-Current:Remaining-&gt;</t>
  </si>
  <si>
    <t>Screening Window (Days)</t>
  </si>
  <si>
    <t>Study Number</t>
  </si>
  <si>
    <t>Total Participants Needed</t>
  </si>
  <si>
    <t>Target LPI Date</t>
  </si>
  <si>
    <t>Expected Screen Fail Rate</t>
  </si>
  <si>
    <t>Expected Countries</t>
  </si>
  <si>
    <t>Participants Per Country</t>
  </si>
  <si>
    <t>Belgium</t>
  </si>
  <si>
    <t>EU</t>
  </si>
  <si>
    <t>Germany</t>
  </si>
  <si>
    <t>Hungary</t>
  </si>
  <si>
    <t>Israel</t>
  </si>
  <si>
    <t>Kingdom of Saudi Arabia</t>
  </si>
  <si>
    <t>Spain</t>
  </si>
  <si>
    <t>Taiwan</t>
  </si>
  <si>
    <t>Turkey</t>
  </si>
  <si>
    <t>Average Submission to Approval Time</t>
  </si>
  <si>
    <t>Target FPS Date</t>
  </si>
  <si>
    <t>999-999</t>
  </si>
  <si>
    <t>Minimum Participants Needed to Be Screened</t>
  </si>
  <si>
    <t>Target Submission Date for FPS</t>
  </si>
  <si>
    <t>Submission Date</t>
  </si>
  <si>
    <t>Estimated Approval</t>
  </si>
  <si>
    <t># of Sites</t>
  </si>
  <si>
    <t>Average Time to Activate Site</t>
  </si>
  <si>
    <t>Total Participants Projected</t>
  </si>
  <si>
    <t>Site Activation Timeline</t>
  </si>
  <si>
    <t>Site Activation Date</t>
  </si>
  <si>
    <t>Site ER 
Global or Country Specific)</t>
  </si>
  <si>
    <t>Global</t>
  </si>
  <si>
    <t>Expected Enrollment Rate (Global)</t>
  </si>
  <si>
    <t>Country Specific</t>
  </si>
  <si>
    <t>Participants Per Country with SF Rate</t>
  </si>
  <si>
    <t>Max Participants</t>
  </si>
  <si>
    <t>Country ER</t>
  </si>
  <si>
    <t>Total Activation Time</t>
  </si>
  <si>
    <t>Approval to FSA</t>
  </si>
  <si>
    <t>Initial Country?</t>
  </si>
  <si>
    <t>Metric</t>
  </si>
  <si>
    <t>Baseline</t>
  </si>
  <si>
    <t>Impact</t>
  </si>
  <si>
    <t>Total Countries</t>
  </si>
  <si>
    <t>Total Sites</t>
  </si>
  <si>
    <t>Total Participants</t>
  </si>
  <si>
    <t>Last Patient In (LPI)</t>
  </si>
  <si>
    <t>Total Enrollment Months</t>
  </si>
  <si>
    <t>"Target: " &amp; TEXT(#REF!C2,"dd-mmm-yyyy") &amp;
CHAR(10) &amp;
"Forecast: " &amp; TEXT(#REF!B2,"dd-mmm-yyyy") &amp;
CHAR(10) &amp;
IF(
#REF!B2=#REF!C2,
"On Target",
IF(
#REF!B2&lt;#REF!C2,
TEXT((#REF!C2-#REF!B2)/30.44,"0.0") &amp; " Months Ahead",
TEXT((#REF!B2-#REF!C2)/30.44,"0.0") &amp; " Months Behind"
)
)</t>
  </si>
  <si>
    <t>Base ER</t>
  </si>
  <si>
    <t>LPI Date</t>
  </si>
  <si>
    <t>Deadline</t>
  </si>
  <si>
    <t>Target FPI/FPD Date</t>
  </si>
  <si>
    <t>Enrollment Rate Scenarios for Base Country Case</t>
  </si>
  <si>
    <t>Country Scenario Enrollment</t>
  </si>
  <si>
    <t>Country Scenario+ER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</si>
</sst>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m\-yy"/>
    <numFmt numFmtId="166" formatCode="[$-F800]dddd\,\ mmmm\ dd\,\ yyyy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rgb="FF333333"/>
      <name val="Segoe UI"/>
      <family val="2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15" fontId="0" fillId="0" borderId="0" xfId="0" applyNumberFormat="1"/>
    <xf numFmtId="17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 wrapText="1" readingOrder="1"/>
    </xf>
    <xf numFmtId="165" fontId="0" fillId="0" borderId="0" xfId="0" applyNumberFormat="1"/>
    <xf numFmtId="165" fontId="0" fillId="0" borderId="2" xfId="0" applyNumberFormat="1" applyBorder="1"/>
    <xf numFmtId="165" fontId="2" fillId="2" borderId="2" xfId="0" applyNumberFormat="1" applyFont="1" applyFill="1" applyBorder="1" applyAlignment="1">
      <alignment horizontal="center" vertical="center" wrapText="1" readingOrder="1"/>
    </xf>
    <xf numFmtId="0" fontId="9" fillId="3" borderId="3" xfId="0" applyFont="1" applyFill="1" applyBorder="1"/>
    <xf numFmtId="0" fontId="9" fillId="3" borderId="4" xfId="0" applyFont="1" applyFill="1" applyBorder="1"/>
    <xf numFmtId="166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5" borderId="9" xfId="0" applyFill="1" applyBorder="1" applyAlignment="1" applyProtection="1">
      <alignment horizontal="center" vertical="center"/>
      <protection locked="0"/>
    </xf>
    <xf numFmtId="0" fontId="0" fillId="5" borderId="15" xfId="0" applyFill="1" applyBorder="1" applyAlignment="1" applyProtection="1">
      <alignment horizontal="center" vertical="center"/>
      <protection locked="0"/>
    </xf>
    <xf numFmtId="0" fontId="0" fillId="5" borderId="11" xfId="0" applyFill="1" applyBorder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0" fillId="5" borderId="13" xfId="0" applyFill="1" applyBorder="1" applyAlignment="1" applyProtection="1">
      <alignment horizontal="center" vertical="center"/>
      <protection locked="0"/>
    </xf>
    <xf numFmtId="0" fontId="0" fillId="5" borderId="16" xfId="0" applyFill="1" applyBorder="1" applyAlignment="1" applyProtection="1">
      <alignment horizontal="center" vertical="center"/>
      <protection locked="0"/>
    </xf>
    <xf numFmtId="14" fontId="0" fillId="5" borderId="15" xfId="0" applyNumberFormat="1" applyFill="1" applyBorder="1" applyAlignment="1" applyProtection="1">
      <alignment horizontal="center" vertical="center"/>
      <protection locked="0"/>
    </xf>
    <xf numFmtId="14" fontId="0" fillId="5" borderId="0" xfId="0" applyNumberForma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center" vertical="center" textRotation="90"/>
    </xf>
    <xf numFmtId="0" fontId="10" fillId="0" borderId="7" xfId="0" applyFont="1" applyBorder="1" applyAlignment="1">
      <alignment horizontal="center" vertical="center" textRotation="90"/>
    </xf>
    <xf numFmtId="0" fontId="10" fillId="0" borderId="8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6"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22" formatCode="mmm\-yy"/>
    </dxf>
    <dxf>
      <numFmt numFmtId="1" formatCode="0"/>
    </dxf>
    <dxf>
      <numFmt numFmtId="1" formatCode="0"/>
    </dxf>
    <dxf>
      <numFmt numFmtId="22" formatCode="mmm\-yy"/>
    </dxf>
    <dxf>
      <numFmt numFmtId="1" formatCode="0"/>
    </dxf>
    <dxf>
      <numFmt numFmtId="165" formatCode="dd\-mmm\-yy"/>
    </dxf>
    <dxf>
      <numFmt numFmtId="165" formatCode="dd\-mmm\-yy"/>
    </dxf>
    <dxf>
      <numFmt numFmtId="165" formatCode="dd\-mmm\-yy"/>
      <border diagonalUp="0" diagonalDown="0">
        <left style="thin">
          <color rgb="FFABABAB"/>
        </left>
        <right style="thin">
          <color rgb="FFABABAB"/>
        </right>
        <top style="thin">
          <color rgb="FFABABAB"/>
        </top>
        <bottom style="thin">
          <color rgb="FFABABAB"/>
        </bottom>
        <vertical/>
        <horizontal/>
      </border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" formatCode="0"/>
      <alignment horizontal="center" vertical="center" textRotation="0" indent="0" justifyLastLine="0" shrinkToFit="0" readingOrder="0"/>
      <protection locked="0" hidden="0"/>
    </dxf>
    <dxf>
      <numFmt numFmtId="1" formatCode="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protection locked="0" hidden="0"/>
    </dxf>
    <dxf>
      <numFmt numFmtId="0" formatCode="General"/>
      <alignment horizontal="center" vertical="center" textRotation="0" indent="0" justifyLastLine="0" shrinkToFit="0" readingOrder="0"/>
      <protection locked="0" hidden="0"/>
    </dxf>
    <dxf>
      <numFmt numFmtId="165" formatCode="dd\-mmm\-yy"/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numFmt numFmtId="0" formatCode="General"/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647349081364833E-2"/>
          <c:y val="2.5423728813559324E-2"/>
          <c:w val="0.92979709536307964"/>
          <c:h val="0.79518728591129495"/>
        </c:manualLayout>
      </c:layout>
      <c:lineChart>
        <c:grouping val="standard"/>
        <c:varyColors val="0"/>
        <c:ser>
          <c:idx val="0"/>
          <c:order val="0"/>
          <c:tx>
            <c:strRef>
              <c:f>'Scenario Tool'!$C$28</c:f>
              <c:strCache>
                <c:ptCount val="1"/>
                <c:pt idx="0">
                  <c:v>0.15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'ER Scenarios'!$D$6:$AD$6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12.257668711656443</c:v>
                </c:pt>
                <c:pt idx="8">
                  <c:v>22.472392638036812</c:v>
                </c:pt>
                <c:pt idx="9">
                  <c:v>30.644171779141107</c:v>
                </c:pt>
                <c:pt idx="10">
                  <c:v>38.815950920245406</c:v>
                </c:pt>
                <c:pt idx="11">
                  <c:v>47.668711656441722</c:v>
                </c:pt>
                <c:pt idx="12">
                  <c:v>57.202453987730067</c:v>
                </c:pt>
                <c:pt idx="13">
                  <c:v>61.288343558282214</c:v>
                </c:pt>
                <c:pt idx="14">
                  <c:v>64.693251533742341</c:v>
                </c:pt>
                <c:pt idx="15">
                  <c:v>67.417177914110439</c:v>
                </c:pt>
                <c:pt idx="16">
                  <c:v>68.779141104294482</c:v>
                </c:pt>
                <c:pt idx="17">
                  <c:v>68.779141104294482</c:v>
                </c:pt>
                <c:pt idx="18">
                  <c:v>68.779141104294482</c:v>
                </c:pt>
                <c:pt idx="19">
                  <c:v>68.779141104294482</c:v>
                </c:pt>
                <c:pt idx="20">
                  <c:v>68.779141104294482</c:v>
                </c:pt>
                <c:pt idx="21">
                  <c:v>68.779141104294482</c:v>
                </c:pt>
                <c:pt idx="22">
                  <c:v>68.779141104294482</c:v>
                </c:pt>
                <c:pt idx="23">
                  <c:v>68.779141104294482</c:v>
                </c:pt>
                <c:pt idx="24">
                  <c:v>68.779141104294482</c:v>
                </c:pt>
                <c:pt idx="25">
                  <c:v>68.779141104294482</c:v>
                </c:pt>
                <c:pt idx="26">
                  <c:v>68.779141104294482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73-48B1-B724-34222CBA27E8}"/>
            </c:ext>
          </c:extLst>
        </c:ser>
        <c:ser>
          <c:idx val="1"/>
          <c:order val="1"/>
          <c:tx>
            <c:strRef>
              <c:f>'Scenario Tool'!$C$29</c:f>
              <c:strCache>
                <c:ptCount val="1"/>
                <c:pt idx="0">
                  <c:v>0.19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'ER Scenarios'!$D$7:$AD$7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15.526380368098161</c:v>
                </c:pt>
                <c:pt idx="8">
                  <c:v>28.465030674846631</c:v>
                </c:pt>
                <c:pt idx="9">
                  <c:v>38.815950920245406</c:v>
                </c:pt>
                <c:pt idx="10">
                  <c:v>49.166871165644181</c:v>
                </c:pt>
                <c:pt idx="11">
                  <c:v>60.380368098159522</c:v>
                </c:pt>
                <c:pt idx="12">
                  <c:v>72.456441717791421</c:v>
                </c:pt>
                <c:pt idx="13">
                  <c:v>77.631901840490812</c:v>
                </c:pt>
                <c:pt idx="14">
                  <c:v>81.944785276073631</c:v>
                </c:pt>
                <c:pt idx="15">
                  <c:v>85.395092024539892</c:v>
                </c:pt>
                <c:pt idx="16">
                  <c:v>87.120245398773022</c:v>
                </c:pt>
                <c:pt idx="17">
                  <c:v>87.120245398773022</c:v>
                </c:pt>
                <c:pt idx="18">
                  <c:v>87.120245398773022</c:v>
                </c:pt>
                <c:pt idx="19">
                  <c:v>87.120245398773022</c:v>
                </c:pt>
                <c:pt idx="20">
                  <c:v>87.120245398773022</c:v>
                </c:pt>
                <c:pt idx="21">
                  <c:v>87.120245398773022</c:v>
                </c:pt>
                <c:pt idx="22">
                  <c:v>87.120245398773022</c:v>
                </c:pt>
                <c:pt idx="23">
                  <c:v>87.120245398773022</c:v>
                </c:pt>
                <c:pt idx="24">
                  <c:v>87.120245398773022</c:v>
                </c:pt>
                <c:pt idx="25">
                  <c:v>87.120245398773022</c:v>
                </c:pt>
                <c:pt idx="26">
                  <c:v>87.120245398773022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73-48B1-B724-34222CBA27E8}"/>
            </c:ext>
          </c:extLst>
        </c:ser>
        <c:ser>
          <c:idx val="2"/>
          <c:order val="2"/>
          <c:tx>
            <c:strRef>
              <c:f>'Scenario Tool'!$C$30</c:f>
              <c:strCache>
                <c:ptCount val="1"/>
                <c:pt idx="0">
                  <c:v>0.22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'ER Scenarios'!$D$8:$AD$8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17.977914110429449</c:v>
                </c:pt>
                <c:pt idx="8">
                  <c:v>32.959509202453994</c:v>
                </c:pt>
                <c:pt idx="9">
                  <c:v>44.944785276073624</c:v>
                </c:pt>
                <c:pt idx="10">
                  <c:v>56.930061349693261</c:v>
                </c:pt>
                <c:pt idx="11">
                  <c:v>69.914110429447859</c:v>
                </c:pt>
                <c:pt idx="12">
                  <c:v>83.896932515337426</c:v>
                </c:pt>
                <c:pt idx="13">
                  <c:v>89.889570552147248</c:v>
                </c:pt>
                <c:pt idx="14">
                  <c:v>94.883435582822102</c:v>
                </c:pt>
                <c:pt idx="15">
                  <c:v>98.878527607361988</c:v>
                </c:pt>
                <c:pt idx="16">
                  <c:v>100.87607361963191</c:v>
                </c:pt>
                <c:pt idx="17">
                  <c:v>100.87607361963191</c:v>
                </c:pt>
                <c:pt idx="18">
                  <c:v>100.87607361963191</c:v>
                </c:pt>
                <c:pt idx="19">
                  <c:v>100.87607361963191</c:v>
                </c:pt>
                <c:pt idx="20">
                  <c:v>100.87607361963191</c:v>
                </c:pt>
                <c:pt idx="21">
                  <c:v>100.87607361963191</c:v>
                </c:pt>
                <c:pt idx="22">
                  <c:v>100.87607361963191</c:v>
                </c:pt>
                <c:pt idx="23">
                  <c:v>100.87607361963191</c:v>
                </c:pt>
                <c:pt idx="24">
                  <c:v>100.87607361963191</c:v>
                </c:pt>
                <c:pt idx="25">
                  <c:v>100.87607361963191</c:v>
                </c:pt>
                <c:pt idx="26">
                  <c:v>100.87607361963191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C73-48B1-B724-34222CBA27E8}"/>
            </c:ext>
          </c:extLst>
        </c:ser>
        <c:ser>
          <c:idx val="3"/>
          <c:order val="3"/>
          <c:tx>
            <c:strRef>
              <c:f>'Scenario Tool'!$C$31</c:f>
              <c:strCache>
                <c:ptCount val="1"/>
                <c:pt idx="0">
                  <c:v>0.3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'ER Scenarios'!$D$9:$AD$9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24.515337423312886</c:v>
                </c:pt>
                <c:pt idx="8">
                  <c:v>44.944785276073624</c:v>
                </c:pt>
                <c:pt idx="9">
                  <c:v>61.288343558282214</c:v>
                </c:pt>
                <c:pt idx="10">
                  <c:v>77.631901840490812</c:v>
                </c:pt>
                <c:pt idx="11">
                  <c:v>95.337423312883445</c:v>
                </c:pt>
                <c:pt idx="12">
                  <c:v>114.40490797546013</c:v>
                </c:pt>
                <c:pt idx="13">
                  <c:v>122.57668711656443</c:v>
                </c:pt>
                <c:pt idx="14">
                  <c:v>129.38650306748468</c:v>
                </c:pt>
                <c:pt idx="15">
                  <c:v>134.83435582822088</c:v>
                </c:pt>
                <c:pt idx="16">
                  <c:v>137.55828220858896</c:v>
                </c:pt>
                <c:pt idx="17">
                  <c:v>137.55828220858896</c:v>
                </c:pt>
                <c:pt idx="18">
                  <c:v>137.55828220858896</c:v>
                </c:pt>
                <c:pt idx="19">
                  <c:v>137.55828220858896</c:v>
                </c:pt>
                <c:pt idx="20">
                  <c:v>137.55828220858896</c:v>
                </c:pt>
                <c:pt idx="21">
                  <c:v>137.55828220858896</c:v>
                </c:pt>
                <c:pt idx="22">
                  <c:v>137.55828220858896</c:v>
                </c:pt>
                <c:pt idx="23">
                  <c:v>137.55828220858896</c:v>
                </c:pt>
                <c:pt idx="24">
                  <c:v>137.55828220858896</c:v>
                </c:pt>
                <c:pt idx="25">
                  <c:v>137.55828220858896</c:v>
                </c:pt>
                <c:pt idx="26">
                  <c:v>137.55828220858896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73-48B1-B724-34222CBA27E8}"/>
            </c:ext>
          </c:extLst>
        </c:ser>
        <c:ser>
          <c:idx val="4"/>
          <c:order val="4"/>
          <c:tx>
            <c:strRef>
              <c:f>'Scenario Tool'!$B$27</c:f>
              <c:strCache>
                <c:ptCount val="1"/>
                <c:pt idx="0">
                  <c:v>Base 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'Enrollment Forecast'!$C$2:$AC$2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</c:v>
                </c:pt>
                <c:pt idx="8">
                  <c:v>33</c:v>
                </c:pt>
                <c:pt idx="9">
                  <c:v>45</c:v>
                </c:pt>
                <c:pt idx="10">
                  <c:v>57</c:v>
                </c:pt>
                <c:pt idx="11">
                  <c:v>70</c:v>
                </c:pt>
                <c:pt idx="12">
                  <c:v>84</c:v>
                </c:pt>
                <c:pt idx="13">
                  <c:v>90</c:v>
                </c:pt>
                <c:pt idx="14">
                  <c:v>95</c:v>
                </c:pt>
                <c:pt idx="15">
                  <c:v>99</c:v>
                </c:pt>
                <c:pt idx="16">
                  <c:v>101</c:v>
                </c:pt>
                <c:pt idx="17">
                  <c:v>101</c:v>
                </c:pt>
                <c:pt idx="18">
                  <c:v>101</c:v>
                </c:pt>
                <c:pt idx="19">
                  <c:v>101</c:v>
                </c:pt>
                <c:pt idx="20">
                  <c:v>101</c:v>
                </c:pt>
                <c:pt idx="21">
                  <c:v>101</c:v>
                </c:pt>
                <c:pt idx="22">
                  <c:v>101</c:v>
                </c:pt>
                <c:pt idx="23">
                  <c:v>101</c:v>
                </c:pt>
                <c:pt idx="24">
                  <c:v>101</c:v>
                </c:pt>
                <c:pt idx="25">
                  <c:v>101</c:v>
                </c:pt>
                <c:pt idx="26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C73-48B1-B724-34222CBA2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510399"/>
        <c:axId val="1129509919"/>
      </c:lineChart>
      <c:scatterChart>
        <c:scatterStyle val="lineMarker"/>
        <c:varyColors val="0"/>
        <c:ser>
          <c:idx val="6"/>
          <c:order val="6"/>
          <c:tx>
            <c:strRef>
              <c:f>'Enrollment Forecast'!$B$3</c:f>
              <c:strCache>
                <c:ptCount val="1"/>
                <c:pt idx="0">
                  <c:v>Enrollment Target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'Enrollment Forecast'!$C$5:$AC$5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xVal>
          <c:yVal>
            <c:numRef>
              <c:f>'Enrollment Forecast'!$C$3:$AC$3</c:f>
              <c:numCache>
                <c:formatCode>0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C73-48B1-B724-34222CBA2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10399"/>
        <c:axId val="1129509919"/>
      </c:scatterChart>
      <c:scatterChart>
        <c:scatterStyle val="lineMarker"/>
        <c:varyColors val="0"/>
        <c:ser>
          <c:idx val="5"/>
          <c:order val="5"/>
          <c:tx>
            <c:strRef>
              <c:f>'Scenario Tool'!$O$1</c:f>
              <c:strCache>
                <c:ptCount val="1"/>
                <c:pt idx="0">
                  <c:v>Deadline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'Scenario Tool'!$Q$1:$Q$2</c:f>
              <c:numCache>
                <c:formatCode>d\-mmm\-yy</c:formatCode>
                <c:ptCount val="2"/>
                <c:pt idx="0">
                  <c:v>46388</c:v>
                </c:pt>
                <c:pt idx="1">
                  <c:v>46388</c:v>
                </c:pt>
              </c:numCache>
            </c:numRef>
          </c:xVal>
          <c:yVal>
            <c:numRef>
              <c:f>'Scenario Tool'!$P$1:$P$2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C73-48B1-B724-34222CBA2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90383"/>
        <c:axId val="1122989903"/>
      </c:scatterChart>
      <c:dateAx>
        <c:axId val="1129510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09919"/>
        <c:crosses val="autoZero"/>
        <c:auto val="1"/>
        <c:lblOffset val="100"/>
        <c:baseTimeUnit val="months"/>
      </c:dateAx>
      <c:valAx>
        <c:axId val="11295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10399"/>
        <c:crosses val="autoZero"/>
        <c:crossBetween val="between"/>
      </c:valAx>
      <c:valAx>
        <c:axId val="112298990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22990383"/>
        <c:crosses val="max"/>
        <c:crossBetween val="midCat"/>
      </c:valAx>
      <c:valAx>
        <c:axId val="1122990383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1122989903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647349081364833E-2"/>
          <c:y val="2.5423728813559324E-2"/>
          <c:w val="0.92979709536307964"/>
          <c:h val="0.79518728591129495"/>
        </c:manualLayout>
      </c:layout>
      <c:lineChart>
        <c:grouping val="standard"/>
        <c:varyColors val="0"/>
        <c:ser>
          <c:idx val="3"/>
          <c:order val="0"/>
          <c:tx>
            <c:strRef>
              <c:f>'Scenario Tool'!$B$1</c:f>
              <c:strCache>
                <c:ptCount val="1"/>
                <c:pt idx="0">
                  <c:v>Scenario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'Scenario Enrollment Forecast'!$C$2:$AC$2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</c:v>
                </c:pt>
                <c:pt idx="8">
                  <c:v>46</c:v>
                </c:pt>
                <c:pt idx="9">
                  <c:v>65</c:v>
                </c:pt>
                <c:pt idx="10">
                  <c:v>85</c:v>
                </c:pt>
                <c:pt idx="11">
                  <c:v>106</c:v>
                </c:pt>
                <c:pt idx="12">
                  <c:v>128</c:v>
                </c:pt>
                <c:pt idx="13">
                  <c:v>139</c:v>
                </c:pt>
                <c:pt idx="14">
                  <c:v>147</c:v>
                </c:pt>
                <c:pt idx="15">
                  <c:v>153</c:v>
                </c:pt>
                <c:pt idx="16">
                  <c:v>157</c:v>
                </c:pt>
                <c:pt idx="17">
                  <c:v>159</c:v>
                </c:pt>
                <c:pt idx="18">
                  <c:v>160</c:v>
                </c:pt>
                <c:pt idx="19">
                  <c:v>161</c:v>
                </c:pt>
                <c:pt idx="20">
                  <c:v>162</c:v>
                </c:pt>
                <c:pt idx="21">
                  <c:v>163</c:v>
                </c:pt>
                <c:pt idx="22">
                  <c:v>164</c:v>
                </c:pt>
                <c:pt idx="23">
                  <c:v>165</c:v>
                </c:pt>
                <c:pt idx="24">
                  <c:v>166</c:v>
                </c:pt>
                <c:pt idx="25">
                  <c:v>167</c:v>
                </c:pt>
                <c:pt idx="26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A5-4618-8278-689ED5A594B8}"/>
            </c:ext>
          </c:extLst>
        </c:ser>
        <c:ser>
          <c:idx val="4"/>
          <c:order val="1"/>
          <c:tx>
            <c:strRef>
              <c:f>'Scenario Tool'!$B$27</c:f>
              <c:strCache>
                <c:ptCount val="1"/>
                <c:pt idx="0">
                  <c:v>Base 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'Enrollment Forecast'!$C$2:$AC$2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</c:v>
                </c:pt>
                <c:pt idx="8">
                  <c:v>33</c:v>
                </c:pt>
                <c:pt idx="9">
                  <c:v>45</c:v>
                </c:pt>
                <c:pt idx="10">
                  <c:v>57</c:v>
                </c:pt>
                <c:pt idx="11">
                  <c:v>70</c:v>
                </c:pt>
                <c:pt idx="12">
                  <c:v>84</c:v>
                </c:pt>
                <c:pt idx="13">
                  <c:v>90</c:v>
                </c:pt>
                <c:pt idx="14">
                  <c:v>95</c:v>
                </c:pt>
                <c:pt idx="15">
                  <c:v>99</c:v>
                </c:pt>
                <c:pt idx="16">
                  <c:v>101</c:v>
                </c:pt>
                <c:pt idx="17">
                  <c:v>101</c:v>
                </c:pt>
                <c:pt idx="18">
                  <c:v>101</c:v>
                </c:pt>
                <c:pt idx="19">
                  <c:v>101</c:v>
                </c:pt>
                <c:pt idx="20">
                  <c:v>101</c:v>
                </c:pt>
                <c:pt idx="21">
                  <c:v>101</c:v>
                </c:pt>
                <c:pt idx="22">
                  <c:v>101</c:v>
                </c:pt>
                <c:pt idx="23">
                  <c:v>101</c:v>
                </c:pt>
                <c:pt idx="24">
                  <c:v>101</c:v>
                </c:pt>
                <c:pt idx="25">
                  <c:v>101</c:v>
                </c:pt>
                <c:pt idx="26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A5-4618-8278-689ED5A59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510399"/>
        <c:axId val="1129509919"/>
      </c:lineChart>
      <c:scatterChart>
        <c:scatterStyle val="lineMarker"/>
        <c:varyColors val="0"/>
        <c:ser>
          <c:idx val="5"/>
          <c:order val="2"/>
          <c:tx>
            <c:strRef>
              <c:f>'Scenario Tool'!$O$1</c:f>
              <c:strCache>
                <c:ptCount val="1"/>
                <c:pt idx="0">
                  <c:v>Deadline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'Scenario Tool'!$Q$1:$Q$2</c:f>
              <c:numCache>
                <c:formatCode>d\-mmm\-yy</c:formatCode>
                <c:ptCount val="2"/>
                <c:pt idx="0">
                  <c:v>46388</c:v>
                </c:pt>
                <c:pt idx="1">
                  <c:v>46388</c:v>
                </c:pt>
              </c:numCache>
            </c:numRef>
          </c:xVal>
          <c:yVal>
            <c:numRef>
              <c:f>'Scenario Tool'!$P$1:$P$2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A5-4618-8278-689ED5A594B8}"/>
            </c:ext>
          </c:extLst>
        </c:ser>
        <c:ser>
          <c:idx val="6"/>
          <c:order val="3"/>
          <c:tx>
            <c:strRef>
              <c:f>'Enrollment Forecast'!$B$3</c:f>
              <c:strCache>
                <c:ptCount val="1"/>
                <c:pt idx="0">
                  <c:v>Enrollment Target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'Enrollment Forecast'!$C$5:$AC$5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xVal>
          <c:yVal>
            <c:numRef>
              <c:f>'Enrollment Forecast'!$C$3:$AC$3</c:f>
              <c:numCache>
                <c:formatCode>0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A5-4618-8278-689ED5A59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90383"/>
        <c:axId val="1122989903"/>
      </c:scatterChart>
      <c:dateAx>
        <c:axId val="1129510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09919"/>
        <c:crosses val="autoZero"/>
        <c:auto val="1"/>
        <c:lblOffset val="100"/>
        <c:baseTimeUnit val="months"/>
      </c:dateAx>
      <c:valAx>
        <c:axId val="11295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10399"/>
        <c:crosses val="autoZero"/>
        <c:crossBetween val="between"/>
      </c:valAx>
      <c:valAx>
        <c:axId val="112298990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22990383"/>
        <c:crosses val="max"/>
        <c:crossBetween val="midCat"/>
      </c:valAx>
      <c:valAx>
        <c:axId val="1122990383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1122989903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647349081364833E-2"/>
          <c:y val="2.5423728813559324E-2"/>
          <c:w val="0.92979709536307964"/>
          <c:h val="0.79518728591129495"/>
        </c:manualLayout>
      </c:layout>
      <c:lineChart>
        <c:grouping val="standard"/>
        <c:varyColors val="0"/>
        <c:ser>
          <c:idx val="0"/>
          <c:order val="0"/>
          <c:tx>
            <c:strRef>
              <c:f>'Scenario Tool'!$C$28</c:f>
              <c:strCache>
                <c:ptCount val="1"/>
                <c:pt idx="0">
                  <c:v>0.15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'ER Scenarios'!$D$14:$AD$14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16.343558282208591</c:v>
                </c:pt>
                <c:pt idx="8">
                  <c:v>31.325153374233132</c:v>
                </c:pt>
                <c:pt idx="9">
                  <c:v>44.263803680981603</c:v>
                </c:pt>
                <c:pt idx="10">
                  <c:v>57.883435582822088</c:v>
                </c:pt>
                <c:pt idx="11">
                  <c:v>72.184049079754615</c:v>
                </c:pt>
                <c:pt idx="12">
                  <c:v>87.165644171779149</c:v>
                </c:pt>
                <c:pt idx="13">
                  <c:v>94.656441717791424</c:v>
                </c:pt>
                <c:pt idx="14">
                  <c:v>100.10429447852762</c:v>
                </c:pt>
                <c:pt idx="15">
                  <c:v>104.19018404907976</c:v>
                </c:pt>
                <c:pt idx="16">
                  <c:v>106.91411042944787</c:v>
                </c:pt>
                <c:pt idx="17">
                  <c:v>108.2760736196319</c:v>
                </c:pt>
                <c:pt idx="18">
                  <c:v>108.95705521472394</c:v>
                </c:pt>
                <c:pt idx="19">
                  <c:v>109.63803680981596</c:v>
                </c:pt>
                <c:pt idx="20">
                  <c:v>110.31901840490799</c:v>
                </c:pt>
                <c:pt idx="21">
                  <c:v>111.00000000000001</c:v>
                </c:pt>
                <c:pt idx="22">
                  <c:v>111.68098159509204</c:v>
                </c:pt>
                <c:pt idx="23">
                  <c:v>112.36196319018407</c:v>
                </c:pt>
                <c:pt idx="24">
                  <c:v>113.04294478527608</c:v>
                </c:pt>
                <c:pt idx="25">
                  <c:v>113.7239263803681</c:v>
                </c:pt>
                <c:pt idx="26">
                  <c:v>114.40490797546013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B-4FF8-B147-24FC900E1E5D}"/>
            </c:ext>
          </c:extLst>
        </c:ser>
        <c:ser>
          <c:idx val="1"/>
          <c:order val="1"/>
          <c:tx>
            <c:strRef>
              <c:f>'Scenario Tool'!$C$29</c:f>
              <c:strCache>
                <c:ptCount val="1"/>
                <c:pt idx="0">
                  <c:v>0.19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'ER Scenarios'!$D$15:$AD$15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20.701840490797547</c:v>
                </c:pt>
                <c:pt idx="8">
                  <c:v>39.678527607361964</c:v>
                </c:pt>
                <c:pt idx="9">
                  <c:v>56.067484662576696</c:v>
                </c:pt>
                <c:pt idx="10">
                  <c:v>73.319018404907993</c:v>
                </c:pt>
                <c:pt idx="11">
                  <c:v>91.433128834355841</c:v>
                </c:pt>
                <c:pt idx="12">
                  <c:v>110.40981595092026</c:v>
                </c:pt>
                <c:pt idx="13">
                  <c:v>119.89815950920247</c:v>
                </c:pt>
                <c:pt idx="14">
                  <c:v>126.79877300613499</c:v>
                </c:pt>
                <c:pt idx="15">
                  <c:v>131.97423312883438</c:v>
                </c:pt>
                <c:pt idx="16">
                  <c:v>135.42453987730065</c:v>
                </c:pt>
                <c:pt idx="17">
                  <c:v>137.14969325153376</c:v>
                </c:pt>
                <c:pt idx="18">
                  <c:v>138.01226993865032</c:v>
                </c:pt>
                <c:pt idx="19">
                  <c:v>138.87484662576688</c:v>
                </c:pt>
                <c:pt idx="20">
                  <c:v>139.73742331288346</c:v>
                </c:pt>
                <c:pt idx="21">
                  <c:v>140.60000000000002</c:v>
                </c:pt>
                <c:pt idx="22">
                  <c:v>141.46257668711658</c:v>
                </c:pt>
                <c:pt idx="23">
                  <c:v>142.32515337423317</c:v>
                </c:pt>
                <c:pt idx="24">
                  <c:v>143.1877300613497</c:v>
                </c:pt>
                <c:pt idx="25">
                  <c:v>144.05030674846628</c:v>
                </c:pt>
                <c:pt idx="26">
                  <c:v>144.91288343558284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BB-4FF8-B147-24FC900E1E5D}"/>
            </c:ext>
          </c:extLst>
        </c:ser>
        <c:ser>
          <c:idx val="2"/>
          <c:order val="2"/>
          <c:tx>
            <c:strRef>
              <c:f>'Scenario Tool'!$C$30</c:f>
              <c:strCache>
                <c:ptCount val="1"/>
                <c:pt idx="0">
                  <c:v>0.22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'ER Scenarios'!$D$16:$AD$16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23.970552147239268</c:v>
                </c:pt>
                <c:pt idx="8">
                  <c:v>45.943558282208592</c:v>
                </c:pt>
                <c:pt idx="9">
                  <c:v>64.920245398773019</c:v>
                </c:pt>
                <c:pt idx="10">
                  <c:v>84.895705521472408</c:v>
                </c:pt>
                <c:pt idx="11">
                  <c:v>105.86993865030676</c:v>
                </c:pt>
                <c:pt idx="12">
                  <c:v>127.84294478527609</c:v>
                </c:pt>
                <c:pt idx="13">
                  <c:v>138.82944785276075</c:v>
                </c:pt>
                <c:pt idx="14">
                  <c:v>146.81963190184052</c:v>
                </c:pt>
                <c:pt idx="15">
                  <c:v>152.81226993865033</c:v>
                </c:pt>
                <c:pt idx="16">
                  <c:v>156.8073619631902</c:v>
                </c:pt>
                <c:pt idx="17">
                  <c:v>158.80490797546014</c:v>
                </c:pt>
                <c:pt idx="18">
                  <c:v>159.80368098159511</c:v>
                </c:pt>
                <c:pt idx="19">
                  <c:v>160.80245398773008</c:v>
                </c:pt>
                <c:pt idx="20">
                  <c:v>161.80122699386504</c:v>
                </c:pt>
                <c:pt idx="21">
                  <c:v>162.80000000000004</c:v>
                </c:pt>
                <c:pt idx="22">
                  <c:v>163.79877300613501</c:v>
                </c:pt>
                <c:pt idx="23">
                  <c:v>164.79754601226998</c:v>
                </c:pt>
                <c:pt idx="24">
                  <c:v>165.79631901840492</c:v>
                </c:pt>
                <c:pt idx="25">
                  <c:v>166.79509202453988</c:v>
                </c:pt>
                <c:pt idx="26">
                  <c:v>167.79386503067485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BB-4FF8-B147-24FC900E1E5D}"/>
            </c:ext>
          </c:extLst>
        </c:ser>
        <c:ser>
          <c:idx val="3"/>
          <c:order val="3"/>
          <c:tx>
            <c:strRef>
              <c:f>'Scenario Tool'!$C$31</c:f>
              <c:strCache>
                <c:ptCount val="1"/>
                <c:pt idx="0">
                  <c:v>0.3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'ER Scenarios'!$D$17:$AD$17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32.687116564417181</c:v>
                </c:pt>
                <c:pt idx="8">
                  <c:v>62.650306748466264</c:v>
                </c:pt>
                <c:pt idx="9">
                  <c:v>88.527607361963206</c:v>
                </c:pt>
                <c:pt idx="10">
                  <c:v>115.76687116564418</c:v>
                </c:pt>
                <c:pt idx="11">
                  <c:v>144.36809815950923</c:v>
                </c:pt>
                <c:pt idx="12">
                  <c:v>174.3312883435583</c:v>
                </c:pt>
                <c:pt idx="13">
                  <c:v>189.31288343558285</c:v>
                </c:pt>
                <c:pt idx="14">
                  <c:v>200.20858895705524</c:v>
                </c:pt>
                <c:pt idx="15">
                  <c:v>208.38036809815952</c:v>
                </c:pt>
                <c:pt idx="16">
                  <c:v>213.82822085889575</c:v>
                </c:pt>
                <c:pt idx="17">
                  <c:v>216.5521472392638</c:v>
                </c:pt>
                <c:pt idx="18">
                  <c:v>217.91411042944787</c:v>
                </c:pt>
                <c:pt idx="19">
                  <c:v>219.27607361963192</c:v>
                </c:pt>
                <c:pt idx="20">
                  <c:v>220.63803680981599</c:v>
                </c:pt>
                <c:pt idx="21">
                  <c:v>222.00000000000003</c:v>
                </c:pt>
                <c:pt idx="22">
                  <c:v>223.36196319018407</c:v>
                </c:pt>
                <c:pt idx="23">
                  <c:v>224.72392638036814</c:v>
                </c:pt>
                <c:pt idx="24">
                  <c:v>226.08588957055215</c:v>
                </c:pt>
                <c:pt idx="25">
                  <c:v>227.4478527607362</c:v>
                </c:pt>
                <c:pt idx="26">
                  <c:v>228.80981595092027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BB-4FF8-B147-24FC900E1E5D}"/>
            </c:ext>
          </c:extLst>
        </c:ser>
        <c:ser>
          <c:idx val="4"/>
          <c:order val="4"/>
          <c:tx>
            <c:strRef>
              <c:f>'Scenario Tool'!$B$27</c:f>
              <c:strCache>
                <c:ptCount val="1"/>
                <c:pt idx="0">
                  <c:v>Base 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'ER Scenarios'!$D$2:$AD$2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'Enrollment Forecast'!$C$2:$AC$2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</c:v>
                </c:pt>
                <c:pt idx="8">
                  <c:v>33</c:v>
                </c:pt>
                <c:pt idx="9">
                  <c:v>45</c:v>
                </c:pt>
                <c:pt idx="10">
                  <c:v>57</c:v>
                </c:pt>
                <c:pt idx="11">
                  <c:v>70</c:v>
                </c:pt>
                <c:pt idx="12">
                  <c:v>84</c:v>
                </c:pt>
                <c:pt idx="13">
                  <c:v>90</c:v>
                </c:pt>
                <c:pt idx="14">
                  <c:v>95</c:v>
                </c:pt>
                <c:pt idx="15">
                  <c:v>99</c:v>
                </c:pt>
                <c:pt idx="16">
                  <c:v>101</c:v>
                </c:pt>
                <c:pt idx="17">
                  <c:v>101</c:v>
                </c:pt>
                <c:pt idx="18">
                  <c:v>101</c:v>
                </c:pt>
                <c:pt idx="19">
                  <c:v>101</c:v>
                </c:pt>
                <c:pt idx="20">
                  <c:v>101</c:v>
                </c:pt>
                <c:pt idx="21">
                  <c:v>101</c:v>
                </c:pt>
                <c:pt idx="22">
                  <c:v>101</c:v>
                </c:pt>
                <c:pt idx="23">
                  <c:v>101</c:v>
                </c:pt>
                <c:pt idx="24">
                  <c:v>101</c:v>
                </c:pt>
                <c:pt idx="25">
                  <c:v>101</c:v>
                </c:pt>
                <c:pt idx="26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BB-4FF8-B147-24FC900E1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510399"/>
        <c:axId val="1129509919"/>
      </c:lineChart>
      <c:scatterChart>
        <c:scatterStyle val="lineMarker"/>
        <c:varyColors val="0"/>
        <c:ser>
          <c:idx val="6"/>
          <c:order val="6"/>
          <c:tx>
            <c:strRef>
              <c:f>'Enrollment Forecast'!$B$3</c:f>
              <c:strCache>
                <c:ptCount val="1"/>
                <c:pt idx="0">
                  <c:v>Enrollment Target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'Enrollment Forecast'!$C$5:$AC$5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xVal>
          <c:yVal>
            <c:numRef>
              <c:f>'Enrollment Forecast'!$C$3:$AC$3</c:f>
              <c:numCache>
                <c:formatCode>0</c:formatCode>
                <c:ptCount val="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BB-4FF8-B147-24FC900E1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510399"/>
        <c:axId val="1129509919"/>
      </c:scatterChart>
      <c:scatterChart>
        <c:scatterStyle val="lineMarker"/>
        <c:varyColors val="0"/>
        <c:ser>
          <c:idx val="5"/>
          <c:order val="5"/>
          <c:tx>
            <c:strRef>
              <c:f>'Scenario Tool'!$O$1</c:f>
              <c:strCache>
                <c:ptCount val="1"/>
                <c:pt idx="0">
                  <c:v>Deadline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'Scenario Tool'!$Q$1:$Q$2</c:f>
              <c:numCache>
                <c:formatCode>d\-mmm\-yy</c:formatCode>
                <c:ptCount val="2"/>
                <c:pt idx="0">
                  <c:v>46388</c:v>
                </c:pt>
                <c:pt idx="1">
                  <c:v>46388</c:v>
                </c:pt>
              </c:numCache>
            </c:numRef>
          </c:xVal>
          <c:yVal>
            <c:numRef>
              <c:f>'Scenario Tool'!$P$1:$P$2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BB-4FF8-B147-24FC900E1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990383"/>
        <c:axId val="1122989903"/>
      </c:scatterChart>
      <c:dateAx>
        <c:axId val="11295103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09919"/>
        <c:crosses val="autoZero"/>
        <c:auto val="1"/>
        <c:lblOffset val="100"/>
        <c:baseTimeUnit val="months"/>
      </c:dateAx>
      <c:valAx>
        <c:axId val="11295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510399"/>
        <c:crosses val="autoZero"/>
        <c:crossBetween val="between"/>
      </c:valAx>
      <c:valAx>
        <c:axId val="1122989903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22990383"/>
        <c:crosses val="max"/>
        <c:crossBetween val="midCat"/>
      </c:valAx>
      <c:valAx>
        <c:axId val="1122990383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1122989903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247594050743651E-2"/>
          <c:y val="0.14393518518518519"/>
          <c:w val="0.88673534558180223"/>
          <c:h val="0.64945100612423445"/>
        </c:manualLayout>
      </c:layout>
      <c:lineChart>
        <c:grouping val="standard"/>
        <c:varyColors val="0"/>
        <c:ser>
          <c:idx val="0"/>
          <c:order val="0"/>
          <c:tx>
            <c:v>Cumulative Enrollment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'Enrollment Forecast'!$C$5:$AC$5</c:f>
              <c:numCache>
                <c:formatCode>mmm\-yy</c:formatCode>
                <c:ptCount val="27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  <c:pt idx="23">
                  <c:v>46722</c:v>
                </c:pt>
                <c:pt idx="24">
                  <c:v>46753</c:v>
                </c:pt>
                <c:pt idx="25">
                  <c:v>46784</c:v>
                </c:pt>
                <c:pt idx="26">
                  <c:v>46813</c:v>
                </c:pt>
              </c:numCache>
            </c:numRef>
          </c:cat>
          <c:val>
            <c:numRef>
              <c:f>'Enrollment Forecast'!$C$2:$AC$2</c:f>
              <c:numCache>
                <c:formatCode>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</c:v>
                </c:pt>
                <c:pt idx="8">
                  <c:v>33</c:v>
                </c:pt>
                <c:pt idx="9">
                  <c:v>45</c:v>
                </c:pt>
                <c:pt idx="10">
                  <c:v>57</c:v>
                </c:pt>
                <c:pt idx="11">
                  <c:v>70</c:v>
                </c:pt>
                <c:pt idx="12">
                  <c:v>84</c:v>
                </c:pt>
                <c:pt idx="13">
                  <c:v>90</c:v>
                </c:pt>
                <c:pt idx="14">
                  <c:v>95</c:v>
                </c:pt>
                <c:pt idx="15">
                  <c:v>99</c:v>
                </c:pt>
                <c:pt idx="16">
                  <c:v>101</c:v>
                </c:pt>
                <c:pt idx="17">
                  <c:v>101</c:v>
                </c:pt>
                <c:pt idx="18">
                  <c:v>101</c:v>
                </c:pt>
                <c:pt idx="19">
                  <c:v>101</c:v>
                </c:pt>
                <c:pt idx="20">
                  <c:v>101</c:v>
                </c:pt>
                <c:pt idx="21">
                  <c:v>101</c:v>
                </c:pt>
                <c:pt idx="22">
                  <c:v>101</c:v>
                </c:pt>
                <c:pt idx="23">
                  <c:v>101</c:v>
                </c:pt>
                <c:pt idx="24">
                  <c:v>101</c:v>
                </c:pt>
                <c:pt idx="25">
                  <c:v>101</c:v>
                </c:pt>
                <c:pt idx="26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3-4168-A7A8-3DE095376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8310511"/>
        <c:axId val="1618308591"/>
      </c:lineChart>
      <c:scatterChart>
        <c:scatterStyle val="lineMarker"/>
        <c:varyColors val="0"/>
        <c:ser>
          <c:idx val="2"/>
          <c:order val="1"/>
          <c:tx>
            <c:v>Deadline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33-4168-A7A8-3DE095376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334032"/>
        <c:axId val="1723329712"/>
      </c:scatterChart>
      <c:dateAx>
        <c:axId val="161831051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308591"/>
        <c:crosses val="autoZero"/>
        <c:auto val="1"/>
        <c:lblOffset val="100"/>
        <c:baseTimeUnit val="months"/>
      </c:dateAx>
      <c:valAx>
        <c:axId val="16183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Enrollment</a:t>
                </a:r>
              </a:p>
            </c:rich>
          </c:tx>
          <c:layout>
            <c:manualLayout>
              <c:xMode val="edge"/>
              <c:yMode val="edge"/>
              <c:x val="0"/>
              <c:y val="0.34855643044619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310511"/>
        <c:crosses val="autoZero"/>
        <c:crossBetween val="between"/>
      </c:valAx>
      <c:valAx>
        <c:axId val="172332971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723334032"/>
        <c:crosses val="max"/>
        <c:crossBetween val="midCat"/>
      </c:valAx>
      <c:valAx>
        <c:axId val="172333403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7233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3659967504061996"/>
          <c:y val="4.2083333333333334E-2"/>
          <c:w val="0.781040119985001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 Activation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'Country StartUp'!$D$1</c:f>
              <c:strCache>
                <c:ptCount val="1"/>
                <c:pt idx="0">
                  <c:v>Approval to FSA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'Country StartUp'!$A$2:$A$29</c:f>
              <c:strCache>
                <c:ptCount val="25"/>
                <c:pt idx="0">
                  <c:v>Australia</c:v>
                </c:pt>
                <c:pt idx="1">
                  <c:v>Belgium</c:v>
                </c:pt>
                <c:pt idx="2">
                  <c:v>Brazil</c:v>
                </c:pt>
                <c:pt idx="3">
                  <c:v>Canada</c:v>
                </c:pt>
                <c:pt idx="4">
                  <c:v>EU</c:v>
                </c:pt>
                <c:pt idx="5">
                  <c:v>France</c:v>
                </c:pt>
                <c:pt idx="6">
                  <c:v>Germany</c:v>
                </c:pt>
                <c:pt idx="7">
                  <c:v>Hungary</c:v>
                </c:pt>
                <c:pt idx="8">
                  <c:v>Israel</c:v>
                </c:pt>
                <c:pt idx="9">
                  <c:v>Italy</c:v>
                </c:pt>
                <c:pt idx="10">
                  <c:v>Japan</c:v>
                </c:pt>
                <c:pt idx="11">
                  <c:v>Kingdom of Saudi Arabia</c:v>
                </c:pt>
                <c:pt idx="12">
                  <c:v>Malaysia</c:v>
                </c:pt>
                <c:pt idx="13">
                  <c:v>Netherlands</c:v>
                </c:pt>
                <c:pt idx="14">
                  <c:v>Qatar</c:v>
                </c:pt>
                <c:pt idx="15">
                  <c:v>Singapore</c:v>
                </c:pt>
                <c:pt idx="16">
                  <c:v>South Africa</c:v>
                </c:pt>
                <c:pt idx="17">
                  <c:v>South Korea</c:v>
                </c:pt>
                <c:pt idx="18">
                  <c:v>Spain</c:v>
                </c:pt>
                <c:pt idx="19">
                  <c:v>Taiwan</c:v>
                </c:pt>
                <c:pt idx="20">
                  <c:v>Thailand</c:v>
                </c:pt>
                <c:pt idx="21">
                  <c:v>Turkey</c:v>
                </c:pt>
                <c:pt idx="22">
                  <c:v>United Kingdom</c:v>
                </c:pt>
                <c:pt idx="23">
                  <c:v>United Arab Emirates</c:v>
                </c:pt>
                <c:pt idx="24">
                  <c:v>United States</c:v>
                </c:pt>
              </c:strCache>
            </c:strRef>
          </c:cat>
          <c:val>
            <c:numRef>
              <c:f>'Country StartUp'!$D$2:$D$27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90</c:v>
                </c:pt>
                <c:pt idx="4">
                  <c:v>0</c:v>
                </c:pt>
                <c:pt idx="5">
                  <c:v>100</c:v>
                </c:pt>
                <c:pt idx="6">
                  <c:v>45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3-408A-B6D9-25420B20C1FE}"/>
            </c:ext>
          </c:extLst>
        </c:ser>
        <c:ser>
          <c:idx val="0"/>
          <c:order val="1"/>
          <c:tx>
            <c:strRef>
              <c:f>'Country StartUp'!$C$1</c:f>
              <c:strCache>
                <c:ptCount val="1"/>
                <c:pt idx="0">
                  <c:v>Total Activation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StartUp'!$A$2:$A$29</c:f>
              <c:strCache>
                <c:ptCount val="25"/>
                <c:pt idx="0">
                  <c:v>Australia</c:v>
                </c:pt>
                <c:pt idx="1">
                  <c:v>Belgium</c:v>
                </c:pt>
                <c:pt idx="2">
                  <c:v>Brazil</c:v>
                </c:pt>
                <c:pt idx="3">
                  <c:v>Canada</c:v>
                </c:pt>
                <c:pt idx="4">
                  <c:v>EU</c:v>
                </c:pt>
                <c:pt idx="5">
                  <c:v>France</c:v>
                </c:pt>
                <c:pt idx="6">
                  <c:v>Germany</c:v>
                </c:pt>
                <c:pt idx="7">
                  <c:v>Hungary</c:v>
                </c:pt>
                <c:pt idx="8">
                  <c:v>Israel</c:v>
                </c:pt>
                <c:pt idx="9">
                  <c:v>Italy</c:v>
                </c:pt>
                <c:pt idx="10">
                  <c:v>Japan</c:v>
                </c:pt>
                <c:pt idx="11">
                  <c:v>Kingdom of Saudi Arabia</c:v>
                </c:pt>
                <c:pt idx="12">
                  <c:v>Malaysia</c:v>
                </c:pt>
                <c:pt idx="13">
                  <c:v>Netherlands</c:v>
                </c:pt>
                <c:pt idx="14">
                  <c:v>Qatar</c:v>
                </c:pt>
                <c:pt idx="15">
                  <c:v>Singapore</c:v>
                </c:pt>
                <c:pt idx="16">
                  <c:v>South Africa</c:v>
                </c:pt>
                <c:pt idx="17">
                  <c:v>South Korea</c:v>
                </c:pt>
                <c:pt idx="18">
                  <c:v>Spain</c:v>
                </c:pt>
                <c:pt idx="19">
                  <c:v>Taiwan</c:v>
                </c:pt>
                <c:pt idx="20">
                  <c:v>Thailand</c:v>
                </c:pt>
                <c:pt idx="21">
                  <c:v>Turkey</c:v>
                </c:pt>
                <c:pt idx="22">
                  <c:v>United Kingdom</c:v>
                </c:pt>
                <c:pt idx="23">
                  <c:v>United Arab Emirates</c:v>
                </c:pt>
                <c:pt idx="24">
                  <c:v>United States</c:v>
                </c:pt>
              </c:strCache>
            </c:strRef>
          </c:cat>
          <c:val>
            <c:numRef>
              <c:f>'Country StartUp'!$C$2:$C$26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90</c:v>
                </c:pt>
                <c:pt idx="4">
                  <c:v>0</c:v>
                </c:pt>
                <c:pt idx="5">
                  <c:v>0</c:v>
                </c:pt>
                <c:pt idx="6">
                  <c:v>315</c:v>
                </c:pt>
                <c:pt idx="7">
                  <c:v>0</c:v>
                </c:pt>
                <c:pt idx="8">
                  <c:v>0</c:v>
                </c:pt>
                <c:pt idx="9">
                  <c:v>150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3-408A-B6D9-25420B20C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370912"/>
        <c:axId val="174380032"/>
      </c:barChart>
      <c:catAx>
        <c:axId val="1743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80032"/>
        <c:crosses val="autoZero"/>
        <c:auto val="1"/>
        <c:lblAlgn val="ctr"/>
        <c:lblOffset val="100"/>
        <c:noMultiLvlLbl val="0"/>
      </c:catAx>
      <c:valAx>
        <c:axId val="17438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7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By Country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'Country Enrollment By Month'!$A$3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'Country Enrollment By Month'!$B$1:$X$1</c:f>
              <c:numCache>
                <c:formatCode>mmm\-yy</c:formatCode>
                <c:ptCount val="2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</c:numCache>
            </c:numRef>
          </c:cat>
          <c:val>
            <c:numRef>
              <c:f>'Country Enrollment By Month'!$B$3:$X$3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3-44E3-8E6F-CDAFB361EDB2}"/>
            </c:ext>
          </c:extLst>
        </c:ser>
        <c:ser>
          <c:idx val="2"/>
          <c:order val="1"/>
          <c:tx>
            <c:strRef>
              <c:f>'Country Enrollment By Month'!$A$4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'Country Enrollment By Month'!$B$1:$X$1</c:f>
              <c:numCache>
                <c:formatCode>mmm\-yy</c:formatCode>
                <c:ptCount val="2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</c:numCache>
            </c:numRef>
          </c:cat>
          <c:val>
            <c:numRef>
              <c:f>'Country Enrollment By Month'!$B$4:$X$4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13-44E3-8E6F-CDAFB361EDB2}"/>
            </c:ext>
          </c:extLst>
        </c:ser>
        <c:ser>
          <c:idx val="0"/>
          <c:order val="2"/>
          <c:tx>
            <c:strRef>
              <c:f>'Country Enrollment By Month'!$A$2</c:f>
              <c:strCache>
                <c:ptCount val="1"/>
                <c:pt idx="0">
                  <c:v>Canada</c:v>
                </c:pt>
              </c:strCache>
            </c:strRef>
          </c:tx>
          <c:invertIfNegative val="0"/>
          <c:cat>
            <c:numRef>
              <c:f>'Country Enrollment By Month'!$B$1:$X$1</c:f>
              <c:numCache>
                <c:formatCode>mmm\-yy</c:formatCode>
                <c:ptCount val="2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  <c:pt idx="12">
                  <c:v>46388</c:v>
                </c:pt>
                <c:pt idx="13">
                  <c:v>46419</c:v>
                </c:pt>
                <c:pt idx="14">
                  <c:v>46447</c:v>
                </c:pt>
                <c:pt idx="15">
                  <c:v>46478</c:v>
                </c:pt>
                <c:pt idx="16">
                  <c:v>46508</c:v>
                </c:pt>
                <c:pt idx="17">
                  <c:v>46539</c:v>
                </c:pt>
                <c:pt idx="18">
                  <c:v>46569</c:v>
                </c:pt>
                <c:pt idx="19">
                  <c:v>46600</c:v>
                </c:pt>
                <c:pt idx="20">
                  <c:v>46631</c:v>
                </c:pt>
                <c:pt idx="21">
                  <c:v>46661</c:v>
                </c:pt>
                <c:pt idx="22">
                  <c:v>46692</c:v>
                </c:pt>
              </c:numCache>
            </c:numRef>
          </c:cat>
          <c:val>
            <c:numRef>
              <c:f>'Country Enrollment By Month'!$B$2:$X$2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9-405B-8413-56B7EC991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422832"/>
        <c:axId val="1723418992"/>
      </c:barChart>
      <c:dateAx>
        <c:axId val="172342283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18992"/>
        <c:crosses val="autoZero"/>
        <c:auto val="1"/>
        <c:lblOffset val="100"/>
        <c:baseTimeUnit val="months"/>
      </c:dateAx>
      <c:valAx>
        <c:axId val="17234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42283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34177</xdr:colOff>
      <xdr:row>25</xdr:row>
      <xdr:rowOff>16249</xdr:rowOff>
    </xdr:from>
    <xdr:to>
      <xdr:col>12</xdr:col>
      <xdr:colOff>425822</xdr:colOff>
      <xdr:row>53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F2E1D9-4269-BDA7-7F8B-E1373DBC7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25212</xdr:colOff>
      <xdr:row>0</xdr:row>
      <xdr:rowOff>0</xdr:rowOff>
    </xdr:from>
    <xdr:to>
      <xdr:col>12</xdr:col>
      <xdr:colOff>365311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308455-4F28-400D-A372-1AE8B4483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19611</xdr:colOff>
      <xdr:row>55</xdr:row>
      <xdr:rowOff>22411</xdr:rowOff>
    </xdr:from>
    <xdr:to>
      <xdr:col>12</xdr:col>
      <xdr:colOff>358588</xdr:colOff>
      <xdr:row>81</xdr:row>
      <xdr:rowOff>89646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8A6655-07B9-473E-8469-C90524E18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190499</xdr:rowOff>
    </xdr:from>
    <xdr:to>
      <xdr:col>18</xdr:col>
      <xdr:colOff>590550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72708-BE8D-44A7-A0E9-EEEA308EA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190499</xdr:rowOff>
    </xdr:from>
    <xdr:to>
      <xdr:col>10</xdr:col>
      <xdr:colOff>19050</xdr:colOff>
      <xdr:row>49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B42E22-1700-4364-A4CF-C37775CBE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609599</xdr:colOff>
      <xdr:row>30</xdr:row>
      <xdr:rowOff>190499</xdr:rowOff>
    </xdr:from>
    <xdr:to>
      <xdr:col>18</xdr:col>
      <xdr:colOff>600074</xdr:colOff>
      <xdr:row>49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154D7-51AA-4FA3-83E7-62E409AEB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55754-7C4B-4F30-A561-EF911B63885F}" name="tblSites" displayName="tblSites" ref="A1:K68" totalsRowShown="0" headerRowDxfId="25" dataDxfId="24">
  <sortState xmlns:xlrd2="http://schemas.microsoft.com/office/spreadsheetml/2017/richdata2" ref="A2:K68">
    <sortCondition ref="H2:H68" customList="Yes,No"/>
    <sortCondition ref="A2:A68"/>
    <sortCondition ref="K2:K68"/>
  </sortState>
  <tableColumns count="11">
    <tableColumn id="1" xr3:uid="{F97D505A-6B8A-4AA0-86A5-3F45722EF9A1}" name="Country" dataDxfId="23">
      <calculatedColumnFormula>IF(N2="","",N2)</calculatedColumnFormula>
    </tableColumn>
    <tableColumn id="2" xr3:uid="{0CC1AD09-77A1-471D-AA08-5D4D5B3D3765}" name="Site" dataDxfId="22"/>
    <tableColumn id="3" xr3:uid="{0741DDC5-5530-45DC-AB97-AEFB0F74FD03}" name="Site Activation Date" dataDxfId="21">
      <calculatedColumnFormula>_xlfn.IFNA(INDEX('Study Information'!$O$1:$AH$24,MATCH(tblSites[[#This Row],[Country]],'Study Information'!$D:$D,0),MATCH(tblSites[[#This Row],[Site Amounts]],'Study Information'!$O$1:$AH$1,0)),"")</calculatedColumnFormula>
    </tableColumn>
    <tableColumn id="4" xr3:uid="{D765B1EB-C4E0-4BA7-843F-39F935079802}" name="Monthly Enrollment Rate" dataDxfId="20">
      <calculatedColumnFormula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calculatedColumnFormula>
    </tableColumn>
    <tableColumn id="9" xr3:uid="{FB511732-EC01-410B-9CBC-E5EEDCE8F074}" name="Site ER _x000a_Global or Country Specific)" dataDxfId="19"/>
    <tableColumn id="5" xr3:uid="{E625D31A-5EB6-4DE3-8465-57DEECB39BC1}" name="Max Participants" dataDxfId="18">
      <calculatedColumnFormula>IFERROR(INT((_xlfn.XLOOKUP(A2,'Study Information'!D:D,'Study Information'!H:H)-SUMIFS($G:$G,$A:$A,A2,$G:$G,"&gt;0"))/(_xlfn.XLOOKUP(A2,'Study Information'!D:D,'Study Information'!I:I)))+IF(K2&lt;=MOD(_xlfn.XLOOKUP(A2,'Study Information'!D:D,'Study Information'!H:H)-SUMIFS($G:$G,$A:$A,A2,$G:$G,"&gt;0"),_xlfn.XLOOKUP(A2,'Study Information'!D:D,'Study Information'!I:I)),1,0),"")</calculatedColumnFormula>
    </tableColumn>
    <tableColumn id="8" xr3:uid="{25F63382-72F3-4352-A12D-6897A20A661F}" name="Current Enrollment" dataDxfId="17"/>
    <tableColumn id="6" xr3:uid="{C14D445D-13CF-49FE-AE38-BEEDBAC5726C}" name="Include?" dataDxfId="16">
      <calculatedColumnFormula>IF(tblSites[[#This Row],[Country]]="","",_xlfn.XLOOKUP(tblSites[[#This Row],[Country]],'Study Information'!$D:$D,'Study Information'!$E:$E))</calculatedColumnFormula>
    </tableColumn>
    <tableColumn id="7" xr3:uid="{6FCF4272-F9F7-48DB-8ED9-C649DB96697C}" name="Scenario?" dataDxfId="15">
      <calculatedColumnFormula>IF(A2="","",IF(H2="Yes","",_xlfn.IFNA(IF(_xlfn.XLOOKUP(tblSites[[#This Row],[Country]],'Scenario Tool'!$B:$B,'Scenario Tool'!$A:$A)=0,"",_xlfn.XLOOKUP(tblSites[[#This Row],[Country]],'Scenario Tool'!$B:$B,'Scenario Tool'!$A:$A)),"Not Specified")))</calculatedColumnFormula>
    </tableColumn>
    <tableColumn id="11" xr3:uid="{19DE1372-F3A0-4892-8A56-EC9CE4691F93}" name="Check Yes/No" dataDxfId="14">
      <calculatedColumnFormula>IF(AND(tblSites[[#This Row],[Include?]]="YES",tblSites[[#This Row],[Scenario?]]="YES"),"Scenario and Include both Yes","")</calculatedColumnFormula>
    </tableColumn>
    <tableColumn id="12" xr3:uid="{6EEA40EB-CDA8-4CF2-870E-508C7B370F88}" name="Site Amounts" dataDxfId="13">
      <calculatedColumnFormula>IF(tblSites[[#This Row],[Country]]="","",COUNTIF($A$2:A2,A2))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4877C1-1463-4737-97B0-46C57C7337FA}" name="tblcountrydata" displayName="tblcountrydata" ref="A1:G26" totalsRowShown="0">
  <autoFilter ref="A1:G26" xr:uid="{A94877C1-1463-4737-97B0-46C57C7337FA}"/>
  <tableColumns count="7">
    <tableColumn id="1" xr3:uid="{A9D92EE8-BC8A-4BC8-AC29-F8B504E7B198}" name="Country"/>
    <tableColumn id="2" xr3:uid="{0AC4A11F-D8FB-4C95-9A82-1676880C5AF7}" name="Status"/>
    <tableColumn id="3" xr3:uid="{BFD31DDE-4FD4-4F9A-8EE3-C94941F3F863}" name="Sites"/>
    <tableColumn id="4" xr3:uid="{7705A36F-C935-49C3-85F9-CC63943004E8}" name="First Active" dataDxfId="12"/>
    <tableColumn id="5" xr3:uid="{C204F0A0-E129-49E2-A415-45BEA2B10935}" name="Last Active" dataDxfId="11"/>
    <tableColumn id="6" xr3:uid="{32CDFFC1-E1FA-41F7-8E05-EFE4332B7A04}" name="Approval Date" dataDxfId="10"/>
    <tableColumn id="7" xr3:uid="{106DBC34-4829-44B9-91E5-43114403D4A9}" name="Column1" dataDxfId="9">
      <calculatedColumnFormula>D2-F2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28DE1E-9720-4052-AFA4-AE04E95FCBBA}" name="tblKPI" displayName="tblKPI" ref="A1:B5" totalsRowShown="0">
  <autoFilter ref="A1:B5" xr:uid="{CF28DE1E-9720-4052-AFA4-AE04E95FCBBA}"/>
  <tableColumns count="2">
    <tableColumn id="1" xr3:uid="{AACFEAC4-AD38-47E0-8EF6-2969938A0B41}" name="KPI"/>
    <tableColumn id="2" xr3:uid="{A2707C6A-EDBC-4CA2-87F9-769D48E94F24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4BCB95-B15C-42A3-84EF-C6F526EBFF18}" name="tblCountryActivation" displayName="tblCountryActivation" ref="A1:H36" totalsRowShown="0">
  <autoFilter ref="A1:H36" xr:uid="{904BCB95-B15C-42A3-84EF-C6F526EBFF18}"/>
  <tableColumns count="8">
    <tableColumn id="1" xr3:uid="{1CB79D68-7A9E-4D04-8D4E-5C191FE38F0F}" name="Countries">
      <calculatedColumnFormula>'Site Information'!P2</calculatedColumnFormula>
    </tableColumn>
    <tableColumn id="2" xr3:uid="{A2084CCE-2490-4BF6-975B-B65ED1017C25}" name="Approval Date"/>
    <tableColumn id="3" xr3:uid="{CCD8EC74-5569-42EC-9D04-22CCACAC65B5}" name="First Site Activated"/>
    <tableColumn id="4" xr3:uid="{ED7A9FF5-778D-4E03-B37F-35B360B41C55}" name="Last Site Activated"/>
    <tableColumn id="5" xr3:uid="{E2B4F872-4B57-4E2A-92F9-FBE56570D613}" name="First Enrollment Date"/>
    <tableColumn id="6" xr3:uid="{99FD7EBF-DCC2-49D5-BE5A-64CD7DDD88C7}" name="Approval to Activation"/>
    <tableColumn id="7" xr3:uid="{858AD8C2-55D6-4EC6-BE88-60387F40B915}" name="Activation to Enrollment"/>
    <tableColumn id="8" xr3:uid="{842BEE9D-3A5A-416A-B962-611E69A0AF6D}" name="Time to Activate all Si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AB6E98-48A8-43B1-A3BB-44041D05B29F}" name="tblEnrollmentCurve" displayName="tblEnrollmentCurve" ref="A1:G24" totalsRowShown="0">
  <autoFilter ref="A1:G24" xr:uid="{BBAB6E98-48A8-43B1-A3BB-44041D05B29F}"/>
  <tableColumns count="7">
    <tableColumn id="1" xr3:uid="{0F9166FF-5D89-4525-B115-CC8CE8C8E91C}" name="Month" dataDxfId="8">
      <calculatedColumnFormula array="1">INDEX('Enrollment Forecast'!$C$5:$Y$5,ROWS($A$2:A2))</calculatedColumnFormula>
    </tableColumn>
    <tableColumn id="2" xr3:uid="{B2DF3A7A-FFF2-4507-8DA3-9651214FFE1F}" name="Forecast Enrollment" dataDxfId="7">
      <calculatedColumnFormula array="1">INDEX('Enrollment Forecast'!$C$2:$Y$2,ROWS($A$2:B2))</calculatedColumnFormula>
    </tableColumn>
    <tableColumn id="3" xr3:uid="{8239DD6E-3436-4362-B31B-A2486E1114F7}" name="Target Enrollment" dataDxfId="6">
      <calculatedColumnFormula array="1">INDEX('Enrollment Forecast'!$C$3:$Y$3,ROWS($A$2:C2))</calculatedColumnFormula>
    </tableColumn>
    <tableColumn id="4" xr3:uid="{E420ECDF-8013-4104-B7C1-7EA8D4A0AC08}" name="Scenario 1" dataDxfId="5">
      <calculatedColumnFormula array="1">INDEX('ER Scenarios'!$D$6:$AJ$6,ROWS($A$2:D2))</calculatedColumnFormula>
    </tableColumn>
    <tableColumn id="5" xr3:uid="{3A66D3D0-7CFD-45A1-97DD-4715C0580402}" name="Scenario 2" dataDxfId="4">
      <calculatedColumnFormula array="1">INDEX('ER Scenarios'!$D$7:$AJ$7,ROWS($A$2:E2))</calculatedColumnFormula>
    </tableColumn>
    <tableColumn id="6" xr3:uid="{4C0092DE-38F7-4F9E-BDCE-2BDF4692EC74}" name="Scenario 3" dataDxfId="3">
      <calculatedColumnFormula array="1">INDEX('ER Scenarios'!$D$8:$AJ$8,ROWS($A$2:F2))</calculatedColumnFormula>
    </tableColumn>
    <tableColumn id="7" xr3:uid="{90D90F7A-D8FF-480A-89C2-9E633B687EAA}" name="Scenario 4" dataDxfId="2">
      <calculatedColumnFormula array="1">INDEX('ER Scenarios'!$D$9:$AJ$9,ROWS($A$2:G2))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1A9D63-E08C-47A3-8431-EA135ABBAE11}" name="tblScenarioInfo" displayName="tblScenarioInfo" ref="J1:K5" totalsRowShown="0">
  <autoFilter ref="J1:K5" xr:uid="{DD1A9D63-E08C-47A3-8431-EA135ABBAE11}"/>
  <tableColumns count="2">
    <tableColumn id="1" xr3:uid="{EE7DA066-7D17-4FEB-8B6E-C9A165DC6152}" name="Scenario" dataDxfId="1"/>
    <tableColumn id="2" xr3:uid="{D73A3C87-9E9E-49F2-8791-304A577EFDA9}" name="Enrollment Rate" dataDxfId="0">
      <calculatedColumnFormula>'ER Scenarios'!B6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E949-EF87-40E8-AE36-B9678FDD8E7C}">
  <dimension ref="A1:AH32"/>
  <sheetViews>
    <sheetView topLeftCell="H1" zoomScale="85" zoomScaleNormal="85" workbookViewId="0">
      <selection activeCell="B25" sqref="B25"/>
    </sheetView>
  </sheetViews>
  <sheetFormatPr defaultRowHeight="15" x14ac:dyDescent="0.25"/>
  <cols>
    <col min="1" max="1" width="37.7109375" style="18" bestFit="1" customWidth="1"/>
    <col min="2" max="3" width="27.5703125" style="18" customWidth="1"/>
    <col min="4" max="4" width="17.85546875" style="18" bestFit="1" customWidth="1"/>
    <col min="5" max="7" width="17.85546875" style="18" customWidth="1"/>
    <col min="8" max="8" width="22.5703125" style="18" bestFit="1" customWidth="1"/>
    <col min="9" max="9" width="22.5703125" style="18" customWidth="1"/>
    <col min="10" max="10" width="26.140625" style="18" bestFit="1" customWidth="1"/>
    <col min="11" max="12" width="22.5703125" style="18" customWidth="1"/>
    <col min="13" max="13" width="28.7109375" style="18" bestFit="1" customWidth="1"/>
    <col min="14" max="14" width="9.140625" style="18"/>
    <col min="15" max="15" width="11.28515625" style="18" bestFit="1" customWidth="1"/>
    <col min="16" max="16" width="10.140625" style="18" bestFit="1" customWidth="1"/>
    <col min="17" max="18" width="11.28515625" style="18" bestFit="1" customWidth="1"/>
    <col min="19" max="19" width="10.42578125" style="18" bestFit="1" customWidth="1"/>
    <col min="20" max="20" width="9.42578125" style="18" bestFit="1" customWidth="1"/>
    <col min="21" max="23" width="10.42578125" style="18" bestFit="1" customWidth="1"/>
    <col min="24" max="24" width="9.42578125" style="18" bestFit="1" customWidth="1"/>
    <col min="25" max="26" width="10.42578125" style="18" bestFit="1" customWidth="1"/>
    <col min="27" max="27" width="9.42578125" style="18" bestFit="1" customWidth="1"/>
    <col min="28" max="28" width="10.42578125" style="18" bestFit="1" customWidth="1"/>
    <col min="29" max="30" width="9.42578125" style="18" bestFit="1" customWidth="1"/>
    <col min="31" max="31" width="10.42578125" style="18" bestFit="1" customWidth="1"/>
    <col min="32" max="32" width="9.42578125" style="18" bestFit="1" customWidth="1"/>
    <col min="33" max="33" width="10.42578125" style="18" bestFit="1" customWidth="1"/>
    <col min="34" max="34" width="9.42578125" style="18" bestFit="1" customWidth="1"/>
    <col min="35" max="16384" width="9.140625" style="18"/>
  </cols>
  <sheetData>
    <row r="1" spans="1:34" ht="30.75" thickBot="1" x14ac:dyDescent="0.3">
      <c r="A1" s="33" t="s">
        <v>76</v>
      </c>
      <c r="B1" s="33" t="s">
        <v>93</v>
      </c>
      <c r="D1" s="37" t="s">
        <v>80</v>
      </c>
      <c r="E1" s="37" t="s">
        <v>112</v>
      </c>
      <c r="F1" s="37" t="s">
        <v>109</v>
      </c>
      <c r="G1" s="37" t="s">
        <v>81</v>
      </c>
      <c r="H1" s="37" t="s">
        <v>107</v>
      </c>
      <c r="I1" s="37" t="s">
        <v>98</v>
      </c>
      <c r="J1" s="37" t="s">
        <v>99</v>
      </c>
      <c r="K1" s="37" t="s">
        <v>96</v>
      </c>
      <c r="L1" s="37" t="s">
        <v>97</v>
      </c>
      <c r="M1" s="39" t="s">
        <v>95</v>
      </c>
      <c r="N1" s="62" t="s">
        <v>101</v>
      </c>
      <c r="O1" s="40">
        <v>1</v>
      </c>
      <c r="P1" s="38">
        <v>2</v>
      </c>
      <c r="Q1" s="38">
        <v>3</v>
      </c>
      <c r="R1" s="38">
        <v>4</v>
      </c>
      <c r="S1" s="38">
        <v>5</v>
      </c>
      <c r="T1" s="38">
        <v>6</v>
      </c>
      <c r="U1" s="38">
        <v>7</v>
      </c>
      <c r="V1" s="38">
        <v>8</v>
      </c>
      <c r="W1" s="38">
        <v>9</v>
      </c>
      <c r="X1" s="38">
        <v>10</v>
      </c>
      <c r="Y1" s="38">
        <v>11</v>
      </c>
      <c r="Z1" s="38">
        <v>12</v>
      </c>
      <c r="AA1" s="38">
        <v>13</v>
      </c>
      <c r="AB1" s="38">
        <v>14</v>
      </c>
      <c r="AC1" s="38">
        <v>15</v>
      </c>
      <c r="AD1" s="38">
        <v>16</v>
      </c>
      <c r="AE1" s="38">
        <v>17</v>
      </c>
      <c r="AF1" s="38">
        <v>18</v>
      </c>
      <c r="AG1" s="38">
        <v>19</v>
      </c>
      <c r="AH1" s="38">
        <v>20</v>
      </c>
    </row>
    <row r="2" spans="1:34" x14ac:dyDescent="0.25">
      <c r="A2" s="33" t="s">
        <v>77</v>
      </c>
      <c r="B2" s="33">
        <v>100</v>
      </c>
      <c r="D2" s="49" t="s">
        <v>47</v>
      </c>
      <c r="E2" s="50" t="s">
        <v>6</v>
      </c>
      <c r="F2" s="50">
        <v>0.3</v>
      </c>
      <c r="G2" s="50">
        <v>44</v>
      </c>
      <c r="H2" s="31">
        <f t="shared" ref="H2:H23" si="0">IF(G2="","",ROUND(G2-(G2*$B$6),0))</f>
        <v>37</v>
      </c>
      <c r="I2" s="50">
        <v>4</v>
      </c>
      <c r="J2" s="50">
        <v>30</v>
      </c>
      <c r="K2" s="55">
        <v>45809</v>
      </c>
      <c r="L2" s="42">
        <f>IF(D2="","",K2+_xlfn.XLOOKUP(D2,'Country StartUp'!A:A,'Country StartUp'!B:B))</f>
        <v>45869</v>
      </c>
      <c r="M2" s="43">
        <f>IF(D2="","",$B$3-_xlfn.XLOOKUP(D2,'Country StartUp'!A:A,'Country StartUp'!B:B))</f>
        <v>45963</v>
      </c>
      <c r="N2" s="63"/>
      <c r="O2" s="41">
        <f>IF(OR($L2="",$I2&lt;O$1),"",$L2+J2)</f>
        <v>45899</v>
      </c>
      <c r="P2" s="42">
        <f>IF(OR($O2="",$I2&lt;P$1),"",$J2+O2)</f>
        <v>45929</v>
      </c>
      <c r="Q2" s="42">
        <f t="shared" ref="Q2:AH6" si="1">IF(OR($O2="",$I2&lt;Q$1),"",$J2+P2)</f>
        <v>45959</v>
      </c>
      <c r="R2" s="42">
        <f t="shared" si="1"/>
        <v>45989</v>
      </c>
      <c r="S2" s="42" t="str">
        <f t="shared" si="1"/>
        <v/>
      </c>
      <c r="T2" s="42" t="str">
        <f t="shared" si="1"/>
        <v/>
      </c>
      <c r="U2" s="42" t="str">
        <f t="shared" si="1"/>
        <v/>
      </c>
      <c r="V2" s="42" t="str">
        <f t="shared" si="1"/>
        <v/>
      </c>
      <c r="W2" s="42" t="str">
        <f t="shared" si="1"/>
        <v/>
      </c>
      <c r="X2" s="42" t="str">
        <f t="shared" si="1"/>
        <v/>
      </c>
      <c r="Y2" s="42" t="str">
        <f t="shared" si="1"/>
        <v/>
      </c>
      <c r="Z2" s="42" t="str">
        <f t="shared" si="1"/>
        <v/>
      </c>
      <c r="AA2" s="42" t="str">
        <f t="shared" si="1"/>
        <v/>
      </c>
      <c r="AB2" s="42" t="str">
        <f t="shared" si="1"/>
        <v/>
      </c>
      <c r="AC2" s="42" t="str">
        <f t="shared" si="1"/>
        <v/>
      </c>
      <c r="AD2" s="42" t="str">
        <f t="shared" si="1"/>
        <v/>
      </c>
      <c r="AE2" s="42" t="str">
        <f t="shared" si="1"/>
        <v/>
      </c>
      <c r="AF2" s="42" t="str">
        <f t="shared" si="1"/>
        <v/>
      </c>
      <c r="AG2" s="42" t="str">
        <f t="shared" si="1"/>
        <v/>
      </c>
      <c r="AH2" s="43" t="str">
        <f t="shared" si="1"/>
        <v/>
      </c>
    </row>
    <row r="3" spans="1:34" x14ac:dyDescent="0.25">
      <c r="A3" s="33" t="s">
        <v>92</v>
      </c>
      <c r="B3" s="34">
        <v>46023</v>
      </c>
      <c r="C3" s="26"/>
      <c r="D3" s="51" t="s">
        <v>84</v>
      </c>
      <c r="E3" s="52" t="s">
        <v>6</v>
      </c>
      <c r="F3" s="52">
        <v>0.1</v>
      </c>
      <c r="G3" s="52">
        <v>55</v>
      </c>
      <c r="H3" s="18">
        <f t="shared" si="0"/>
        <v>47</v>
      </c>
      <c r="I3" s="52">
        <v>8</v>
      </c>
      <c r="J3" s="52">
        <v>45</v>
      </c>
      <c r="K3" s="56">
        <v>45870</v>
      </c>
      <c r="L3" s="25">
        <f>IF(D3="","",K3+_xlfn.XLOOKUP(D3,'Country StartUp'!A:A,'Country StartUp'!B:B))</f>
        <v>45996.544642857145</v>
      </c>
      <c r="M3" s="45">
        <f>IF(D3="","",$B$3-_xlfn.XLOOKUP(D3,'Country StartUp'!A:A,'Country StartUp'!B:B))</f>
        <v>45896.455357142855</v>
      </c>
      <c r="N3" s="63"/>
      <c r="O3" s="44">
        <f t="shared" ref="O3:O6" si="2">IF(OR($L3="",$I3&lt;O$1),"",$L3+J3)</f>
        <v>46041.544642857145</v>
      </c>
      <c r="P3" s="25">
        <f t="shared" ref="P3:AE6" si="3">IF(OR($O3="",$I3&lt;P$1),"",$J3+O3)</f>
        <v>46086.544642857145</v>
      </c>
      <c r="Q3" s="25">
        <f t="shared" si="3"/>
        <v>46131.544642857145</v>
      </c>
      <c r="R3" s="25">
        <f t="shared" si="3"/>
        <v>46176.544642857145</v>
      </c>
      <c r="S3" s="25">
        <f t="shared" si="3"/>
        <v>46221.544642857145</v>
      </c>
      <c r="T3" s="25">
        <f t="shared" si="3"/>
        <v>46266.544642857145</v>
      </c>
      <c r="U3" s="25">
        <f t="shared" si="3"/>
        <v>46311.544642857145</v>
      </c>
      <c r="V3" s="25">
        <f t="shared" si="3"/>
        <v>46356.544642857145</v>
      </c>
      <c r="W3" s="25" t="str">
        <f t="shared" si="3"/>
        <v/>
      </c>
      <c r="X3" s="25" t="str">
        <f t="shared" si="3"/>
        <v/>
      </c>
      <c r="Y3" s="25" t="str">
        <f t="shared" si="3"/>
        <v/>
      </c>
      <c r="Z3" s="25" t="str">
        <f t="shared" si="3"/>
        <v/>
      </c>
      <c r="AA3" s="25" t="str">
        <f t="shared" si="3"/>
        <v/>
      </c>
      <c r="AB3" s="25" t="str">
        <f t="shared" si="3"/>
        <v/>
      </c>
      <c r="AC3" s="25" t="str">
        <f t="shared" si="3"/>
        <v/>
      </c>
      <c r="AD3" s="25" t="str">
        <f t="shared" si="3"/>
        <v/>
      </c>
      <c r="AE3" s="25" t="str">
        <f t="shared" si="3"/>
        <v/>
      </c>
      <c r="AF3" s="25" t="str">
        <f t="shared" si="1"/>
        <v/>
      </c>
      <c r="AG3" s="25" t="str">
        <f t="shared" si="1"/>
        <v/>
      </c>
      <c r="AH3" s="45" t="str">
        <f t="shared" si="1"/>
        <v/>
      </c>
    </row>
    <row r="4" spans="1:34" x14ac:dyDescent="0.25">
      <c r="A4" s="29" t="s">
        <v>125</v>
      </c>
      <c r="B4" s="35">
        <f>B3+B8</f>
        <v>46053</v>
      </c>
      <c r="C4" s="26"/>
      <c r="D4" s="51" t="s">
        <v>44</v>
      </c>
      <c r="E4" s="52" t="s">
        <v>6</v>
      </c>
      <c r="F4" s="52">
        <v>0.15</v>
      </c>
      <c r="G4" s="52">
        <v>20</v>
      </c>
      <c r="H4" s="18">
        <f t="shared" si="0"/>
        <v>17</v>
      </c>
      <c r="I4" s="52">
        <v>2</v>
      </c>
      <c r="J4" s="52">
        <v>90</v>
      </c>
      <c r="K4" s="56">
        <v>45870</v>
      </c>
      <c r="L4" s="25">
        <f>IF(D4="","",K4+_xlfn.XLOOKUP(D4,'Country StartUp'!A:A,'Country StartUp'!B:B))</f>
        <v>45915.666666666664</v>
      </c>
      <c r="M4" s="45">
        <f>IF(D4="","",$B$3-_xlfn.XLOOKUP(D4,'Country StartUp'!A:A,'Country StartUp'!B:B))</f>
        <v>45977.333333333336</v>
      </c>
      <c r="N4" s="63"/>
      <c r="O4" s="44">
        <f t="shared" si="2"/>
        <v>46005.666666666664</v>
      </c>
      <c r="P4" s="25">
        <f t="shared" si="3"/>
        <v>46095.666666666664</v>
      </c>
      <c r="Q4" s="25" t="str">
        <f t="shared" si="1"/>
        <v/>
      </c>
      <c r="R4" s="25" t="str">
        <f t="shared" si="1"/>
        <v/>
      </c>
      <c r="S4" s="25" t="str">
        <f t="shared" si="1"/>
        <v/>
      </c>
      <c r="T4" s="25" t="str">
        <f t="shared" si="1"/>
        <v/>
      </c>
      <c r="U4" s="25" t="str">
        <f t="shared" si="1"/>
        <v/>
      </c>
      <c r="V4" s="25" t="str">
        <f t="shared" si="1"/>
        <v/>
      </c>
      <c r="W4" s="25" t="str">
        <f t="shared" si="1"/>
        <v/>
      </c>
      <c r="X4" s="25" t="str">
        <f t="shared" si="1"/>
        <v/>
      </c>
      <c r="Y4" s="25" t="str">
        <f t="shared" si="1"/>
        <v/>
      </c>
      <c r="Z4" s="25" t="str">
        <f t="shared" si="1"/>
        <v/>
      </c>
      <c r="AA4" s="25" t="str">
        <f t="shared" si="1"/>
        <v/>
      </c>
      <c r="AB4" s="25" t="str">
        <f t="shared" si="1"/>
        <v/>
      </c>
      <c r="AC4" s="25" t="str">
        <f t="shared" si="1"/>
        <v/>
      </c>
      <c r="AD4" s="25" t="str">
        <f t="shared" si="1"/>
        <v/>
      </c>
      <c r="AE4" s="25" t="str">
        <f t="shared" si="1"/>
        <v/>
      </c>
      <c r="AF4" s="25" t="str">
        <f t="shared" si="1"/>
        <v/>
      </c>
      <c r="AG4" s="25" t="str">
        <f t="shared" si="1"/>
        <v/>
      </c>
      <c r="AH4" s="45" t="str">
        <f t="shared" si="1"/>
        <v/>
      </c>
    </row>
    <row r="5" spans="1:34" x14ac:dyDescent="0.25">
      <c r="A5" s="33" t="s">
        <v>78</v>
      </c>
      <c r="B5" s="34">
        <v>46388</v>
      </c>
      <c r="C5" s="27"/>
      <c r="D5" s="51" t="s">
        <v>88</v>
      </c>
      <c r="E5" s="52" t="s">
        <v>7</v>
      </c>
      <c r="F5" s="52">
        <v>0.3</v>
      </c>
      <c r="G5" s="52">
        <v>85</v>
      </c>
      <c r="H5" s="18">
        <f t="shared" si="0"/>
        <v>72</v>
      </c>
      <c r="I5" s="52">
        <v>16</v>
      </c>
      <c r="J5" s="52">
        <v>60</v>
      </c>
      <c r="K5" s="56">
        <v>45931</v>
      </c>
      <c r="L5" s="25">
        <f>IF(D5="","",K5+_xlfn.XLOOKUP(D5,'Country StartUp'!A:A,'Country StartUp'!B:B))</f>
        <v>46049.465909090912</v>
      </c>
      <c r="M5" s="45">
        <f>IF(D5="","",$B$3-_xlfn.XLOOKUP(D5,'Country StartUp'!A:A,'Country StartUp'!B:B))</f>
        <v>45904.534090909088</v>
      </c>
      <c r="N5" s="63"/>
      <c r="O5" s="44">
        <f t="shared" si="2"/>
        <v>46109.465909090912</v>
      </c>
      <c r="P5" s="25">
        <f t="shared" si="3"/>
        <v>46169.465909090912</v>
      </c>
      <c r="Q5" s="25">
        <f t="shared" si="1"/>
        <v>46229.465909090912</v>
      </c>
      <c r="R5" s="25">
        <f t="shared" si="1"/>
        <v>46289.465909090912</v>
      </c>
      <c r="S5" s="25">
        <f t="shared" si="1"/>
        <v>46349.465909090912</v>
      </c>
      <c r="T5" s="25">
        <f t="shared" si="1"/>
        <v>46409.465909090912</v>
      </c>
      <c r="U5" s="25">
        <f t="shared" si="1"/>
        <v>46469.465909090912</v>
      </c>
      <c r="V5" s="25">
        <f t="shared" si="1"/>
        <v>46529.465909090912</v>
      </c>
      <c r="W5" s="25">
        <f t="shared" si="1"/>
        <v>46589.465909090912</v>
      </c>
      <c r="X5" s="25">
        <f t="shared" si="1"/>
        <v>46649.465909090912</v>
      </c>
      <c r="Y5" s="25">
        <f t="shared" si="1"/>
        <v>46709.465909090912</v>
      </c>
      <c r="Z5" s="25">
        <f t="shared" si="1"/>
        <v>46769.465909090912</v>
      </c>
      <c r="AA5" s="25">
        <f t="shared" si="1"/>
        <v>46829.465909090912</v>
      </c>
      <c r="AB5" s="25">
        <f t="shared" si="1"/>
        <v>46889.465909090912</v>
      </c>
      <c r="AC5" s="25">
        <f t="shared" si="1"/>
        <v>46949.465909090912</v>
      </c>
      <c r="AD5" s="25">
        <f t="shared" si="1"/>
        <v>47009.465909090912</v>
      </c>
      <c r="AE5" s="25" t="str">
        <f t="shared" si="1"/>
        <v/>
      </c>
      <c r="AF5" s="25" t="str">
        <f t="shared" si="1"/>
        <v/>
      </c>
      <c r="AG5" s="25" t="str">
        <f t="shared" si="1"/>
        <v/>
      </c>
      <c r="AH5" s="45" t="str">
        <f t="shared" si="1"/>
        <v/>
      </c>
    </row>
    <row r="6" spans="1:34" x14ac:dyDescent="0.25">
      <c r="A6" s="33" t="s">
        <v>79</v>
      </c>
      <c r="B6" s="36">
        <v>0.15</v>
      </c>
      <c r="D6" s="51" t="s">
        <v>28</v>
      </c>
      <c r="E6" s="52" t="s">
        <v>7</v>
      </c>
      <c r="F6" s="52">
        <v>0.05</v>
      </c>
      <c r="G6" s="52">
        <v>62</v>
      </c>
      <c r="H6" s="18">
        <f t="shared" si="0"/>
        <v>53</v>
      </c>
      <c r="I6" s="52">
        <v>1</v>
      </c>
      <c r="J6" s="52">
        <v>100</v>
      </c>
      <c r="K6" s="56">
        <v>45901</v>
      </c>
      <c r="L6" s="25">
        <f>IF(D6="","",K6+_xlfn.XLOOKUP(D6,'Country StartUp'!A:A,'Country StartUp'!B:B))</f>
        <v>46014.455357142855</v>
      </c>
      <c r="M6" s="45">
        <f>IF(D6="","",$B$3-_xlfn.XLOOKUP(D6,'Country StartUp'!A:A,'Country StartUp'!B:B))</f>
        <v>45909.544642857145</v>
      </c>
      <c r="N6" s="63"/>
      <c r="O6" s="44">
        <f t="shared" si="2"/>
        <v>46114.455357142855</v>
      </c>
      <c r="P6" s="25" t="str">
        <f t="shared" si="3"/>
        <v/>
      </c>
      <c r="Q6" s="25" t="str">
        <f t="shared" si="1"/>
        <v/>
      </c>
      <c r="R6" s="25" t="str">
        <f t="shared" si="1"/>
        <v/>
      </c>
      <c r="S6" s="25" t="str">
        <f t="shared" si="1"/>
        <v/>
      </c>
      <c r="T6" s="25" t="str">
        <f t="shared" si="1"/>
        <v/>
      </c>
      <c r="U6" s="25" t="str">
        <f t="shared" si="1"/>
        <v/>
      </c>
      <c r="V6" s="25" t="str">
        <f t="shared" si="1"/>
        <v/>
      </c>
      <c r="W6" s="25" t="str">
        <f t="shared" si="1"/>
        <v/>
      </c>
      <c r="X6" s="25" t="str">
        <f t="shared" si="1"/>
        <v/>
      </c>
      <c r="Y6" s="25" t="str">
        <f t="shared" si="1"/>
        <v/>
      </c>
      <c r="Z6" s="25" t="str">
        <f t="shared" si="1"/>
        <v/>
      </c>
      <c r="AA6" s="25" t="str">
        <f t="shared" si="1"/>
        <v/>
      </c>
      <c r="AB6" s="25" t="str">
        <f t="shared" si="1"/>
        <v/>
      </c>
      <c r="AC6" s="25" t="str">
        <f t="shared" si="1"/>
        <v/>
      </c>
      <c r="AD6" s="25" t="str">
        <f t="shared" si="1"/>
        <v/>
      </c>
      <c r="AE6" s="25" t="str">
        <f t="shared" si="1"/>
        <v/>
      </c>
      <c r="AF6" s="25" t="str">
        <f t="shared" si="1"/>
        <v/>
      </c>
      <c r="AG6" s="25" t="str">
        <f t="shared" si="1"/>
        <v/>
      </c>
      <c r="AH6" s="45" t="str">
        <f t="shared" si="1"/>
        <v/>
      </c>
    </row>
    <row r="7" spans="1:34" x14ac:dyDescent="0.25">
      <c r="A7" s="33" t="s">
        <v>105</v>
      </c>
      <c r="B7" s="33">
        <v>0.2</v>
      </c>
      <c r="D7" s="51" t="s">
        <v>30</v>
      </c>
      <c r="E7" s="52" t="s">
        <v>7</v>
      </c>
      <c r="F7" s="52"/>
      <c r="G7" s="52">
        <v>40</v>
      </c>
      <c r="H7" s="18">
        <f t="shared" si="0"/>
        <v>34</v>
      </c>
      <c r="I7" s="52">
        <v>6</v>
      </c>
      <c r="J7" s="52">
        <v>30</v>
      </c>
      <c r="K7" s="56">
        <v>45962</v>
      </c>
      <c r="L7" s="25">
        <f>IF(D7="","",K7+_xlfn.XLOOKUP(D7,'Country StartUp'!A:A,'Country StartUp'!B:B))</f>
        <v>46107.769230769234</v>
      </c>
      <c r="M7" s="45">
        <f>IF(D7="","",$B$3-_xlfn.XLOOKUP(D7,'Country StartUp'!A:A,'Country StartUp'!B:B))</f>
        <v>45877.230769230766</v>
      </c>
      <c r="N7" s="63"/>
      <c r="O7" s="44">
        <f t="shared" ref="O7:O24" si="4">IF(OR($L7="",$I7&lt;O$1),"",$L7+J7)</f>
        <v>46137.769230769234</v>
      </c>
      <c r="P7" s="25">
        <f t="shared" ref="P7:AH21" si="5">IF(OR($O7="",$I7&lt;P$1),"",$J7+O7)</f>
        <v>46167.769230769234</v>
      </c>
      <c r="Q7" s="25">
        <f t="shared" si="5"/>
        <v>46197.769230769234</v>
      </c>
      <c r="R7" s="25">
        <f t="shared" si="5"/>
        <v>46227.769230769234</v>
      </c>
      <c r="S7" s="25">
        <f t="shared" si="5"/>
        <v>46257.769230769234</v>
      </c>
      <c r="T7" s="25">
        <f t="shared" si="5"/>
        <v>46287.769230769234</v>
      </c>
      <c r="U7" s="25" t="str">
        <f t="shared" si="5"/>
        <v/>
      </c>
      <c r="V7" s="25" t="str">
        <f t="shared" si="5"/>
        <v/>
      </c>
      <c r="W7" s="25" t="str">
        <f t="shared" si="5"/>
        <v/>
      </c>
      <c r="X7" s="25" t="str">
        <f t="shared" si="5"/>
        <v/>
      </c>
      <c r="Y7" s="25" t="str">
        <f t="shared" si="5"/>
        <v/>
      </c>
      <c r="Z7" s="25" t="str">
        <f t="shared" si="5"/>
        <v/>
      </c>
      <c r="AA7" s="25" t="str">
        <f t="shared" si="5"/>
        <v/>
      </c>
      <c r="AB7" s="25" t="str">
        <f t="shared" si="5"/>
        <v/>
      </c>
      <c r="AC7" s="25" t="str">
        <f t="shared" si="5"/>
        <v/>
      </c>
      <c r="AD7" s="25" t="str">
        <f t="shared" si="5"/>
        <v/>
      </c>
      <c r="AE7" s="25" t="str">
        <f t="shared" si="5"/>
        <v/>
      </c>
      <c r="AF7" s="25" t="str">
        <f t="shared" si="5"/>
        <v/>
      </c>
      <c r="AG7" s="25" t="str">
        <f t="shared" si="5"/>
        <v/>
      </c>
      <c r="AH7" s="45" t="str">
        <f t="shared" si="5"/>
        <v/>
      </c>
    </row>
    <row r="8" spans="1:34" x14ac:dyDescent="0.25">
      <c r="A8" s="33" t="s">
        <v>75</v>
      </c>
      <c r="B8" s="33">
        <v>30</v>
      </c>
      <c r="D8" s="51"/>
      <c r="E8" s="52"/>
      <c r="F8" s="52"/>
      <c r="G8" s="52"/>
      <c r="H8" s="18" t="str">
        <f t="shared" si="0"/>
        <v/>
      </c>
      <c r="I8" s="52"/>
      <c r="J8" s="52"/>
      <c r="K8" s="52"/>
      <c r="L8" s="25" t="str">
        <f>IF(D8="","",K8+_xlfn.XLOOKUP(D8,'Country StartUp'!A:A,'Country StartUp'!B:B))</f>
        <v/>
      </c>
      <c r="M8" s="45" t="str">
        <f>IF(D8="","",$B$3-_xlfn.XLOOKUP(D8,'Country StartUp'!A:A,'Country StartUp'!B:B))</f>
        <v/>
      </c>
      <c r="N8" s="63"/>
      <c r="O8" s="44" t="str">
        <f t="shared" si="4"/>
        <v/>
      </c>
      <c r="P8" s="25" t="str">
        <f t="shared" ref="P8" si="6">IF(OR($O8="",$I8&lt;P$1),"",$J8+O8)</f>
        <v/>
      </c>
      <c r="Q8" s="25" t="str">
        <f t="shared" si="5"/>
        <v/>
      </c>
      <c r="R8" s="25" t="str">
        <f t="shared" si="5"/>
        <v/>
      </c>
      <c r="S8" s="25" t="str">
        <f t="shared" si="5"/>
        <v/>
      </c>
      <c r="T8" s="25" t="str">
        <f t="shared" si="5"/>
        <v/>
      </c>
      <c r="U8" s="25" t="str">
        <f t="shared" si="5"/>
        <v/>
      </c>
      <c r="V8" s="25" t="str">
        <f t="shared" si="5"/>
        <v/>
      </c>
      <c r="W8" s="25" t="str">
        <f t="shared" si="5"/>
        <v/>
      </c>
      <c r="X8" s="25" t="str">
        <f t="shared" si="5"/>
        <v/>
      </c>
      <c r="Y8" s="25" t="str">
        <f t="shared" si="5"/>
        <v/>
      </c>
      <c r="Z8" s="25" t="str">
        <f t="shared" si="5"/>
        <v/>
      </c>
      <c r="AA8" s="25" t="str">
        <f t="shared" si="5"/>
        <v/>
      </c>
      <c r="AB8" s="25" t="str">
        <f t="shared" si="5"/>
        <v/>
      </c>
      <c r="AC8" s="25" t="str">
        <f t="shared" si="5"/>
        <v/>
      </c>
      <c r="AD8" s="25" t="str">
        <f t="shared" si="5"/>
        <v/>
      </c>
      <c r="AE8" s="25" t="str">
        <f t="shared" si="5"/>
        <v/>
      </c>
      <c r="AF8" s="25" t="str">
        <f t="shared" si="5"/>
        <v/>
      </c>
      <c r="AG8" s="25" t="str">
        <f t="shared" si="5"/>
        <v/>
      </c>
      <c r="AH8" s="45" t="str">
        <f t="shared" si="5"/>
        <v/>
      </c>
    </row>
    <row r="9" spans="1:34" x14ac:dyDescent="0.25">
      <c r="D9" s="51"/>
      <c r="E9" s="52"/>
      <c r="F9" s="52"/>
      <c r="G9" s="52"/>
      <c r="H9" s="18" t="str">
        <f t="shared" si="0"/>
        <v/>
      </c>
      <c r="I9" s="52"/>
      <c r="J9" s="52"/>
      <c r="K9" s="52"/>
      <c r="L9" s="25" t="str">
        <f>IF(D9="","",K9+_xlfn.XLOOKUP(D9,'Country StartUp'!A:A,'Country StartUp'!B:B))</f>
        <v/>
      </c>
      <c r="M9" s="45" t="str">
        <f>IF(D9="","",$B$3-_xlfn.XLOOKUP(D9,'Country StartUp'!A:A,'Country StartUp'!B:B))</f>
        <v/>
      </c>
      <c r="N9" s="63"/>
      <c r="O9" s="44" t="str">
        <f t="shared" si="4"/>
        <v/>
      </c>
      <c r="P9" s="25" t="str">
        <f t="shared" ref="P9" si="7">IF(OR($O9="",$I9&lt;P$1),"",$J9+O9)</f>
        <v/>
      </c>
      <c r="Q9" s="25" t="str">
        <f t="shared" si="5"/>
        <v/>
      </c>
      <c r="R9" s="25" t="str">
        <f t="shared" si="5"/>
        <v/>
      </c>
      <c r="S9" s="25" t="str">
        <f t="shared" si="5"/>
        <v/>
      </c>
      <c r="T9" s="25" t="str">
        <f t="shared" si="5"/>
        <v/>
      </c>
      <c r="U9" s="25" t="str">
        <f t="shared" si="5"/>
        <v/>
      </c>
      <c r="V9" s="25" t="str">
        <f t="shared" si="5"/>
        <v/>
      </c>
      <c r="W9" s="25" t="str">
        <f t="shared" si="5"/>
        <v/>
      </c>
      <c r="X9" s="25" t="str">
        <f t="shared" si="5"/>
        <v/>
      </c>
      <c r="Y9" s="25" t="str">
        <f t="shared" si="5"/>
        <v/>
      </c>
      <c r="Z9" s="25" t="str">
        <f t="shared" si="5"/>
        <v/>
      </c>
      <c r="AA9" s="25" t="str">
        <f t="shared" si="5"/>
        <v/>
      </c>
      <c r="AB9" s="25" t="str">
        <f t="shared" si="5"/>
        <v/>
      </c>
      <c r="AC9" s="25" t="str">
        <f t="shared" si="5"/>
        <v/>
      </c>
      <c r="AD9" s="25" t="str">
        <f t="shared" si="5"/>
        <v/>
      </c>
      <c r="AE9" s="25" t="str">
        <f t="shared" si="5"/>
        <v/>
      </c>
      <c r="AF9" s="25" t="str">
        <f t="shared" si="5"/>
        <v/>
      </c>
      <c r="AG9" s="25" t="str">
        <f t="shared" si="5"/>
        <v/>
      </c>
      <c r="AH9" s="45" t="str">
        <f t="shared" si="5"/>
        <v/>
      </c>
    </row>
    <row r="10" spans="1:34" ht="30" x14ac:dyDescent="0.25">
      <c r="A10" s="28" t="s">
        <v>94</v>
      </c>
      <c r="B10" s="29">
        <f>(B2*B6)+B2</f>
        <v>115</v>
      </c>
      <c r="D10" s="51"/>
      <c r="E10" s="52"/>
      <c r="F10" s="52"/>
      <c r="G10" s="52"/>
      <c r="H10" s="18" t="str">
        <f t="shared" si="0"/>
        <v/>
      </c>
      <c r="I10" s="52"/>
      <c r="J10" s="52"/>
      <c r="K10" s="52"/>
      <c r="L10" s="25" t="str">
        <f>IF(D10="","",K10+_xlfn.XLOOKUP(D10,'Country StartUp'!A:A,'Country StartUp'!B:B))</f>
        <v/>
      </c>
      <c r="M10" s="45" t="str">
        <f>IF(D10="","",$B$3-_xlfn.XLOOKUP(D10,'Country StartUp'!A:A,'Country StartUp'!B:B))</f>
        <v/>
      </c>
      <c r="N10" s="63"/>
      <c r="O10" s="44" t="str">
        <f t="shared" si="4"/>
        <v/>
      </c>
      <c r="P10" s="25" t="str">
        <f t="shared" ref="P10" si="8">IF(OR($O10="",$I10&lt;P$1),"",$J10+O10)</f>
        <v/>
      </c>
      <c r="Q10" s="25" t="str">
        <f t="shared" si="5"/>
        <v/>
      </c>
      <c r="R10" s="25" t="str">
        <f t="shared" si="5"/>
        <v/>
      </c>
      <c r="S10" s="25" t="str">
        <f t="shared" si="5"/>
        <v/>
      </c>
      <c r="T10" s="25" t="str">
        <f t="shared" si="5"/>
        <v/>
      </c>
      <c r="U10" s="25" t="str">
        <f t="shared" si="5"/>
        <v/>
      </c>
      <c r="V10" s="25" t="str">
        <f t="shared" si="5"/>
        <v/>
      </c>
      <c r="W10" s="25" t="str">
        <f t="shared" si="5"/>
        <v/>
      </c>
      <c r="X10" s="25" t="str">
        <f t="shared" si="5"/>
        <v/>
      </c>
      <c r="Y10" s="25" t="str">
        <f t="shared" si="5"/>
        <v/>
      </c>
      <c r="Z10" s="25" t="str">
        <f t="shared" si="5"/>
        <v/>
      </c>
      <c r="AA10" s="25" t="str">
        <f t="shared" si="5"/>
        <v/>
      </c>
      <c r="AB10" s="25" t="str">
        <f t="shared" si="5"/>
        <v/>
      </c>
      <c r="AC10" s="25" t="str">
        <f t="shared" si="5"/>
        <v/>
      </c>
      <c r="AD10" s="25" t="str">
        <f t="shared" si="5"/>
        <v/>
      </c>
      <c r="AE10" s="25" t="str">
        <f t="shared" si="5"/>
        <v/>
      </c>
      <c r="AF10" s="25" t="str">
        <f t="shared" si="5"/>
        <v/>
      </c>
      <c r="AG10" s="25" t="str">
        <f t="shared" si="5"/>
        <v/>
      </c>
      <c r="AH10" s="45" t="str">
        <f t="shared" si="5"/>
        <v/>
      </c>
    </row>
    <row r="11" spans="1:34" x14ac:dyDescent="0.25">
      <c r="A11" s="29" t="s">
        <v>100</v>
      </c>
      <c r="B11" s="29">
        <f>SUMIF($E:$E,"Yes",$H:$H)</f>
        <v>101</v>
      </c>
      <c r="D11" s="51"/>
      <c r="E11" s="52"/>
      <c r="F11" s="52"/>
      <c r="G11" s="52"/>
      <c r="H11" s="18" t="str">
        <f t="shared" si="0"/>
        <v/>
      </c>
      <c r="I11" s="52"/>
      <c r="J11" s="52"/>
      <c r="K11" s="52"/>
      <c r="L11" s="25" t="str">
        <f>IF(D11="","",K11+_xlfn.XLOOKUP(D11,'Country StartUp'!A:A,'Country StartUp'!B:B))</f>
        <v/>
      </c>
      <c r="M11" s="45" t="str">
        <f>IF(D11="","",$B$3-_xlfn.XLOOKUP(D11,'Country StartUp'!A:A,'Country StartUp'!B:B))</f>
        <v/>
      </c>
      <c r="N11" s="63"/>
      <c r="O11" s="44" t="str">
        <f t="shared" si="4"/>
        <v/>
      </c>
      <c r="P11" s="25" t="str">
        <f t="shared" ref="P11" si="9">IF(OR($O11="",$I11&lt;P$1),"",$J11+O11)</f>
        <v/>
      </c>
      <c r="Q11" s="25" t="str">
        <f t="shared" si="5"/>
        <v/>
      </c>
      <c r="R11" s="25" t="str">
        <f t="shared" si="5"/>
        <v/>
      </c>
      <c r="S11" s="25" t="str">
        <f t="shared" si="5"/>
        <v/>
      </c>
      <c r="T11" s="25" t="str">
        <f t="shared" si="5"/>
        <v/>
      </c>
      <c r="U11" s="25" t="str">
        <f t="shared" si="5"/>
        <v/>
      </c>
      <c r="V11" s="25" t="str">
        <f t="shared" si="5"/>
        <v/>
      </c>
      <c r="W11" s="25" t="str">
        <f t="shared" si="5"/>
        <v/>
      </c>
      <c r="X11" s="25" t="str">
        <f t="shared" si="5"/>
        <v/>
      </c>
      <c r="Y11" s="25" t="str">
        <f t="shared" si="5"/>
        <v/>
      </c>
      <c r="Z11" s="25" t="str">
        <f t="shared" si="5"/>
        <v/>
      </c>
      <c r="AA11" s="25" t="str">
        <f t="shared" si="5"/>
        <v/>
      </c>
      <c r="AB11" s="25" t="str">
        <f t="shared" si="5"/>
        <v/>
      </c>
      <c r="AC11" s="25" t="str">
        <f t="shared" si="5"/>
        <v/>
      </c>
      <c r="AD11" s="25" t="str">
        <f t="shared" si="5"/>
        <v/>
      </c>
      <c r="AE11" s="25" t="str">
        <f t="shared" si="5"/>
        <v/>
      </c>
      <c r="AF11" s="25" t="str">
        <f t="shared" si="5"/>
        <v/>
      </c>
      <c r="AG11" s="25" t="str">
        <f t="shared" si="5"/>
        <v/>
      </c>
      <c r="AH11" s="45" t="str">
        <f t="shared" si="5"/>
        <v/>
      </c>
    </row>
    <row r="12" spans="1:34" x14ac:dyDescent="0.25">
      <c r="D12" s="51"/>
      <c r="E12" s="52"/>
      <c r="F12" s="52"/>
      <c r="G12" s="52"/>
      <c r="H12" s="18" t="str">
        <f t="shared" si="0"/>
        <v/>
      </c>
      <c r="I12" s="52"/>
      <c r="J12" s="52"/>
      <c r="K12" s="52"/>
      <c r="L12" s="25" t="str">
        <f>IF(D12="","",K12+_xlfn.XLOOKUP(D12,'Country StartUp'!A:A,'Country StartUp'!B:B))</f>
        <v/>
      </c>
      <c r="M12" s="45" t="str">
        <f>IF(D12="","",$B$3-_xlfn.XLOOKUP(D12,'Country StartUp'!A:A,'Country StartUp'!B:B))</f>
        <v/>
      </c>
      <c r="N12" s="63"/>
      <c r="O12" s="44" t="str">
        <f t="shared" si="4"/>
        <v/>
      </c>
      <c r="P12" s="25" t="str">
        <f t="shared" ref="P12" si="10">IF(OR($O12="",$I12&lt;P$1),"",$J12+O12)</f>
        <v/>
      </c>
      <c r="Q12" s="25" t="str">
        <f t="shared" si="5"/>
        <v/>
      </c>
      <c r="R12" s="25" t="str">
        <f t="shared" si="5"/>
        <v/>
      </c>
      <c r="S12" s="25" t="str">
        <f t="shared" si="5"/>
        <v/>
      </c>
      <c r="T12" s="25" t="str">
        <f t="shared" si="5"/>
        <v/>
      </c>
      <c r="U12" s="25" t="str">
        <f t="shared" si="5"/>
        <v/>
      </c>
      <c r="V12" s="25" t="str">
        <f t="shared" si="5"/>
        <v/>
      </c>
      <c r="W12" s="25" t="str">
        <f t="shared" si="5"/>
        <v/>
      </c>
      <c r="X12" s="25" t="str">
        <f t="shared" si="5"/>
        <v/>
      </c>
      <c r="Y12" s="25" t="str">
        <f t="shared" si="5"/>
        <v/>
      </c>
      <c r="Z12" s="25" t="str">
        <f t="shared" si="5"/>
        <v/>
      </c>
      <c r="AA12" s="25" t="str">
        <f t="shared" si="5"/>
        <v/>
      </c>
      <c r="AB12" s="25" t="str">
        <f t="shared" si="5"/>
        <v/>
      </c>
      <c r="AC12" s="25" t="str">
        <f t="shared" si="5"/>
        <v/>
      </c>
      <c r="AD12" s="25" t="str">
        <f t="shared" si="5"/>
        <v/>
      </c>
      <c r="AE12" s="25" t="str">
        <f t="shared" si="5"/>
        <v/>
      </c>
      <c r="AF12" s="25" t="str">
        <f t="shared" si="5"/>
        <v/>
      </c>
      <c r="AG12" s="25" t="str">
        <f t="shared" si="5"/>
        <v/>
      </c>
      <c r="AH12" s="45" t="str">
        <f t="shared" si="5"/>
        <v/>
      </c>
    </row>
    <row r="13" spans="1:34" x14ac:dyDescent="0.25">
      <c r="D13" s="51"/>
      <c r="E13" s="52"/>
      <c r="F13" s="52"/>
      <c r="G13" s="52"/>
      <c r="H13" s="18" t="str">
        <f t="shared" si="0"/>
        <v/>
      </c>
      <c r="I13" s="52"/>
      <c r="J13" s="52"/>
      <c r="K13" s="52"/>
      <c r="L13" s="25" t="str">
        <f>IF(D13="","",K13+_xlfn.XLOOKUP(D13,'Country StartUp'!A:A,'Country StartUp'!B:B))</f>
        <v/>
      </c>
      <c r="M13" s="45" t="str">
        <f>IF(D13="","",$B$3-_xlfn.XLOOKUP(D13,'Country StartUp'!A:A,'Country StartUp'!B:B))</f>
        <v/>
      </c>
      <c r="N13" s="63"/>
      <c r="O13" s="44" t="str">
        <f t="shared" si="4"/>
        <v/>
      </c>
      <c r="P13" s="25" t="str">
        <f t="shared" ref="P13" si="11">IF(OR($O13="",$I13&lt;P$1),"",$J13+O13)</f>
        <v/>
      </c>
      <c r="Q13" s="25" t="str">
        <f t="shared" si="5"/>
        <v/>
      </c>
      <c r="R13" s="25" t="str">
        <f t="shared" si="5"/>
        <v/>
      </c>
      <c r="S13" s="25" t="str">
        <f t="shared" si="5"/>
        <v/>
      </c>
      <c r="T13" s="25" t="str">
        <f t="shared" si="5"/>
        <v/>
      </c>
      <c r="U13" s="25" t="str">
        <f t="shared" si="5"/>
        <v/>
      </c>
      <c r="V13" s="25" t="str">
        <f t="shared" si="5"/>
        <v/>
      </c>
      <c r="W13" s="25" t="str">
        <f t="shared" si="5"/>
        <v/>
      </c>
      <c r="X13" s="25" t="str">
        <f t="shared" si="5"/>
        <v/>
      </c>
      <c r="Y13" s="25" t="str">
        <f t="shared" si="5"/>
        <v/>
      </c>
      <c r="Z13" s="25" t="str">
        <f t="shared" si="5"/>
        <v/>
      </c>
      <c r="AA13" s="25" t="str">
        <f t="shared" si="5"/>
        <v/>
      </c>
      <c r="AB13" s="25" t="str">
        <f t="shared" si="5"/>
        <v/>
      </c>
      <c r="AC13" s="25" t="str">
        <f t="shared" si="5"/>
        <v/>
      </c>
      <c r="AD13" s="25" t="str">
        <f t="shared" si="5"/>
        <v/>
      </c>
      <c r="AE13" s="25" t="str">
        <f t="shared" si="5"/>
        <v/>
      </c>
      <c r="AF13" s="25" t="str">
        <f t="shared" si="5"/>
        <v/>
      </c>
      <c r="AG13" s="25" t="str">
        <f t="shared" si="5"/>
        <v/>
      </c>
      <c r="AH13" s="45" t="str">
        <f t="shared" si="5"/>
        <v/>
      </c>
    </row>
    <row r="14" spans="1:34" x14ac:dyDescent="0.25">
      <c r="D14" s="51"/>
      <c r="E14" s="52"/>
      <c r="F14" s="52"/>
      <c r="G14" s="52"/>
      <c r="H14" s="18" t="str">
        <f t="shared" si="0"/>
        <v/>
      </c>
      <c r="I14" s="52"/>
      <c r="J14" s="52"/>
      <c r="K14" s="52"/>
      <c r="L14" s="25" t="str">
        <f>IF(D14="","",K14+_xlfn.XLOOKUP(D14,'Country StartUp'!A:A,'Country StartUp'!B:B))</f>
        <v/>
      </c>
      <c r="M14" s="45" t="str">
        <f>IF(D14="","",$B$3-_xlfn.XLOOKUP(D14,'Country StartUp'!A:A,'Country StartUp'!B:B))</f>
        <v/>
      </c>
      <c r="N14" s="63"/>
      <c r="O14" s="44" t="str">
        <f t="shared" si="4"/>
        <v/>
      </c>
      <c r="P14" s="25" t="str">
        <f t="shared" ref="P14" si="12">IF(OR($O14="",$I14&lt;P$1),"",$J14+O14)</f>
        <v/>
      </c>
      <c r="Q14" s="25" t="str">
        <f t="shared" si="5"/>
        <v/>
      </c>
      <c r="R14" s="25" t="str">
        <f t="shared" si="5"/>
        <v/>
      </c>
      <c r="S14" s="25" t="str">
        <f t="shared" si="5"/>
        <v/>
      </c>
      <c r="T14" s="25" t="str">
        <f t="shared" si="5"/>
        <v/>
      </c>
      <c r="U14" s="25" t="str">
        <f t="shared" si="5"/>
        <v/>
      </c>
      <c r="V14" s="25" t="str">
        <f t="shared" si="5"/>
        <v/>
      </c>
      <c r="W14" s="25" t="str">
        <f t="shared" si="5"/>
        <v/>
      </c>
      <c r="X14" s="25" t="str">
        <f t="shared" si="5"/>
        <v/>
      </c>
      <c r="Y14" s="25" t="str">
        <f t="shared" si="5"/>
        <v/>
      </c>
      <c r="Z14" s="25" t="str">
        <f t="shared" si="5"/>
        <v/>
      </c>
      <c r="AA14" s="25" t="str">
        <f t="shared" si="5"/>
        <v/>
      </c>
      <c r="AB14" s="25" t="str">
        <f t="shared" si="5"/>
        <v/>
      </c>
      <c r="AC14" s="25" t="str">
        <f t="shared" si="5"/>
        <v/>
      </c>
      <c r="AD14" s="25" t="str">
        <f t="shared" si="5"/>
        <v/>
      </c>
      <c r="AE14" s="25" t="str">
        <f t="shared" si="5"/>
        <v/>
      </c>
      <c r="AF14" s="25" t="str">
        <f t="shared" si="5"/>
        <v/>
      </c>
      <c r="AG14" s="25" t="str">
        <f t="shared" si="5"/>
        <v/>
      </c>
      <c r="AH14" s="45" t="str">
        <f t="shared" si="5"/>
        <v/>
      </c>
    </row>
    <row r="15" spans="1:34" x14ac:dyDescent="0.25">
      <c r="D15" s="51"/>
      <c r="E15" s="52"/>
      <c r="F15" s="52"/>
      <c r="G15" s="52"/>
      <c r="H15" s="18" t="str">
        <f t="shared" si="0"/>
        <v/>
      </c>
      <c r="I15" s="52"/>
      <c r="J15" s="52"/>
      <c r="K15" s="52"/>
      <c r="L15" s="25" t="str">
        <f>IF(D15="","",K15+_xlfn.XLOOKUP(D15,'Country StartUp'!A:A,'Country StartUp'!B:B))</f>
        <v/>
      </c>
      <c r="M15" s="45" t="str">
        <f>IF(D15="","",$B$3-_xlfn.XLOOKUP(D15,'Country StartUp'!A:A,'Country StartUp'!B:B))</f>
        <v/>
      </c>
      <c r="N15" s="63"/>
      <c r="O15" s="44" t="str">
        <f t="shared" si="4"/>
        <v/>
      </c>
      <c r="P15" s="25" t="str">
        <f t="shared" ref="P15" si="13">IF(OR($O15="",$I15&lt;P$1),"",$J15+O15)</f>
        <v/>
      </c>
      <c r="Q15" s="25" t="str">
        <f t="shared" si="5"/>
        <v/>
      </c>
      <c r="R15" s="25" t="str">
        <f t="shared" si="5"/>
        <v/>
      </c>
      <c r="S15" s="25" t="str">
        <f t="shared" si="5"/>
        <v/>
      </c>
      <c r="T15" s="25" t="str">
        <f t="shared" si="5"/>
        <v/>
      </c>
      <c r="U15" s="25" t="str">
        <f t="shared" si="5"/>
        <v/>
      </c>
      <c r="V15" s="25" t="str">
        <f t="shared" si="5"/>
        <v/>
      </c>
      <c r="W15" s="25" t="str">
        <f t="shared" si="5"/>
        <v/>
      </c>
      <c r="X15" s="25" t="str">
        <f t="shared" si="5"/>
        <v/>
      </c>
      <c r="Y15" s="25" t="str">
        <f t="shared" si="5"/>
        <v/>
      </c>
      <c r="Z15" s="25" t="str">
        <f t="shared" si="5"/>
        <v/>
      </c>
      <c r="AA15" s="25" t="str">
        <f t="shared" si="5"/>
        <v/>
      </c>
      <c r="AB15" s="25" t="str">
        <f t="shared" si="5"/>
        <v/>
      </c>
      <c r="AC15" s="25" t="str">
        <f t="shared" si="5"/>
        <v/>
      </c>
      <c r="AD15" s="25" t="str">
        <f t="shared" si="5"/>
        <v/>
      </c>
      <c r="AE15" s="25" t="str">
        <f t="shared" si="5"/>
        <v/>
      </c>
      <c r="AF15" s="25" t="str">
        <f t="shared" si="5"/>
        <v/>
      </c>
      <c r="AG15" s="25" t="str">
        <f t="shared" si="5"/>
        <v/>
      </c>
      <c r="AH15" s="45" t="str">
        <f t="shared" si="5"/>
        <v/>
      </c>
    </row>
    <row r="16" spans="1:34" x14ac:dyDescent="0.25">
      <c r="C16" s="26"/>
      <c r="D16" s="51"/>
      <c r="E16" s="52"/>
      <c r="F16" s="52"/>
      <c r="G16" s="52"/>
      <c r="H16" s="18" t="str">
        <f t="shared" si="0"/>
        <v/>
      </c>
      <c r="I16" s="52"/>
      <c r="J16" s="52"/>
      <c r="K16" s="52"/>
      <c r="L16" s="25" t="str">
        <f>IF(D16="","",K16+_xlfn.XLOOKUP(D16,'Country StartUp'!A:A,'Country StartUp'!B:B))</f>
        <v/>
      </c>
      <c r="M16" s="45" t="str">
        <f>IF(D16="","",$B$3-_xlfn.XLOOKUP(D16,'Country StartUp'!A:A,'Country StartUp'!B:B))</f>
        <v/>
      </c>
      <c r="N16" s="63"/>
      <c r="O16" s="44" t="str">
        <f t="shared" si="4"/>
        <v/>
      </c>
      <c r="P16" s="25" t="str">
        <f t="shared" ref="P16" si="14">IF(OR($O16="",$I16&lt;P$1),"",$J16+O16)</f>
        <v/>
      </c>
      <c r="Q16" s="25" t="str">
        <f t="shared" si="5"/>
        <v/>
      </c>
      <c r="R16" s="25" t="str">
        <f t="shared" si="5"/>
        <v/>
      </c>
      <c r="S16" s="25" t="str">
        <f t="shared" si="5"/>
        <v/>
      </c>
      <c r="T16" s="25" t="str">
        <f t="shared" si="5"/>
        <v/>
      </c>
      <c r="U16" s="25" t="str">
        <f t="shared" si="5"/>
        <v/>
      </c>
      <c r="V16" s="25" t="str">
        <f t="shared" si="5"/>
        <v/>
      </c>
      <c r="W16" s="25" t="str">
        <f t="shared" si="5"/>
        <v/>
      </c>
      <c r="X16" s="25" t="str">
        <f t="shared" si="5"/>
        <v/>
      </c>
      <c r="Y16" s="25" t="str">
        <f t="shared" si="5"/>
        <v/>
      </c>
      <c r="Z16" s="25" t="str">
        <f t="shared" si="5"/>
        <v/>
      </c>
      <c r="AA16" s="25" t="str">
        <f t="shared" si="5"/>
        <v/>
      </c>
      <c r="AB16" s="25" t="str">
        <f t="shared" si="5"/>
        <v/>
      </c>
      <c r="AC16" s="25" t="str">
        <f t="shared" si="5"/>
        <v/>
      </c>
      <c r="AD16" s="25" t="str">
        <f t="shared" si="5"/>
        <v/>
      </c>
      <c r="AE16" s="25" t="str">
        <f t="shared" si="5"/>
        <v/>
      </c>
      <c r="AF16" s="25" t="str">
        <f t="shared" si="5"/>
        <v/>
      </c>
      <c r="AG16" s="25" t="str">
        <f t="shared" si="5"/>
        <v/>
      </c>
      <c r="AH16" s="45" t="str">
        <f t="shared" si="5"/>
        <v/>
      </c>
    </row>
    <row r="17" spans="4:34" x14ac:dyDescent="0.25">
      <c r="D17" s="51"/>
      <c r="E17" s="52"/>
      <c r="F17" s="52"/>
      <c r="G17" s="52"/>
      <c r="H17" s="18" t="str">
        <f t="shared" si="0"/>
        <v/>
      </c>
      <c r="I17" s="52"/>
      <c r="J17" s="52"/>
      <c r="K17" s="52"/>
      <c r="L17" s="25" t="str">
        <f>IF(D17="","",K17+_xlfn.XLOOKUP(D17,'Country StartUp'!A:A,'Country StartUp'!B:B))</f>
        <v/>
      </c>
      <c r="M17" s="45" t="str">
        <f>IF(D17="","",$B$3-_xlfn.XLOOKUP(D17,'Country StartUp'!A:A,'Country StartUp'!B:B))</f>
        <v/>
      </c>
      <c r="N17" s="63"/>
      <c r="O17" s="44" t="str">
        <f t="shared" si="4"/>
        <v/>
      </c>
      <c r="P17" s="25" t="str">
        <f t="shared" ref="P17" si="15">IF(OR($O17="",$I17&lt;P$1),"",$J17+O17)</f>
        <v/>
      </c>
      <c r="Q17" s="25" t="str">
        <f t="shared" si="5"/>
        <v/>
      </c>
      <c r="R17" s="25" t="str">
        <f t="shared" si="5"/>
        <v/>
      </c>
      <c r="S17" s="25" t="str">
        <f t="shared" si="5"/>
        <v/>
      </c>
      <c r="T17" s="25" t="str">
        <f t="shared" si="5"/>
        <v/>
      </c>
      <c r="U17" s="25" t="str">
        <f t="shared" si="5"/>
        <v/>
      </c>
      <c r="V17" s="25" t="str">
        <f t="shared" si="5"/>
        <v/>
      </c>
      <c r="W17" s="25" t="str">
        <f t="shared" si="5"/>
        <v/>
      </c>
      <c r="X17" s="25" t="str">
        <f t="shared" si="5"/>
        <v/>
      </c>
      <c r="Y17" s="25" t="str">
        <f t="shared" si="5"/>
        <v/>
      </c>
      <c r="Z17" s="25" t="str">
        <f t="shared" si="5"/>
        <v/>
      </c>
      <c r="AA17" s="25" t="str">
        <f t="shared" si="5"/>
        <v/>
      </c>
      <c r="AB17" s="25" t="str">
        <f t="shared" si="5"/>
        <v/>
      </c>
      <c r="AC17" s="25" t="str">
        <f t="shared" si="5"/>
        <v/>
      </c>
      <c r="AD17" s="25" t="str">
        <f t="shared" si="5"/>
        <v/>
      </c>
      <c r="AE17" s="25" t="str">
        <f t="shared" si="5"/>
        <v/>
      </c>
      <c r="AF17" s="25" t="str">
        <f t="shared" si="5"/>
        <v/>
      </c>
      <c r="AG17" s="25" t="str">
        <f t="shared" si="5"/>
        <v/>
      </c>
      <c r="AH17" s="45" t="str">
        <f t="shared" si="5"/>
        <v/>
      </c>
    </row>
    <row r="18" spans="4:34" x14ac:dyDescent="0.25">
      <c r="D18" s="51"/>
      <c r="E18" s="52"/>
      <c r="F18" s="52"/>
      <c r="G18" s="52"/>
      <c r="H18" s="18" t="str">
        <f t="shared" si="0"/>
        <v/>
      </c>
      <c r="I18" s="52"/>
      <c r="J18" s="52"/>
      <c r="K18" s="52"/>
      <c r="L18" s="25" t="str">
        <f>IF(D18="","",K18+_xlfn.XLOOKUP(D18,'Country StartUp'!A:A,'Country StartUp'!B:B))</f>
        <v/>
      </c>
      <c r="M18" s="45" t="str">
        <f>IF(D18="","",$B$3-_xlfn.XLOOKUP(D18,'Country StartUp'!A:A,'Country StartUp'!B:B))</f>
        <v/>
      </c>
      <c r="N18" s="63"/>
      <c r="O18" s="44" t="str">
        <f t="shared" si="4"/>
        <v/>
      </c>
      <c r="P18" s="25" t="str">
        <f t="shared" ref="P18" si="16">IF(OR($O18="",$I18&lt;P$1),"",$J18+O18)</f>
        <v/>
      </c>
      <c r="Q18" s="25" t="str">
        <f t="shared" si="5"/>
        <v/>
      </c>
      <c r="R18" s="25" t="str">
        <f t="shared" si="5"/>
        <v/>
      </c>
      <c r="S18" s="25" t="str">
        <f t="shared" si="5"/>
        <v/>
      </c>
      <c r="T18" s="25" t="str">
        <f t="shared" si="5"/>
        <v/>
      </c>
      <c r="U18" s="25" t="str">
        <f t="shared" si="5"/>
        <v/>
      </c>
      <c r="V18" s="25" t="str">
        <f t="shared" si="5"/>
        <v/>
      </c>
      <c r="W18" s="25" t="str">
        <f t="shared" si="5"/>
        <v/>
      </c>
      <c r="X18" s="25" t="str">
        <f t="shared" si="5"/>
        <v/>
      </c>
      <c r="Y18" s="25" t="str">
        <f t="shared" si="5"/>
        <v/>
      </c>
      <c r="Z18" s="25" t="str">
        <f t="shared" si="5"/>
        <v/>
      </c>
      <c r="AA18" s="25" t="str">
        <f t="shared" si="5"/>
        <v/>
      </c>
      <c r="AB18" s="25" t="str">
        <f t="shared" si="5"/>
        <v/>
      </c>
      <c r="AC18" s="25" t="str">
        <f t="shared" si="5"/>
        <v/>
      </c>
      <c r="AD18" s="25" t="str">
        <f t="shared" si="5"/>
        <v/>
      </c>
      <c r="AE18" s="25" t="str">
        <f t="shared" si="5"/>
        <v/>
      </c>
      <c r="AF18" s="25" t="str">
        <f t="shared" si="5"/>
        <v/>
      </c>
      <c r="AG18" s="25" t="str">
        <f t="shared" si="5"/>
        <v/>
      </c>
      <c r="AH18" s="45" t="str">
        <f t="shared" si="5"/>
        <v/>
      </c>
    </row>
    <row r="19" spans="4:34" x14ac:dyDescent="0.25">
      <c r="D19" s="51"/>
      <c r="E19" s="52"/>
      <c r="F19" s="52"/>
      <c r="G19" s="52"/>
      <c r="H19" s="18" t="str">
        <f t="shared" si="0"/>
        <v/>
      </c>
      <c r="I19" s="52"/>
      <c r="J19" s="52"/>
      <c r="K19" s="52"/>
      <c r="L19" s="25" t="str">
        <f>IF(D19="","",K19+_xlfn.XLOOKUP(D19,'Country StartUp'!A:A,'Country StartUp'!B:B))</f>
        <v/>
      </c>
      <c r="M19" s="45" t="str">
        <f>IF(D19="","",$B$3-_xlfn.XLOOKUP(D19,'Country StartUp'!A:A,'Country StartUp'!B:B))</f>
        <v/>
      </c>
      <c r="N19" s="63"/>
      <c r="O19" s="44" t="str">
        <f t="shared" si="4"/>
        <v/>
      </c>
      <c r="P19" s="25" t="str">
        <f t="shared" ref="P19" si="17">IF(OR($O19="",$I19&lt;P$1),"",$J19+O19)</f>
        <v/>
      </c>
      <c r="Q19" s="25" t="str">
        <f t="shared" si="5"/>
        <v/>
      </c>
      <c r="R19" s="25" t="str">
        <f t="shared" si="5"/>
        <v/>
      </c>
      <c r="S19" s="25" t="str">
        <f t="shared" si="5"/>
        <v/>
      </c>
      <c r="T19" s="25" t="str">
        <f t="shared" si="5"/>
        <v/>
      </c>
      <c r="U19" s="25" t="str">
        <f t="shared" si="5"/>
        <v/>
      </c>
      <c r="V19" s="25" t="str">
        <f t="shared" si="5"/>
        <v/>
      </c>
      <c r="W19" s="25" t="str">
        <f t="shared" si="5"/>
        <v/>
      </c>
      <c r="X19" s="25" t="str">
        <f t="shared" si="5"/>
        <v/>
      </c>
      <c r="Y19" s="25" t="str">
        <f t="shared" si="5"/>
        <v/>
      </c>
      <c r="Z19" s="25" t="str">
        <f t="shared" si="5"/>
        <v/>
      </c>
      <c r="AA19" s="25" t="str">
        <f t="shared" si="5"/>
        <v/>
      </c>
      <c r="AB19" s="25" t="str">
        <f t="shared" si="5"/>
        <v/>
      </c>
      <c r="AC19" s="25" t="str">
        <f t="shared" si="5"/>
        <v/>
      </c>
      <c r="AD19" s="25" t="str">
        <f t="shared" si="5"/>
        <v/>
      </c>
      <c r="AE19" s="25" t="str">
        <f t="shared" si="5"/>
        <v/>
      </c>
      <c r="AF19" s="25" t="str">
        <f t="shared" si="5"/>
        <v/>
      </c>
      <c r="AG19" s="25" t="str">
        <f t="shared" si="5"/>
        <v/>
      </c>
      <c r="AH19" s="45" t="str">
        <f t="shared" si="5"/>
        <v/>
      </c>
    </row>
    <row r="20" spans="4:34" x14ac:dyDescent="0.25">
      <c r="D20" s="51"/>
      <c r="E20" s="52"/>
      <c r="F20" s="52"/>
      <c r="G20" s="52"/>
      <c r="H20" s="18" t="str">
        <f t="shared" si="0"/>
        <v/>
      </c>
      <c r="I20" s="52"/>
      <c r="J20" s="52"/>
      <c r="K20" s="52"/>
      <c r="L20" s="25" t="str">
        <f>IF(D20="","",K20+_xlfn.XLOOKUP(D20,'Country StartUp'!A:A,'Country StartUp'!B:B))</f>
        <v/>
      </c>
      <c r="M20" s="45" t="str">
        <f>IF(D20="","",$B$3-_xlfn.XLOOKUP(D20,'Country StartUp'!A:A,'Country StartUp'!B:B))</f>
        <v/>
      </c>
      <c r="N20" s="63"/>
      <c r="O20" s="44" t="str">
        <f t="shared" si="4"/>
        <v/>
      </c>
      <c r="P20" s="25" t="str">
        <f t="shared" ref="P20" si="18">IF(OR($O20="",$I20&lt;P$1),"",$J20+O20)</f>
        <v/>
      </c>
      <c r="Q20" s="25" t="str">
        <f t="shared" si="5"/>
        <v/>
      </c>
      <c r="R20" s="25" t="str">
        <f t="shared" si="5"/>
        <v/>
      </c>
      <c r="S20" s="25" t="str">
        <f t="shared" si="5"/>
        <v/>
      </c>
      <c r="T20" s="25" t="str">
        <f t="shared" si="5"/>
        <v/>
      </c>
      <c r="U20" s="25" t="str">
        <f t="shared" si="5"/>
        <v/>
      </c>
      <c r="V20" s="25" t="str">
        <f t="shared" si="5"/>
        <v/>
      </c>
      <c r="W20" s="25" t="str">
        <f t="shared" si="5"/>
        <v/>
      </c>
      <c r="X20" s="25" t="str">
        <f t="shared" si="5"/>
        <v/>
      </c>
      <c r="Y20" s="25" t="str">
        <f t="shared" si="5"/>
        <v/>
      </c>
      <c r="Z20" s="25" t="str">
        <f t="shared" si="5"/>
        <v/>
      </c>
      <c r="AA20" s="25" t="str">
        <f t="shared" si="5"/>
        <v/>
      </c>
      <c r="AB20" s="25" t="str">
        <f t="shared" si="5"/>
        <v/>
      </c>
      <c r="AC20" s="25" t="str">
        <f t="shared" si="5"/>
        <v/>
      </c>
      <c r="AD20" s="25" t="str">
        <f t="shared" si="5"/>
        <v/>
      </c>
      <c r="AE20" s="25" t="str">
        <f t="shared" si="5"/>
        <v/>
      </c>
      <c r="AF20" s="25" t="str">
        <f t="shared" si="5"/>
        <v/>
      </c>
      <c r="AG20" s="25" t="str">
        <f t="shared" si="5"/>
        <v/>
      </c>
      <c r="AH20" s="45" t="str">
        <f t="shared" si="5"/>
        <v/>
      </c>
    </row>
    <row r="21" spans="4:34" x14ac:dyDescent="0.25">
      <c r="D21" s="51"/>
      <c r="E21" s="52"/>
      <c r="F21" s="52"/>
      <c r="G21" s="52"/>
      <c r="H21" s="18" t="str">
        <f t="shared" si="0"/>
        <v/>
      </c>
      <c r="I21" s="52"/>
      <c r="J21" s="52"/>
      <c r="K21" s="52"/>
      <c r="L21" s="25" t="str">
        <f>IF(D21="","",K21+_xlfn.XLOOKUP(D21,'Country StartUp'!A:A,'Country StartUp'!B:B))</f>
        <v/>
      </c>
      <c r="M21" s="45" t="str">
        <f>IF(D21="","",$B$3-_xlfn.XLOOKUP(D21,'Country StartUp'!A:A,'Country StartUp'!B:B))</f>
        <v/>
      </c>
      <c r="N21" s="63"/>
      <c r="O21" s="44" t="str">
        <f t="shared" si="4"/>
        <v/>
      </c>
      <c r="P21" s="25" t="str">
        <f t="shared" ref="P21" si="19">IF(OR($O21="",$I21&lt;P$1),"",$J21+O21)</f>
        <v/>
      </c>
      <c r="Q21" s="25" t="str">
        <f t="shared" si="5"/>
        <v/>
      </c>
      <c r="R21" s="25" t="str">
        <f t="shared" si="5"/>
        <v/>
      </c>
      <c r="S21" s="25" t="str">
        <f t="shared" ref="Q21:AH24" si="20">IF(OR($O21="",$I21&lt;S$1),"",$J21+R21)</f>
        <v/>
      </c>
      <c r="T21" s="25" t="str">
        <f t="shared" si="20"/>
        <v/>
      </c>
      <c r="U21" s="25" t="str">
        <f t="shared" si="20"/>
        <v/>
      </c>
      <c r="V21" s="25" t="str">
        <f t="shared" si="20"/>
        <v/>
      </c>
      <c r="W21" s="25" t="str">
        <f t="shared" si="20"/>
        <v/>
      </c>
      <c r="X21" s="25" t="str">
        <f t="shared" si="20"/>
        <v/>
      </c>
      <c r="Y21" s="25" t="str">
        <f t="shared" si="20"/>
        <v/>
      </c>
      <c r="Z21" s="25" t="str">
        <f t="shared" si="20"/>
        <v/>
      </c>
      <c r="AA21" s="25" t="str">
        <f t="shared" si="20"/>
        <v/>
      </c>
      <c r="AB21" s="25" t="str">
        <f t="shared" si="20"/>
        <v/>
      </c>
      <c r="AC21" s="25" t="str">
        <f t="shared" si="20"/>
        <v/>
      </c>
      <c r="AD21" s="25" t="str">
        <f t="shared" si="20"/>
        <v/>
      </c>
      <c r="AE21" s="25" t="str">
        <f t="shared" si="20"/>
        <v/>
      </c>
      <c r="AF21" s="25" t="str">
        <f t="shared" si="20"/>
        <v/>
      </c>
      <c r="AG21" s="25" t="str">
        <f t="shared" si="20"/>
        <v/>
      </c>
      <c r="AH21" s="45" t="str">
        <f t="shared" si="20"/>
        <v/>
      </c>
    </row>
    <row r="22" spans="4:34" x14ac:dyDescent="0.25">
      <c r="D22" s="51"/>
      <c r="E22" s="52"/>
      <c r="F22" s="52"/>
      <c r="G22" s="52"/>
      <c r="H22" s="18" t="str">
        <f t="shared" si="0"/>
        <v/>
      </c>
      <c r="I22" s="52"/>
      <c r="J22" s="52"/>
      <c r="K22" s="52"/>
      <c r="L22" s="25" t="str">
        <f>IF(D22="","",K22+_xlfn.XLOOKUP(D22,'Country StartUp'!A:A,'Country StartUp'!B:B))</f>
        <v/>
      </c>
      <c r="M22" s="45" t="str">
        <f>IF(D22="","",$B$3-_xlfn.XLOOKUP(D22,'Country StartUp'!A:A,'Country StartUp'!B:B))</f>
        <v/>
      </c>
      <c r="N22" s="63"/>
      <c r="O22" s="44" t="str">
        <f t="shared" si="4"/>
        <v/>
      </c>
      <c r="P22" s="25" t="str">
        <f t="shared" ref="P22" si="21">IF(OR($O22="",$I22&lt;P$1),"",$J22+O22)</f>
        <v/>
      </c>
      <c r="Q22" s="25" t="str">
        <f t="shared" si="20"/>
        <v/>
      </c>
      <c r="R22" s="25" t="str">
        <f t="shared" si="20"/>
        <v/>
      </c>
      <c r="S22" s="25" t="str">
        <f t="shared" si="20"/>
        <v/>
      </c>
      <c r="T22" s="25" t="str">
        <f t="shared" si="20"/>
        <v/>
      </c>
      <c r="U22" s="25" t="str">
        <f t="shared" si="20"/>
        <v/>
      </c>
      <c r="V22" s="25" t="str">
        <f t="shared" si="20"/>
        <v/>
      </c>
      <c r="W22" s="25" t="str">
        <f t="shared" si="20"/>
        <v/>
      </c>
      <c r="X22" s="25" t="str">
        <f t="shared" si="20"/>
        <v/>
      </c>
      <c r="Y22" s="25" t="str">
        <f t="shared" si="20"/>
        <v/>
      </c>
      <c r="Z22" s="25" t="str">
        <f t="shared" si="20"/>
        <v/>
      </c>
      <c r="AA22" s="25" t="str">
        <f t="shared" si="20"/>
        <v/>
      </c>
      <c r="AB22" s="25" t="str">
        <f t="shared" si="20"/>
        <v/>
      </c>
      <c r="AC22" s="25" t="str">
        <f t="shared" si="20"/>
        <v/>
      </c>
      <c r="AD22" s="25" t="str">
        <f t="shared" si="20"/>
        <v/>
      </c>
      <c r="AE22" s="25" t="str">
        <f t="shared" si="20"/>
        <v/>
      </c>
      <c r="AF22" s="25" t="str">
        <f t="shared" si="20"/>
        <v/>
      </c>
      <c r="AG22" s="25" t="str">
        <f t="shared" si="20"/>
        <v/>
      </c>
      <c r="AH22" s="45" t="str">
        <f t="shared" si="20"/>
        <v/>
      </c>
    </row>
    <row r="23" spans="4:34" x14ac:dyDescent="0.25">
      <c r="D23" s="51"/>
      <c r="E23" s="52"/>
      <c r="F23" s="52"/>
      <c r="G23" s="52"/>
      <c r="H23" s="18" t="str">
        <f t="shared" si="0"/>
        <v/>
      </c>
      <c r="I23" s="52"/>
      <c r="J23" s="52"/>
      <c r="K23" s="52"/>
      <c r="L23" s="25" t="str">
        <f>IF(D23="","",K23+_xlfn.XLOOKUP(D23,'Country StartUp'!A:A,'Country StartUp'!B:B))</f>
        <v/>
      </c>
      <c r="M23" s="45" t="str">
        <f>IF(D23="","",$B$3-_xlfn.XLOOKUP(D23,'Country StartUp'!A:A,'Country StartUp'!B:B))</f>
        <v/>
      </c>
      <c r="N23" s="63"/>
      <c r="O23" s="44" t="str">
        <f t="shared" si="4"/>
        <v/>
      </c>
      <c r="P23" s="25" t="str">
        <f t="shared" ref="P23" si="22">IF(OR($O23="",$I23&lt;P$1),"",$J23+O23)</f>
        <v/>
      </c>
      <c r="Q23" s="25" t="str">
        <f t="shared" si="20"/>
        <v/>
      </c>
      <c r="R23" s="25" t="str">
        <f t="shared" si="20"/>
        <v/>
      </c>
      <c r="S23" s="25" t="str">
        <f t="shared" si="20"/>
        <v/>
      </c>
      <c r="T23" s="25" t="str">
        <f t="shared" si="20"/>
        <v/>
      </c>
      <c r="U23" s="25" t="str">
        <f t="shared" si="20"/>
        <v/>
      </c>
      <c r="V23" s="25" t="str">
        <f t="shared" si="20"/>
        <v/>
      </c>
      <c r="W23" s="25" t="str">
        <f t="shared" si="20"/>
        <v/>
      </c>
      <c r="X23" s="25" t="str">
        <f t="shared" si="20"/>
        <v/>
      </c>
      <c r="Y23" s="25" t="str">
        <f t="shared" si="20"/>
        <v/>
      </c>
      <c r="Z23" s="25" t="str">
        <f t="shared" si="20"/>
        <v/>
      </c>
      <c r="AA23" s="25" t="str">
        <f t="shared" si="20"/>
        <v/>
      </c>
      <c r="AB23" s="25" t="str">
        <f t="shared" si="20"/>
        <v/>
      </c>
      <c r="AC23" s="25" t="str">
        <f t="shared" si="20"/>
        <v/>
      </c>
      <c r="AD23" s="25" t="str">
        <f t="shared" si="20"/>
        <v/>
      </c>
      <c r="AE23" s="25" t="str">
        <f t="shared" si="20"/>
        <v/>
      </c>
      <c r="AF23" s="25" t="str">
        <f t="shared" si="20"/>
        <v/>
      </c>
      <c r="AG23" s="25" t="str">
        <f t="shared" si="20"/>
        <v/>
      </c>
      <c r="AH23" s="45" t="str">
        <f t="shared" si="20"/>
        <v/>
      </c>
    </row>
    <row r="24" spans="4:34" ht="15.75" thickBot="1" x14ac:dyDescent="0.3">
      <c r="D24" s="53"/>
      <c r="E24" s="54"/>
      <c r="F24" s="54"/>
      <c r="G24" s="54"/>
      <c r="H24" s="32"/>
      <c r="I24" s="54"/>
      <c r="J24" s="54"/>
      <c r="K24" s="54"/>
      <c r="L24" s="47" t="str">
        <f>IF(D24="","",K24+_xlfn.XLOOKUP(D24,'Country StartUp'!A:A,'Country StartUp'!B:B))</f>
        <v/>
      </c>
      <c r="M24" s="48" t="str">
        <f>IF(D24="","",$B$3-_xlfn.XLOOKUP(D24,'Country StartUp'!A:A,'Country StartUp'!B:B))</f>
        <v/>
      </c>
      <c r="N24" s="64"/>
      <c r="O24" s="46" t="str">
        <f t="shared" si="4"/>
        <v/>
      </c>
      <c r="P24" s="47" t="str">
        <f t="shared" ref="P24" si="23">IF(OR($O24="",$I24&lt;P$1),"",$J24+O24)</f>
        <v/>
      </c>
      <c r="Q24" s="47" t="str">
        <f t="shared" si="20"/>
        <v/>
      </c>
      <c r="R24" s="47" t="str">
        <f t="shared" si="20"/>
        <v/>
      </c>
      <c r="S24" s="47" t="str">
        <f t="shared" si="20"/>
        <v/>
      </c>
      <c r="T24" s="47" t="str">
        <f t="shared" si="20"/>
        <v/>
      </c>
      <c r="U24" s="47" t="str">
        <f t="shared" si="20"/>
        <v/>
      </c>
      <c r="V24" s="47" t="str">
        <f t="shared" si="20"/>
        <v/>
      </c>
      <c r="W24" s="47" t="str">
        <f t="shared" si="20"/>
        <v/>
      </c>
      <c r="X24" s="47" t="str">
        <f t="shared" si="20"/>
        <v/>
      </c>
      <c r="Y24" s="47" t="str">
        <f t="shared" si="20"/>
        <v/>
      </c>
      <c r="Z24" s="47" t="str">
        <f t="shared" si="20"/>
        <v/>
      </c>
      <c r="AA24" s="47" t="str">
        <f t="shared" si="20"/>
        <v/>
      </c>
      <c r="AB24" s="47" t="str">
        <f t="shared" si="20"/>
        <v/>
      </c>
      <c r="AC24" s="47" t="str">
        <f t="shared" si="20"/>
        <v/>
      </c>
      <c r="AD24" s="47" t="str">
        <f t="shared" si="20"/>
        <v/>
      </c>
      <c r="AE24" s="47" t="str">
        <f t="shared" si="20"/>
        <v/>
      </c>
      <c r="AF24" s="47" t="str">
        <f t="shared" si="20"/>
        <v/>
      </c>
      <c r="AG24" s="47" t="str">
        <f t="shared" si="20"/>
        <v/>
      </c>
      <c r="AH24" s="48" t="str">
        <f t="shared" si="20"/>
        <v/>
      </c>
    </row>
    <row r="32" spans="4:34" x14ac:dyDescent="0.25">
      <c r="T32" s="21"/>
    </row>
  </sheetData>
  <sheetProtection sheet="1" objects="1" scenarios="1"/>
  <mergeCells count="1">
    <mergeCell ref="N1:N24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B143-0B1C-4E57-8977-C7876629F21E}">
  <sheetPr codeName="Sheet1"/>
  <dimension ref="A1:W68"/>
  <sheetViews>
    <sheetView workbookViewId="0">
      <selection activeCell="I33" sqref="I33"/>
    </sheetView>
  </sheetViews>
  <sheetFormatPr defaultRowHeight="15" x14ac:dyDescent="0.25"/>
  <cols>
    <col min="1" max="1" width="15.140625" style="18" bestFit="1" customWidth="1"/>
    <col min="2" max="2" width="16.140625" style="18" bestFit="1" customWidth="1"/>
    <col min="3" max="3" width="13.7109375" style="19" customWidth="1"/>
    <col min="4" max="4" width="13.140625" style="18" customWidth="1"/>
    <col min="5" max="5" width="25.85546875" style="18" bestFit="1" customWidth="1"/>
    <col min="6" max="6" width="13.7109375" style="18" bestFit="1" customWidth="1"/>
    <col min="7" max="7" width="14.28515625" style="18" customWidth="1"/>
    <col min="8" max="8" width="8.7109375" style="18" customWidth="1"/>
    <col min="9" max="9" width="12.5703125" style="18" customWidth="1"/>
    <col min="10" max="10" width="8.85546875" style="18" customWidth="1"/>
    <col min="11" max="11" width="13.140625" style="18" customWidth="1"/>
    <col min="12" max="12" width="16.5703125" style="18" bestFit="1" customWidth="1"/>
    <col min="13" max="13" width="6.85546875" style="18" customWidth="1"/>
    <col min="14" max="14" width="17.7109375" style="18" hidden="1" customWidth="1"/>
    <col min="15" max="15" width="23.7109375" style="18" hidden="1" customWidth="1"/>
    <col min="16" max="16" width="15.140625" style="18" customWidth="1"/>
    <col min="17" max="17" width="13.42578125" style="18" bestFit="1" customWidth="1"/>
    <col min="18" max="18" width="17" style="18" customWidth="1"/>
    <col min="19" max="19" width="16.7109375" style="18" bestFit="1" customWidth="1"/>
    <col min="20" max="20" width="19.5703125" style="18" bestFit="1" customWidth="1"/>
    <col min="21" max="21" width="20.42578125" style="18" bestFit="1" customWidth="1"/>
    <col min="22" max="22" width="22.28515625" style="18" bestFit="1" customWidth="1"/>
    <col min="23" max="23" width="22.42578125" style="18" bestFit="1" customWidth="1"/>
    <col min="24" max="16384" width="9.140625" style="18"/>
  </cols>
  <sheetData>
    <row r="1" spans="1:23" ht="45" x14ac:dyDescent="0.25">
      <c r="A1" s="18" t="s">
        <v>0</v>
      </c>
      <c r="B1" s="18" t="s">
        <v>1</v>
      </c>
      <c r="C1" s="24" t="s">
        <v>102</v>
      </c>
      <c r="D1" s="20" t="s">
        <v>2</v>
      </c>
      <c r="E1" s="20" t="s">
        <v>103</v>
      </c>
      <c r="F1" s="20" t="s">
        <v>108</v>
      </c>
      <c r="G1" s="20" t="s">
        <v>67</v>
      </c>
      <c r="H1" s="18" t="s">
        <v>3</v>
      </c>
      <c r="I1" s="18" t="s">
        <v>26</v>
      </c>
      <c r="J1" s="20" t="s">
        <v>54</v>
      </c>
      <c r="K1" s="18" t="s">
        <v>55</v>
      </c>
      <c r="O1" s="18" t="s">
        <v>104</v>
      </c>
    </row>
    <row r="2" spans="1:23" x14ac:dyDescent="0.25">
      <c r="A2" s="57" t="str">
        <f t="shared" ref="A2:A65" si="0">IF(N2="","",N2)</f>
        <v>United States</v>
      </c>
      <c r="B2" s="57" t="str">
        <f>_xlfn.CONCAT(tblSites[[#This Row],[Country]],tblSites[[#This Row],[Site Amounts]])</f>
        <v>United States1</v>
      </c>
      <c r="C2" s="58">
        <f>_xlfn.IFNA(INDEX('Study Information'!$O$1:$AH$24,MATCH(tblSites[[#This Row],[Country]],'Study Information'!$D:$D,0),MATCH(tblSites[[#This Row],[Site Amounts]],'Study Information'!$O$1:$AH$1,0)),"")</f>
        <v>45899</v>
      </c>
      <c r="D2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" s="57" t="s">
        <v>106</v>
      </c>
      <c r="F2" s="23">
        <f>IFERROR(INT((_xlfn.XLOOKUP(A2,'Study Information'!D:D,'Study Information'!H:H)-SUMIFS($G:$G,$A:$A,A2,$G:$G,"&gt;0"))/(_xlfn.XLOOKUP(A2,'Study Information'!D:D,'Study Information'!I:I)))+IF(K2&lt;=MOD(_xlfn.XLOOKUP(A2,'Study Information'!D:D,'Study Information'!H:H)-SUMIFS($G:$G,$A:$A,A2,$G:$G,"&gt;0"),_xlfn.XLOOKUP(A2,'Study Information'!D:D,'Study Information'!I:I)),1,0),"")</f>
        <v>10</v>
      </c>
      <c r="G2" s="59"/>
      <c r="H2" s="18" t="str">
        <f>IF(tblSites[[#This Row],[Country]]="","",_xlfn.XLOOKUP(tblSites[[#This Row],[Country]],'Study Information'!$D:$D,'Study Information'!$E:$E))</f>
        <v>Yes</v>
      </c>
      <c r="I2" s="18" t="str">
        <f>IF(A2="","",IF(H2="Yes","",_xlfn.IFNA(IF(_xlfn.XLOOKUP(tblSites[[#This Row],[Country]],'Scenario Tool'!$B:$B,'Scenario Tool'!$A:$A)=0,"",_xlfn.XLOOKUP(tblSites[[#This Row],[Country]],'Scenario Tool'!$B:$B,'Scenario Tool'!$A:$A)),"Not Specified")))</f>
        <v/>
      </c>
      <c r="J2" s="18" t="str">
        <f>IF(AND(tblSites[[#This Row],[Include?]]="YES",tblSites[[#This Row],[Scenario?]]="YES"),"Scenario and Include both Yes","")</f>
        <v/>
      </c>
      <c r="K2" s="18">
        <f>IF(tblSites[[#This Row],[Country]]="","",COUNTIF($A$2:A2,A2))</f>
        <v>1</v>
      </c>
      <c r="M2" s="22"/>
      <c r="N2" s="30" t="str" cm="1">
        <f t="array" ref="N2:N38">IF(_xlfn.LET(_xlpm.countries,'Study Information'!$D$2:$D$24,_xlpm.counts,'Study Information'!$I$2:$I$24,_xlpm.total,SUM(_xlpm.counts),_xlpm.seq,_xlfn.SEQUENCE(_xlpm.total),INDEX(_xlpm.countries,_xlfn.XMATCH(_xlpm.seq,_xlfn.SCAN(0,_xlpm.counts,_xlfn.LAMBDA(_xlpm.a,_xlpm.b,_xlpm.a+_xlpm.b)),1)))=0,"",_xlfn.LET(_xlpm.countries,'Study Information'!$D$2:$D$24,_xlpm.counts,'Study Information'!$I$2:$I$24,_xlpm.total,SUM(_xlpm.counts),_xlpm.seq,_xlfn.SEQUENCE(_xlpm.total),INDEX(_xlpm.countries,_xlfn.XMATCH(_xlpm.seq,_xlfn.SCAN(0,_xlpm.counts,_xlfn.LAMBDA(_xlpm.a,_xlpm.b,_xlpm.a+_xlpm.b)),1))))</f>
        <v>United States</v>
      </c>
      <c r="O2" s="21" t="s">
        <v>106</v>
      </c>
      <c r="Q2" s="19"/>
      <c r="R2" s="19"/>
      <c r="S2" s="19"/>
      <c r="T2" s="19"/>
    </row>
    <row r="3" spans="1:23" x14ac:dyDescent="0.25">
      <c r="A3" s="57" t="str">
        <f t="shared" si="0"/>
        <v>United States</v>
      </c>
      <c r="B3" s="57" t="str">
        <f>_xlfn.CONCAT(tblSites[[#This Row],[Country]],tblSites[[#This Row],[Site Amounts]])</f>
        <v>United States2</v>
      </c>
      <c r="C3" s="58">
        <f>_xlfn.IFNA(INDEX('Study Information'!$O$1:$AH$24,MATCH(tblSites[[#This Row],[Country]],'Study Information'!$D:$D,0),MATCH(tblSites[[#This Row],[Site Amounts]],'Study Information'!$O$1:$AH$1,0)),"")</f>
        <v>45929</v>
      </c>
      <c r="D3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3" s="57" t="s">
        <v>106</v>
      </c>
      <c r="F3" s="23">
        <f>IFERROR(INT((_xlfn.XLOOKUP(A3,'Study Information'!D:D,'Study Information'!H:H)-SUMIFS($G:$G,$A:$A,A3,$G:$G,"&gt;0"))/(_xlfn.XLOOKUP(A3,'Study Information'!D:D,'Study Information'!I:I)))+IF(K3&lt;=MOD(_xlfn.XLOOKUP(A3,'Study Information'!D:D,'Study Information'!H:H)-SUMIFS($G:$G,$A:$A,A3,$G:$G,"&gt;0"),_xlfn.XLOOKUP(A3,'Study Information'!D:D,'Study Information'!I:I)),1,0),"")</f>
        <v>9</v>
      </c>
      <c r="G3" s="59"/>
      <c r="H3" s="18" t="str">
        <f>IF(tblSites[[#This Row],[Country]]="","",_xlfn.XLOOKUP(tblSites[[#This Row],[Country]],'Study Information'!$D:$D,'Study Information'!$E:$E))</f>
        <v>Yes</v>
      </c>
      <c r="I3" s="18" t="str">
        <f>IF(A3="","",IF(H3="Yes","",_xlfn.IFNA(IF(_xlfn.XLOOKUP(tblSites[[#This Row],[Country]],'Scenario Tool'!$B:$B,'Scenario Tool'!$A:$A)=0,"",_xlfn.XLOOKUP(tblSites[[#This Row],[Country]],'Scenario Tool'!$B:$B,'Scenario Tool'!$A:$A)),"Not Specified")))</f>
        <v/>
      </c>
      <c r="J3" s="18" t="str">
        <f>IF(AND(tblSites[[#This Row],[Include?]]="YES",tblSites[[#This Row],[Scenario?]]="YES"),"Scenario and Include both Yes","")</f>
        <v/>
      </c>
      <c r="K3" s="18">
        <f>IF(tblSites[[#This Row],[Country]]="","",COUNTIF($A$2:A3,A3))</f>
        <v>2</v>
      </c>
      <c r="N3" s="18" t="str">
        <v>United States</v>
      </c>
      <c r="Q3" s="19"/>
      <c r="R3" s="19"/>
      <c r="S3" s="19"/>
      <c r="T3" s="19"/>
      <c r="U3" s="21"/>
      <c r="V3" s="21"/>
      <c r="W3" s="21"/>
    </row>
    <row r="4" spans="1:23" x14ac:dyDescent="0.25">
      <c r="A4" s="57" t="str">
        <f t="shared" si="0"/>
        <v>United States</v>
      </c>
      <c r="B4" s="57" t="str">
        <f>_xlfn.CONCAT(tblSites[[#This Row],[Country]],tblSites[[#This Row],[Site Amounts]])</f>
        <v>United States3</v>
      </c>
      <c r="C4" s="58">
        <f>_xlfn.IFNA(INDEX('Study Information'!$O$1:$AH$24,MATCH(tblSites[[#This Row],[Country]],'Study Information'!$D:$D,0),MATCH(tblSites[[#This Row],[Site Amounts]],'Study Information'!$O$1:$AH$1,0)),"")</f>
        <v>45959</v>
      </c>
      <c r="D4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4" s="57" t="s">
        <v>106</v>
      </c>
      <c r="F4" s="23">
        <f>IFERROR(INT((_xlfn.XLOOKUP(A4,'Study Information'!D:D,'Study Information'!H:H)-SUMIFS($G:$G,$A:$A,A4,$G:$G,"&gt;0"))/(_xlfn.XLOOKUP(A4,'Study Information'!D:D,'Study Information'!I:I)))+IF(K4&lt;=MOD(_xlfn.XLOOKUP(A4,'Study Information'!D:D,'Study Information'!H:H)-SUMIFS($G:$G,$A:$A,A4,$G:$G,"&gt;0"),_xlfn.XLOOKUP(A4,'Study Information'!D:D,'Study Information'!I:I)),1,0),"")</f>
        <v>9</v>
      </c>
      <c r="G4" s="59"/>
      <c r="H4" s="18" t="str">
        <f>IF(tblSites[[#This Row],[Country]]="","",_xlfn.XLOOKUP(tblSites[[#This Row],[Country]],'Study Information'!$D:$D,'Study Information'!$E:$E))</f>
        <v>Yes</v>
      </c>
      <c r="I4" s="18" t="str">
        <f>IF(A4="","",IF(H4="Yes","",_xlfn.IFNA(IF(_xlfn.XLOOKUP(tblSites[[#This Row],[Country]],'Scenario Tool'!$B:$B,'Scenario Tool'!$A:$A)=0,"",_xlfn.XLOOKUP(tblSites[[#This Row],[Country]],'Scenario Tool'!$B:$B,'Scenario Tool'!$A:$A)),"Not Specified")))</f>
        <v/>
      </c>
      <c r="J4" s="18" t="str">
        <f>IF(AND(tblSites[[#This Row],[Include?]]="YES",tblSites[[#This Row],[Scenario?]]="YES"),"Scenario and Include both Yes","")</f>
        <v/>
      </c>
      <c r="K4" s="18">
        <f>IF(tblSites[[#This Row],[Country]]="","",COUNTIF($A$2:A4,A4))</f>
        <v>3</v>
      </c>
      <c r="N4" s="18" t="str">
        <v>United States</v>
      </c>
      <c r="Q4" s="19"/>
      <c r="R4" s="19"/>
      <c r="S4" s="19"/>
      <c r="T4" s="19"/>
      <c r="U4" s="21"/>
      <c r="V4" s="21"/>
      <c r="W4" s="21"/>
    </row>
    <row r="5" spans="1:23" x14ac:dyDescent="0.25">
      <c r="A5" s="57" t="str">
        <f t="shared" si="0"/>
        <v>United States</v>
      </c>
      <c r="B5" s="57" t="str">
        <f>_xlfn.CONCAT(tblSites[[#This Row],[Country]],tblSites[[#This Row],[Site Amounts]])</f>
        <v>United States4</v>
      </c>
      <c r="C5" s="58">
        <f>_xlfn.IFNA(INDEX('Study Information'!$O$1:$AH$24,MATCH(tblSites[[#This Row],[Country]],'Study Information'!$D:$D,0),MATCH(tblSites[[#This Row],[Site Amounts]],'Study Information'!$O$1:$AH$1,0)),"")</f>
        <v>45989</v>
      </c>
      <c r="D5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5" s="57" t="s">
        <v>106</v>
      </c>
      <c r="F5" s="23">
        <f>IFERROR(INT((_xlfn.XLOOKUP(A5,'Study Information'!D:D,'Study Information'!H:H)-SUMIFS($G:$G,$A:$A,A5,$G:$G,"&gt;0"))/(_xlfn.XLOOKUP(A5,'Study Information'!D:D,'Study Information'!I:I)))+IF(K5&lt;=MOD(_xlfn.XLOOKUP(A5,'Study Information'!D:D,'Study Information'!H:H)-SUMIFS($G:$G,$A:$A,A5,$G:$G,"&gt;0"),_xlfn.XLOOKUP(A5,'Study Information'!D:D,'Study Information'!I:I)),1,0),"")</f>
        <v>9</v>
      </c>
      <c r="G5" s="59"/>
      <c r="H5" s="18" t="str">
        <f>IF(tblSites[[#This Row],[Country]]="","",_xlfn.XLOOKUP(tblSites[[#This Row],[Country]],'Study Information'!$D:$D,'Study Information'!$E:$E))</f>
        <v>Yes</v>
      </c>
      <c r="I5" s="18" t="str">
        <f>IF(A5="","",IF(H5="Yes","",_xlfn.IFNA(IF(_xlfn.XLOOKUP(tblSites[[#This Row],[Country]],'Scenario Tool'!$B:$B,'Scenario Tool'!$A:$A)=0,"",_xlfn.XLOOKUP(tblSites[[#This Row],[Country]],'Scenario Tool'!$B:$B,'Scenario Tool'!$A:$A)),"Not Specified")))</f>
        <v/>
      </c>
      <c r="J5" s="18" t="str">
        <f>IF(AND(tblSites[[#This Row],[Include?]]="YES",tblSites[[#This Row],[Scenario?]]="YES"),"Scenario and Include both Yes","")</f>
        <v/>
      </c>
      <c r="K5" s="18">
        <f>IF(tblSites[[#This Row],[Country]]="","",COUNTIF($A$2:A5,A5))</f>
        <v>4</v>
      </c>
      <c r="L5"/>
      <c r="N5" s="18" t="str">
        <v>United States</v>
      </c>
      <c r="Q5" s="19"/>
      <c r="R5" s="19"/>
      <c r="S5" s="19"/>
      <c r="T5" s="19"/>
      <c r="U5" s="21"/>
      <c r="V5" s="21"/>
      <c r="W5" s="21"/>
    </row>
    <row r="6" spans="1:23" x14ac:dyDescent="0.25">
      <c r="A6" s="57" t="str">
        <f t="shared" si="0"/>
        <v>Germany</v>
      </c>
      <c r="B6" s="57" t="str">
        <f>_xlfn.CONCAT(tblSites[[#This Row],[Country]],tblSites[[#This Row],[Site Amounts]])</f>
        <v>Germany1</v>
      </c>
      <c r="C6" s="58">
        <f>_xlfn.IFNA(INDEX('Study Information'!$O$1:$AH$24,MATCH(tblSites[[#This Row],[Country]],'Study Information'!$D:$D,0),MATCH(tblSites[[#This Row],[Site Amounts]],'Study Information'!$O$1:$AH$1,0)),"")</f>
        <v>46041.544642857145</v>
      </c>
      <c r="D6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</v>
      </c>
      <c r="E6" s="57" t="s">
        <v>106</v>
      </c>
      <c r="F6" s="23">
        <f>IFERROR(INT((_xlfn.XLOOKUP(A6,'Study Information'!D:D,'Study Information'!H:H)-SUMIFS($G:$G,$A:$A,A6,$G:$G,"&gt;0"))/(_xlfn.XLOOKUP(A6,'Study Information'!D:D,'Study Information'!I:I)))+IF(K6&lt;=MOD(_xlfn.XLOOKUP(A6,'Study Information'!D:D,'Study Information'!H:H)-SUMIFS($G:$G,$A:$A,A6,$G:$G,"&gt;0"),_xlfn.XLOOKUP(A6,'Study Information'!D:D,'Study Information'!I:I)),1,0),"")</f>
        <v>6</v>
      </c>
      <c r="G6" s="59"/>
      <c r="H6" s="18" t="str">
        <f>IF(tblSites[[#This Row],[Country]]="","",_xlfn.XLOOKUP(tblSites[[#This Row],[Country]],'Study Information'!$D:$D,'Study Information'!$E:$E))</f>
        <v>Yes</v>
      </c>
      <c r="I6" s="18" t="str">
        <f>IF(A6="","",IF(H6="Yes","",_xlfn.IFNA(IF(_xlfn.XLOOKUP(tblSites[[#This Row],[Country]],'Scenario Tool'!$B:$B,'Scenario Tool'!$A:$A)=0,"",_xlfn.XLOOKUP(tblSites[[#This Row],[Country]],'Scenario Tool'!$B:$B,'Scenario Tool'!$A:$A)),"Not Specified")))</f>
        <v/>
      </c>
      <c r="J6" s="18" t="str">
        <f>IF(AND(tblSites[[#This Row],[Include?]]="YES",tblSites[[#This Row],[Scenario?]]="YES"),"Scenario and Include both Yes","")</f>
        <v/>
      </c>
      <c r="K6" s="18">
        <f>IF(tblSites[[#This Row],[Country]]="","",COUNTIF($A$2:A6,A6))</f>
        <v>1</v>
      </c>
      <c r="L6"/>
      <c r="N6" s="18" t="str">
        <v>Germany</v>
      </c>
      <c r="Q6" s="19"/>
      <c r="R6" s="19"/>
      <c r="S6" s="19"/>
      <c r="T6" s="19"/>
      <c r="U6" s="21"/>
      <c r="V6" s="21"/>
      <c r="W6" s="21"/>
    </row>
    <row r="7" spans="1:23" x14ac:dyDescent="0.25">
      <c r="A7" s="57" t="str">
        <f t="shared" si="0"/>
        <v>Germany</v>
      </c>
      <c r="B7" s="57" t="str">
        <f>_xlfn.CONCAT(tblSites[[#This Row],[Country]],tblSites[[#This Row],[Site Amounts]])</f>
        <v>Germany2</v>
      </c>
      <c r="C7" s="58">
        <f>_xlfn.IFNA(INDEX('Study Information'!$O$1:$AH$24,MATCH(tblSites[[#This Row],[Country]],'Study Information'!$D:$D,0),MATCH(tblSites[[#This Row],[Site Amounts]],'Study Information'!$O$1:$AH$1,0)),"")</f>
        <v>46086.544642857145</v>
      </c>
      <c r="D7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</v>
      </c>
      <c r="E7" s="57" t="s">
        <v>106</v>
      </c>
      <c r="F7" s="23">
        <f>IFERROR(INT((_xlfn.XLOOKUP(A7,'Study Information'!D:D,'Study Information'!H:H)-SUMIFS($G:$G,$A:$A,A7,$G:$G,"&gt;0"))/(_xlfn.XLOOKUP(A7,'Study Information'!D:D,'Study Information'!I:I)))+IF(K7&lt;=MOD(_xlfn.XLOOKUP(A7,'Study Information'!D:D,'Study Information'!H:H)-SUMIFS($G:$G,$A:$A,A7,$G:$G,"&gt;0"),_xlfn.XLOOKUP(A7,'Study Information'!D:D,'Study Information'!I:I)),1,0),"")</f>
        <v>6</v>
      </c>
      <c r="G7" s="59"/>
      <c r="H7" s="18" t="str">
        <f>IF(tblSites[[#This Row],[Country]]="","",_xlfn.XLOOKUP(tblSites[[#This Row],[Country]],'Study Information'!$D:$D,'Study Information'!$E:$E))</f>
        <v>Yes</v>
      </c>
      <c r="I7" s="18" t="str">
        <f>IF(A7="","",IF(H7="Yes","",_xlfn.IFNA(IF(_xlfn.XLOOKUP(tblSites[[#This Row],[Country]],'Scenario Tool'!$B:$B,'Scenario Tool'!$A:$A)=0,"",_xlfn.XLOOKUP(tblSites[[#This Row],[Country]],'Scenario Tool'!$B:$B,'Scenario Tool'!$A:$A)),"Not Specified")))</f>
        <v/>
      </c>
      <c r="J7" s="18" t="str">
        <f>IF(AND(tblSites[[#This Row],[Include?]]="YES",tblSites[[#This Row],[Scenario?]]="YES"),"Scenario and Include both Yes","")</f>
        <v/>
      </c>
      <c r="K7" s="18">
        <f>IF(tblSites[[#This Row],[Country]]="","",COUNTIF($A$2:A7,A7))</f>
        <v>2</v>
      </c>
      <c r="L7"/>
      <c r="N7" s="18" t="str">
        <v>Germany</v>
      </c>
      <c r="Q7" s="19"/>
      <c r="R7" s="19"/>
      <c r="S7" s="19"/>
      <c r="T7" s="19"/>
      <c r="U7" s="21"/>
      <c r="V7" s="21"/>
      <c r="W7" s="21"/>
    </row>
    <row r="8" spans="1:23" x14ac:dyDescent="0.25">
      <c r="A8" s="57" t="str">
        <f t="shared" si="0"/>
        <v>Germany</v>
      </c>
      <c r="B8" s="57" t="str">
        <f>_xlfn.CONCAT(tblSites[[#This Row],[Country]],tblSites[[#This Row],[Site Amounts]])</f>
        <v>Germany3</v>
      </c>
      <c r="C8" s="58">
        <f>_xlfn.IFNA(INDEX('Study Information'!$O$1:$AH$24,MATCH(tblSites[[#This Row],[Country]],'Study Information'!$D:$D,0),MATCH(tblSites[[#This Row],[Site Amounts]],'Study Information'!$O$1:$AH$1,0)),"")</f>
        <v>46131.544642857145</v>
      </c>
      <c r="D8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</v>
      </c>
      <c r="E8" s="57" t="s">
        <v>106</v>
      </c>
      <c r="F8" s="23">
        <f>IFERROR(INT((_xlfn.XLOOKUP(A8,'Study Information'!D:D,'Study Information'!H:H)-SUMIFS($G:$G,$A:$A,A8,$G:$G,"&gt;0"))/(_xlfn.XLOOKUP(A8,'Study Information'!D:D,'Study Information'!I:I)))+IF(K8&lt;=MOD(_xlfn.XLOOKUP(A8,'Study Information'!D:D,'Study Information'!H:H)-SUMIFS($G:$G,$A:$A,A8,$G:$G,"&gt;0"),_xlfn.XLOOKUP(A8,'Study Information'!D:D,'Study Information'!I:I)),1,0),"")</f>
        <v>6</v>
      </c>
      <c r="G8" s="59"/>
      <c r="H8" s="18" t="str">
        <f>IF(tblSites[[#This Row],[Country]]="","",_xlfn.XLOOKUP(tblSites[[#This Row],[Country]],'Study Information'!$D:$D,'Study Information'!$E:$E))</f>
        <v>Yes</v>
      </c>
      <c r="I8" s="18" t="str">
        <f>IF(A8="","",IF(H8="Yes","",_xlfn.IFNA(IF(_xlfn.XLOOKUP(tblSites[[#This Row],[Country]],'Scenario Tool'!$B:$B,'Scenario Tool'!$A:$A)=0,"",_xlfn.XLOOKUP(tblSites[[#This Row],[Country]],'Scenario Tool'!$B:$B,'Scenario Tool'!$A:$A)),"Not Specified")))</f>
        <v/>
      </c>
      <c r="J8" s="18" t="str">
        <f>IF(AND(tblSites[[#This Row],[Include?]]="YES",tblSites[[#This Row],[Scenario?]]="YES"),"Scenario and Include both Yes","")</f>
        <v/>
      </c>
      <c r="K8" s="18">
        <f>IF(tblSites[[#This Row],[Country]]="","",COUNTIF($A$2:A8,A8))</f>
        <v>3</v>
      </c>
      <c r="N8" s="18" t="str">
        <v>Germany</v>
      </c>
      <c r="Q8" s="19"/>
      <c r="R8" s="19"/>
      <c r="S8" s="19"/>
      <c r="T8" s="19"/>
      <c r="U8" s="21"/>
      <c r="V8" s="21"/>
      <c r="W8" s="21"/>
    </row>
    <row r="9" spans="1:23" x14ac:dyDescent="0.25">
      <c r="A9" s="57" t="str">
        <f t="shared" si="0"/>
        <v>Germany</v>
      </c>
      <c r="B9" s="57" t="str">
        <f>_xlfn.CONCAT(tblSites[[#This Row],[Country]],tblSites[[#This Row],[Site Amounts]])</f>
        <v>Germany4</v>
      </c>
      <c r="C9" s="58">
        <f>_xlfn.IFNA(INDEX('Study Information'!$O$1:$AH$24,MATCH(tblSites[[#This Row],[Country]],'Study Information'!$D:$D,0),MATCH(tblSites[[#This Row],[Site Amounts]],'Study Information'!$O$1:$AH$1,0)),"")</f>
        <v>46176.544642857145</v>
      </c>
      <c r="D9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</v>
      </c>
      <c r="E9" s="57" t="s">
        <v>106</v>
      </c>
      <c r="F9" s="23">
        <f>IFERROR(INT((_xlfn.XLOOKUP(A9,'Study Information'!D:D,'Study Information'!H:H)-SUMIFS($G:$G,$A:$A,A9,$G:$G,"&gt;0"))/(_xlfn.XLOOKUP(A9,'Study Information'!D:D,'Study Information'!I:I)))+IF(K9&lt;=MOD(_xlfn.XLOOKUP(A9,'Study Information'!D:D,'Study Information'!H:H)-SUMIFS($G:$G,$A:$A,A9,$G:$G,"&gt;0"),_xlfn.XLOOKUP(A9,'Study Information'!D:D,'Study Information'!I:I)),1,0),"")</f>
        <v>6</v>
      </c>
      <c r="G9" s="59"/>
      <c r="H9" s="18" t="str">
        <f>IF(tblSites[[#This Row],[Country]]="","",_xlfn.XLOOKUP(tblSites[[#This Row],[Country]],'Study Information'!$D:$D,'Study Information'!$E:$E))</f>
        <v>Yes</v>
      </c>
      <c r="I9" s="18" t="str">
        <f>IF(A9="","",IF(H9="Yes","",_xlfn.IFNA(IF(_xlfn.XLOOKUP(tblSites[[#This Row],[Country]],'Scenario Tool'!$B:$B,'Scenario Tool'!$A:$A)=0,"",_xlfn.XLOOKUP(tblSites[[#This Row],[Country]],'Scenario Tool'!$B:$B,'Scenario Tool'!$A:$A)),"Not Specified")))</f>
        <v/>
      </c>
      <c r="J9" s="18" t="str">
        <f>IF(AND(tblSites[[#This Row],[Include?]]="YES",tblSites[[#This Row],[Scenario?]]="YES"),"Scenario and Include both Yes","")</f>
        <v/>
      </c>
      <c r="K9" s="18">
        <f>IF(tblSites[[#This Row],[Country]]="","",COUNTIF($A$2:A9,A9))</f>
        <v>4</v>
      </c>
      <c r="L9"/>
      <c r="N9" s="18" t="str">
        <v>Germany</v>
      </c>
      <c r="Q9" s="19"/>
      <c r="R9" s="19"/>
      <c r="S9" s="19"/>
      <c r="T9" s="19"/>
      <c r="U9" s="21"/>
      <c r="V9" s="21"/>
      <c r="W9" s="21"/>
    </row>
    <row r="10" spans="1:23" x14ac:dyDescent="0.25">
      <c r="A10" s="57" t="str">
        <f t="shared" si="0"/>
        <v>Germany</v>
      </c>
      <c r="B10" s="57" t="str">
        <f>_xlfn.CONCAT(tblSites[[#This Row],[Country]],tblSites[[#This Row],[Site Amounts]])</f>
        <v>Germany5</v>
      </c>
      <c r="C10" s="58">
        <f>_xlfn.IFNA(INDEX('Study Information'!$O$1:$AH$24,MATCH(tblSites[[#This Row],[Country]],'Study Information'!$D:$D,0),MATCH(tblSites[[#This Row],[Site Amounts]],'Study Information'!$O$1:$AH$1,0)),"")</f>
        <v>46221.544642857145</v>
      </c>
      <c r="D10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</v>
      </c>
      <c r="E10" s="57" t="s">
        <v>106</v>
      </c>
      <c r="F10" s="23">
        <f>IFERROR(INT((_xlfn.XLOOKUP(A10,'Study Information'!D:D,'Study Information'!H:H)-SUMIFS($G:$G,$A:$A,A10,$G:$G,"&gt;0"))/(_xlfn.XLOOKUP(A10,'Study Information'!D:D,'Study Information'!I:I)))+IF(K10&lt;=MOD(_xlfn.XLOOKUP(A10,'Study Information'!D:D,'Study Information'!H:H)-SUMIFS($G:$G,$A:$A,A10,$G:$G,"&gt;0"),_xlfn.XLOOKUP(A10,'Study Information'!D:D,'Study Information'!I:I)),1,0),"")</f>
        <v>6</v>
      </c>
      <c r="G10" s="59"/>
      <c r="H10" s="18" t="str">
        <f>IF(tblSites[[#This Row],[Country]]="","",_xlfn.XLOOKUP(tblSites[[#This Row],[Country]],'Study Information'!$D:$D,'Study Information'!$E:$E))</f>
        <v>Yes</v>
      </c>
      <c r="I10" s="18" t="str">
        <f>IF(A10="","",IF(H10="Yes","",_xlfn.IFNA(IF(_xlfn.XLOOKUP(tblSites[[#This Row],[Country]],'Scenario Tool'!$B:$B,'Scenario Tool'!$A:$A)=0,"",_xlfn.XLOOKUP(tblSites[[#This Row],[Country]],'Scenario Tool'!$B:$B,'Scenario Tool'!$A:$A)),"Not Specified")))</f>
        <v/>
      </c>
      <c r="J10" s="18" t="str">
        <f>IF(AND(tblSites[[#This Row],[Include?]]="YES",tblSites[[#This Row],[Scenario?]]="YES"),"Scenario and Include both Yes","")</f>
        <v/>
      </c>
      <c r="K10" s="18">
        <f>IF(tblSites[[#This Row],[Country]]="","",COUNTIF($A$2:A10,A10))</f>
        <v>5</v>
      </c>
      <c r="L10"/>
      <c r="N10" s="18" t="str">
        <v>Germany</v>
      </c>
      <c r="Q10" s="19"/>
      <c r="R10" s="19"/>
      <c r="S10" s="19"/>
      <c r="T10" s="19"/>
      <c r="U10" s="21"/>
      <c r="V10" s="21"/>
      <c r="W10" s="21"/>
    </row>
    <row r="11" spans="1:23" x14ac:dyDescent="0.25">
      <c r="A11" s="57" t="str">
        <f t="shared" si="0"/>
        <v>Germany</v>
      </c>
      <c r="B11" s="57" t="str">
        <f>_xlfn.CONCAT(tblSites[[#This Row],[Country]],tblSites[[#This Row],[Site Amounts]])</f>
        <v>Germany6</v>
      </c>
      <c r="C11" s="58">
        <f>_xlfn.IFNA(INDEX('Study Information'!$O$1:$AH$24,MATCH(tblSites[[#This Row],[Country]],'Study Information'!$D:$D,0),MATCH(tblSites[[#This Row],[Site Amounts]],'Study Information'!$O$1:$AH$1,0)),"")</f>
        <v>46266.544642857145</v>
      </c>
      <c r="D11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</v>
      </c>
      <c r="E11" s="57" t="s">
        <v>106</v>
      </c>
      <c r="F11" s="23">
        <f>IFERROR(INT((_xlfn.XLOOKUP(A11,'Study Information'!D:D,'Study Information'!H:H)-SUMIFS($G:$G,$A:$A,A11,$G:$G,"&gt;0"))/(_xlfn.XLOOKUP(A11,'Study Information'!D:D,'Study Information'!I:I)))+IF(K11&lt;=MOD(_xlfn.XLOOKUP(A11,'Study Information'!D:D,'Study Information'!H:H)-SUMIFS($G:$G,$A:$A,A11,$G:$G,"&gt;0"),_xlfn.XLOOKUP(A11,'Study Information'!D:D,'Study Information'!I:I)),1,0),"")</f>
        <v>6</v>
      </c>
      <c r="G11" s="59"/>
      <c r="H11" s="18" t="str">
        <f>IF(tblSites[[#This Row],[Country]]="","",_xlfn.XLOOKUP(tblSites[[#This Row],[Country]],'Study Information'!$D:$D,'Study Information'!$E:$E))</f>
        <v>Yes</v>
      </c>
      <c r="I11" s="18" t="str">
        <f>IF(A11="","",IF(H11="Yes","",_xlfn.IFNA(IF(_xlfn.XLOOKUP(tblSites[[#This Row],[Country]],'Scenario Tool'!$B:$B,'Scenario Tool'!$A:$A)=0,"",_xlfn.XLOOKUP(tblSites[[#This Row],[Country]],'Scenario Tool'!$B:$B,'Scenario Tool'!$A:$A)),"Not Specified")))</f>
        <v/>
      </c>
      <c r="J11" s="18" t="str">
        <f>IF(AND(tblSites[[#This Row],[Include?]]="YES",tblSites[[#This Row],[Scenario?]]="YES"),"Scenario and Include both Yes","")</f>
        <v/>
      </c>
      <c r="K11" s="18">
        <f>IF(tblSites[[#This Row],[Country]]="","",COUNTIF($A$2:A11,A11))</f>
        <v>6</v>
      </c>
      <c r="N11" s="18" t="str">
        <v>Germany</v>
      </c>
      <c r="Q11" s="19"/>
      <c r="R11" s="19"/>
      <c r="S11" s="19"/>
      <c r="T11" s="19"/>
      <c r="U11" s="21"/>
      <c r="V11" s="21"/>
      <c r="W11" s="21"/>
    </row>
    <row r="12" spans="1:23" x14ac:dyDescent="0.25">
      <c r="A12" s="57" t="str">
        <f t="shared" si="0"/>
        <v>Germany</v>
      </c>
      <c r="B12" s="57" t="str">
        <f>_xlfn.CONCAT(tblSites[[#This Row],[Country]],tblSites[[#This Row],[Site Amounts]])</f>
        <v>Germany7</v>
      </c>
      <c r="C12" s="58">
        <f>_xlfn.IFNA(INDEX('Study Information'!$O$1:$AH$24,MATCH(tblSites[[#This Row],[Country]],'Study Information'!$D:$D,0),MATCH(tblSites[[#This Row],[Site Amounts]],'Study Information'!$O$1:$AH$1,0)),"")</f>
        <v>46311.544642857145</v>
      </c>
      <c r="D12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</v>
      </c>
      <c r="E12" s="57" t="s">
        <v>106</v>
      </c>
      <c r="F12" s="23">
        <f>IFERROR(INT((_xlfn.XLOOKUP(A12,'Study Information'!D:D,'Study Information'!H:H)-SUMIFS($G:$G,$A:$A,A12,$G:$G,"&gt;0"))/(_xlfn.XLOOKUP(A12,'Study Information'!D:D,'Study Information'!I:I)))+IF(K12&lt;=MOD(_xlfn.XLOOKUP(A12,'Study Information'!D:D,'Study Information'!H:H)-SUMIFS($G:$G,$A:$A,A12,$G:$G,"&gt;0"),_xlfn.XLOOKUP(A12,'Study Information'!D:D,'Study Information'!I:I)),1,0),"")</f>
        <v>6</v>
      </c>
      <c r="G12" s="59"/>
      <c r="H12" s="18" t="str">
        <f>IF(tblSites[[#This Row],[Country]]="","",_xlfn.XLOOKUP(tblSites[[#This Row],[Country]],'Study Information'!$D:$D,'Study Information'!$E:$E))</f>
        <v>Yes</v>
      </c>
      <c r="I12" s="18" t="str">
        <f>IF(A12="","",IF(H12="Yes","",_xlfn.IFNA(IF(_xlfn.XLOOKUP(tblSites[[#This Row],[Country]],'Scenario Tool'!$B:$B,'Scenario Tool'!$A:$A)=0,"",_xlfn.XLOOKUP(tblSites[[#This Row],[Country]],'Scenario Tool'!$B:$B,'Scenario Tool'!$A:$A)),"Not Specified")))</f>
        <v/>
      </c>
      <c r="J12" s="18" t="str">
        <f>IF(AND(tblSites[[#This Row],[Include?]]="YES",tblSites[[#This Row],[Scenario?]]="YES"),"Scenario and Include both Yes","")</f>
        <v/>
      </c>
      <c r="K12" s="18">
        <f>IF(tblSites[[#This Row],[Country]]="","",COUNTIF($A$2:A12,A12))</f>
        <v>7</v>
      </c>
      <c r="N12" s="18" t="str">
        <v>Germany</v>
      </c>
      <c r="Q12" s="19"/>
      <c r="R12" s="19"/>
      <c r="S12" s="19"/>
      <c r="T12" s="19"/>
      <c r="U12" s="21"/>
      <c r="V12" s="21"/>
      <c r="W12" s="21"/>
    </row>
    <row r="13" spans="1:23" x14ac:dyDescent="0.25">
      <c r="A13" s="57" t="str">
        <f t="shared" si="0"/>
        <v>Germany</v>
      </c>
      <c r="B13" s="57" t="str">
        <f>_xlfn.CONCAT(tblSites[[#This Row],[Country]],tblSites[[#This Row],[Site Amounts]])</f>
        <v>Germany8</v>
      </c>
      <c r="C13" s="58">
        <f>_xlfn.IFNA(INDEX('Study Information'!$O$1:$AH$24,MATCH(tblSites[[#This Row],[Country]],'Study Information'!$D:$D,0),MATCH(tblSites[[#This Row],[Site Amounts]],'Study Information'!$O$1:$AH$1,0)),"")</f>
        <v>46356.544642857145</v>
      </c>
      <c r="D13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</v>
      </c>
      <c r="E13" s="57" t="s">
        <v>106</v>
      </c>
      <c r="F13" s="23">
        <f>IFERROR(INT((_xlfn.XLOOKUP(A13,'Study Information'!D:D,'Study Information'!H:H)-SUMIFS($G:$G,$A:$A,A13,$G:$G,"&gt;0"))/(_xlfn.XLOOKUP(A13,'Study Information'!D:D,'Study Information'!I:I)))+IF(K13&lt;=MOD(_xlfn.XLOOKUP(A13,'Study Information'!D:D,'Study Information'!H:H)-SUMIFS($G:$G,$A:$A,A13,$G:$G,"&gt;0"),_xlfn.XLOOKUP(A13,'Study Information'!D:D,'Study Information'!I:I)),1,0),"")</f>
        <v>5</v>
      </c>
      <c r="G13" s="59"/>
      <c r="H13" s="18" t="str">
        <f>IF(tblSites[[#This Row],[Country]]="","",_xlfn.XLOOKUP(tblSites[[#This Row],[Country]],'Study Information'!$D:$D,'Study Information'!$E:$E))</f>
        <v>Yes</v>
      </c>
      <c r="I13" s="18" t="str">
        <f>IF(A13="","",IF(H13="Yes","",_xlfn.IFNA(IF(_xlfn.XLOOKUP(tblSites[[#This Row],[Country]],'Scenario Tool'!$B:$B,'Scenario Tool'!$A:$A)=0,"",_xlfn.XLOOKUP(tblSites[[#This Row],[Country]],'Scenario Tool'!$B:$B,'Scenario Tool'!$A:$A)),"Not Specified")))</f>
        <v/>
      </c>
      <c r="J13" s="18" t="str">
        <f>IF(AND(tblSites[[#This Row],[Include?]]="YES",tblSites[[#This Row],[Scenario?]]="YES"),"Scenario and Include both Yes","")</f>
        <v/>
      </c>
      <c r="K13" s="18">
        <f>IF(tblSites[[#This Row],[Country]]="","",COUNTIF($A$2:A13,A13))</f>
        <v>8</v>
      </c>
      <c r="N13" s="18" t="str">
        <v>Germany</v>
      </c>
      <c r="Q13" s="19"/>
      <c r="R13" s="19"/>
      <c r="S13" s="19"/>
      <c r="T13" s="19"/>
      <c r="U13" s="21"/>
      <c r="V13" s="21"/>
      <c r="W13" s="21"/>
    </row>
    <row r="14" spans="1:23" x14ac:dyDescent="0.25">
      <c r="A14" s="57" t="str">
        <f t="shared" si="0"/>
        <v>Canada</v>
      </c>
      <c r="B14" s="57" t="str">
        <f>_xlfn.CONCAT(tblSites[[#This Row],[Country]],tblSites[[#This Row],[Site Amounts]])</f>
        <v>Canada1</v>
      </c>
      <c r="C14" s="58">
        <f>_xlfn.IFNA(INDEX('Study Information'!$O$1:$AH$24,MATCH(tblSites[[#This Row],[Country]],'Study Information'!$D:$D,0),MATCH(tblSites[[#This Row],[Site Amounts]],'Study Information'!$O$1:$AH$1,0)),"")</f>
        <v>46005.666666666664</v>
      </c>
      <c r="D14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0.15</v>
      </c>
      <c r="E14" s="57" t="s">
        <v>106</v>
      </c>
      <c r="F14" s="23">
        <f>IFERROR(INT((_xlfn.XLOOKUP(A14,'Study Information'!D:D,'Study Information'!H:H)-SUMIFS($G:$G,$A:$A,A14,$G:$G,"&gt;0"))/(_xlfn.XLOOKUP(A14,'Study Information'!D:D,'Study Information'!I:I)))+IF(K14&lt;=MOD(_xlfn.XLOOKUP(A14,'Study Information'!D:D,'Study Information'!H:H)-SUMIFS($G:$G,$A:$A,A14,$G:$G,"&gt;0"),_xlfn.XLOOKUP(A14,'Study Information'!D:D,'Study Information'!I:I)),1,0),"")</f>
        <v>9</v>
      </c>
      <c r="G14" s="59"/>
      <c r="H14" s="18" t="str">
        <f>IF(tblSites[[#This Row],[Country]]="","",_xlfn.XLOOKUP(tblSites[[#This Row],[Country]],'Study Information'!$D:$D,'Study Information'!$E:$E))</f>
        <v>Yes</v>
      </c>
      <c r="I14" s="18" t="str">
        <f>IF(A14="","",IF(H14="Yes","",_xlfn.IFNA(IF(_xlfn.XLOOKUP(tblSites[[#This Row],[Country]],'Scenario Tool'!$B:$B,'Scenario Tool'!$A:$A)=0,"",_xlfn.XLOOKUP(tblSites[[#This Row],[Country]],'Scenario Tool'!$B:$B,'Scenario Tool'!$A:$A)),"Not Specified")))</f>
        <v/>
      </c>
      <c r="J14" s="18" t="str">
        <f>IF(AND(tblSites[[#This Row],[Include?]]="YES",tblSites[[#This Row],[Scenario?]]="YES"),"Scenario and Include both Yes","")</f>
        <v/>
      </c>
      <c r="K14" s="18">
        <f>IF(tblSites[[#This Row],[Country]]="","",COUNTIF($A$2:A14,A14))</f>
        <v>1</v>
      </c>
      <c r="N14" s="18" t="str">
        <v>Canada</v>
      </c>
      <c r="Q14" s="19"/>
      <c r="R14" s="19"/>
      <c r="S14" s="19"/>
      <c r="T14" s="19"/>
      <c r="U14" s="21"/>
      <c r="V14" s="21"/>
      <c r="W14" s="21"/>
    </row>
    <row r="15" spans="1:23" x14ac:dyDescent="0.25">
      <c r="A15" s="57" t="str">
        <f t="shared" si="0"/>
        <v>Canada</v>
      </c>
      <c r="B15" s="57" t="str">
        <f>_xlfn.CONCAT(tblSites[[#This Row],[Country]],tblSites[[#This Row],[Site Amounts]])</f>
        <v>Canada2</v>
      </c>
      <c r="C15" s="58">
        <f>_xlfn.IFNA(INDEX('Study Information'!$O$1:$AH$24,MATCH(tblSites[[#This Row],[Country]],'Study Information'!$D:$D,0),MATCH(tblSites[[#This Row],[Site Amounts]],'Study Information'!$O$1:$AH$1,0)),"")</f>
        <v>46095.666666666664</v>
      </c>
      <c r="D15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0.15</v>
      </c>
      <c r="E15" s="57" t="s">
        <v>106</v>
      </c>
      <c r="F15" s="23">
        <f>IFERROR(INT((_xlfn.XLOOKUP(A15,'Study Information'!D:D,'Study Information'!H:H)-SUMIFS($G:$G,$A:$A,A15,$G:$G,"&gt;0"))/(_xlfn.XLOOKUP(A15,'Study Information'!D:D,'Study Information'!I:I)))+IF(K15&lt;=MOD(_xlfn.XLOOKUP(A15,'Study Information'!D:D,'Study Information'!H:H)-SUMIFS($G:$G,$A:$A,A15,$G:$G,"&gt;0"),_xlfn.XLOOKUP(A15,'Study Information'!D:D,'Study Information'!I:I)),1,0),"")</f>
        <v>8</v>
      </c>
      <c r="G15" s="59"/>
      <c r="H15" s="18" t="str">
        <f>IF(tblSites[[#This Row],[Country]]="","",_xlfn.XLOOKUP(tblSites[[#This Row],[Country]],'Study Information'!$D:$D,'Study Information'!$E:$E))</f>
        <v>Yes</v>
      </c>
      <c r="I15" s="18" t="str">
        <f>IF(A15="","",IF(H15="Yes","",_xlfn.IFNA(IF(_xlfn.XLOOKUP(tblSites[[#This Row],[Country]],'Scenario Tool'!$B:$B,'Scenario Tool'!$A:$A)=0,"",_xlfn.XLOOKUP(tblSites[[#This Row],[Country]],'Scenario Tool'!$B:$B,'Scenario Tool'!$A:$A)),"Not Specified")))</f>
        <v/>
      </c>
      <c r="J15" s="18" t="str">
        <f>IF(AND(tblSites[[#This Row],[Include?]]="YES",tblSites[[#This Row],[Scenario?]]="YES"),"Scenario and Include both Yes","")</f>
        <v/>
      </c>
      <c r="K15" s="18">
        <f>IF(tblSites[[#This Row],[Country]]="","",COUNTIF($A$2:A15,A15))</f>
        <v>2</v>
      </c>
      <c r="N15" s="18" t="str">
        <v>Canada</v>
      </c>
      <c r="Q15" s="19"/>
      <c r="R15" s="19"/>
      <c r="S15" s="19"/>
      <c r="T15" s="19"/>
      <c r="U15" s="21"/>
      <c r="V15" s="21"/>
      <c r="W15" s="21"/>
    </row>
    <row r="16" spans="1:23" x14ac:dyDescent="0.25">
      <c r="A16" s="57" t="str">
        <f t="shared" si="0"/>
        <v>Spain</v>
      </c>
      <c r="B16" s="57" t="str">
        <f>_xlfn.CONCAT(tblSites[[#This Row],[Country]],tblSites[[#This Row],[Site Amounts]])</f>
        <v>Spain1</v>
      </c>
      <c r="C16" s="58">
        <f>_xlfn.IFNA(INDEX('Study Information'!$O$1:$AH$24,MATCH(tblSites[[#This Row],[Country]],'Study Information'!$D:$D,0),MATCH(tblSites[[#This Row],[Site Amounts]],'Study Information'!$O$1:$AH$1,0)),"")</f>
        <v>46109.465909090912</v>
      </c>
      <c r="D16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16" s="57" t="s">
        <v>106</v>
      </c>
      <c r="F16" s="23">
        <f>IFERROR(INT((_xlfn.XLOOKUP(A16,'Study Information'!D:D,'Study Information'!H:H)-SUMIFS($G:$G,$A:$A,A16,$G:$G,"&gt;0"))/(_xlfn.XLOOKUP(A16,'Study Information'!D:D,'Study Information'!I:I)))+IF(K16&lt;=MOD(_xlfn.XLOOKUP(A16,'Study Information'!D:D,'Study Information'!H:H)-SUMIFS($G:$G,$A:$A,A16,$G:$G,"&gt;0"),_xlfn.XLOOKUP(A16,'Study Information'!D:D,'Study Information'!I:I)),1,0),"")</f>
        <v>5</v>
      </c>
      <c r="G16" s="59"/>
      <c r="H16" s="18" t="str">
        <f>IF(tblSites[[#This Row],[Country]]="","",_xlfn.XLOOKUP(tblSites[[#This Row],[Country]],'Study Information'!$D:$D,'Study Information'!$E:$E))</f>
        <v>No</v>
      </c>
      <c r="I16" s="18" t="b">
        <f>IF(A16="","",IF(H16="Yes","",_xlfn.IFNA(IF(_xlfn.XLOOKUP(tblSites[[#This Row],[Country]],'Scenario Tool'!$B:$B,'Scenario Tool'!$A:$A)=0,"",_xlfn.XLOOKUP(tblSites[[#This Row],[Country]],'Scenario Tool'!$B:$B,'Scenario Tool'!$A:$A)),"Not Specified")))</f>
        <v>0</v>
      </c>
      <c r="J16" s="18" t="str">
        <f>IF(AND(tblSites[[#This Row],[Include?]]="YES",tblSites[[#This Row],[Scenario?]]="YES"),"Scenario and Include both Yes","")</f>
        <v/>
      </c>
      <c r="K16" s="18">
        <f>IF(tblSites[[#This Row],[Country]]="","",COUNTIF($A$2:A16,A16))</f>
        <v>1</v>
      </c>
      <c r="N16" s="18" t="str">
        <v>Spain</v>
      </c>
      <c r="Q16" s="19"/>
      <c r="R16" s="19"/>
      <c r="S16" s="19"/>
      <c r="T16" s="19"/>
      <c r="U16" s="21"/>
      <c r="V16" s="21"/>
      <c r="W16" s="21"/>
    </row>
    <row r="17" spans="1:23" x14ac:dyDescent="0.25">
      <c r="A17" s="57" t="str">
        <f t="shared" si="0"/>
        <v>Spain</v>
      </c>
      <c r="B17" s="57" t="str">
        <f>_xlfn.CONCAT(tblSites[[#This Row],[Country]],tblSites[[#This Row],[Site Amounts]])</f>
        <v>Spain2</v>
      </c>
      <c r="C17" s="58">
        <f>_xlfn.IFNA(INDEX('Study Information'!$O$1:$AH$24,MATCH(tblSites[[#This Row],[Country]],'Study Information'!$D:$D,0),MATCH(tblSites[[#This Row],[Site Amounts]],'Study Information'!$O$1:$AH$1,0)),"")</f>
        <v>46169.465909090912</v>
      </c>
      <c r="D17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17" s="57" t="s">
        <v>106</v>
      </c>
      <c r="F17" s="23">
        <f>IFERROR(INT((_xlfn.XLOOKUP(A17,'Study Information'!D:D,'Study Information'!H:H)-SUMIFS($G:$G,$A:$A,A17,$G:$G,"&gt;0"))/(_xlfn.XLOOKUP(A17,'Study Information'!D:D,'Study Information'!I:I)))+IF(K17&lt;=MOD(_xlfn.XLOOKUP(A17,'Study Information'!D:D,'Study Information'!H:H)-SUMIFS($G:$G,$A:$A,A17,$G:$G,"&gt;0"),_xlfn.XLOOKUP(A17,'Study Information'!D:D,'Study Information'!I:I)),1,0),"")</f>
        <v>5</v>
      </c>
      <c r="G17" s="59"/>
      <c r="H17" s="18" t="str">
        <f>IF(tblSites[[#This Row],[Country]]="","",_xlfn.XLOOKUP(tblSites[[#This Row],[Country]],'Study Information'!$D:$D,'Study Information'!$E:$E))</f>
        <v>No</v>
      </c>
      <c r="I17" s="18" t="b">
        <f>IF(A17="","",IF(H17="Yes","",_xlfn.IFNA(IF(_xlfn.XLOOKUP(tblSites[[#This Row],[Country]],'Scenario Tool'!$B:$B,'Scenario Tool'!$A:$A)=0,"",_xlfn.XLOOKUP(tblSites[[#This Row],[Country]],'Scenario Tool'!$B:$B,'Scenario Tool'!$A:$A)),"Not Specified")))</f>
        <v>0</v>
      </c>
      <c r="J17" s="18" t="str">
        <f>IF(AND(tblSites[[#This Row],[Include?]]="YES",tblSites[[#This Row],[Scenario?]]="YES"),"Scenario and Include both Yes","")</f>
        <v/>
      </c>
      <c r="K17" s="18">
        <f>IF(tblSites[[#This Row],[Country]]="","",COUNTIF($A$2:A17,A17))</f>
        <v>2</v>
      </c>
      <c r="N17" s="18" t="str">
        <v>Spain</v>
      </c>
      <c r="Q17" s="19"/>
      <c r="R17" s="19"/>
      <c r="S17" s="19"/>
      <c r="T17" s="19"/>
      <c r="U17" s="21"/>
      <c r="V17" s="21"/>
      <c r="W17" s="21"/>
    </row>
    <row r="18" spans="1:23" x14ac:dyDescent="0.25">
      <c r="A18" s="57" t="str">
        <f t="shared" si="0"/>
        <v>Spain</v>
      </c>
      <c r="B18" s="57" t="str">
        <f>_xlfn.CONCAT(tblSites[[#This Row],[Country]],tblSites[[#This Row],[Site Amounts]])</f>
        <v>Spain3</v>
      </c>
      <c r="C18" s="58">
        <f>_xlfn.IFNA(INDEX('Study Information'!$O$1:$AH$24,MATCH(tblSites[[#This Row],[Country]],'Study Information'!$D:$D,0),MATCH(tblSites[[#This Row],[Site Amounts]],'Study Information'!$O$1:$AH$1,0)),"")</f>
        <v>46229.465909090912</v>
      </c>
      <c r="D18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18" s="57" t="s">
        <v>106</v>
      </c>
      <c r="F18" s="23">
        <f>IFERROR(INT((_xlfn.XLOOKUP(A18,'Study Information'!D:D,'Study Information'!H:H)-SUMIFS($G:$G,$A:$A,A18,$G:$G,"&gt;0"))/(_xlfn.XLOOKUP(A18,'Study Information'!D:D,'Study Information'!I:I)))+IF(K18&lt;=MOD(_xlfn.XLOOKUP(A18,'Study Information'!D:D,'Study Information'!H:H)-SUMIFS($G:$G,$A:$A,A18,$G:$G,"&gt;0"),_xlfn.XLOOKUP(A18,'Study Information'!D:D,'Study Information'!I:I)),1,0),"")</f>
        <v>5</v>
      </c>
      <c r="G18" s="59"/>
      <c r="H18" s="18" t="str">
        <f>IF(tblSites[[#This Row],[Country]]="","",_xlfn.XLOOKUP(tblSites[[#This Row],[Country]],'Study Information'!$D:$D,'Study Information'!$E:$E))</f>
        <v>No</v>
      </c>
      <c r="I18" s="18" t="b">
        <f>IF(A18="","",IF(H18="Yes","",_xlfn.IFNA(IF(_xlfn.XLOOKUP(tblSites[[#This Row],[Country]],'Scenario Tool'!$B:$B,'Scenario Tool'!$A:$A)=0,"",_xlfn.XLOOKUP(tblSites[[#This Row],[Country]],'Scenario Tool'!$B:$B,'Scenario Tool'!$A:$A)),"Not Specified")))</f>
        <v>0</v>
      </c>
      <c r="J18" s="18" t="str">
        <f>IF(AND(tblSites[[#This Row],[Include?]]="YES",tblSites[[#This Row],[Scenario?]]="YES"),"Scenario and Include both Yes","")</f>
        <v/>
      </c>
      <c r="K18" s="18">
        <f>IF(tblSites[[#This Row],[Country]]="","",COUNTIF($A$2:A18,A18))</f>
        <v>3</v>
      </c>
      <c r="N18" s="18" t="str">
        <v>Spain</v>
      </c>
      <c r="Q18" s="19"/>
      <c r="R18" s="19"/>
      <c r="S18" s="19"/>
      <c r="T18" s="19"/>
      <c r="U18" s="21"/>
      <c r="V18" s="21"/>
      <c r="W18" s="21"/>
    </row>
    <row r="19" spans="1:23" x14ac:dyDescent="0.25">
      <c r="A19" s="57" t="str">
        <f t="shared" si="0"/>
        <v>Spain</v>
      </c>
      <c r="B19" s="57" t="str">
        <f>_xlfn.CONCAT(tblSites[[#This Row],[Country]],tblSites[[#This Row],[Site Amounts]])</f>
        <v>Spain4</v>
      </c>
      <c r="C19" s="58">
        <f>_xlfn.IFNA(INDEX('Study Information'!$O$1:$AH$24,MATCH(tblSites[[#This Row],[Country]],'Study Information'!$D:$D,0),MATCH(tblSites[[#This Row],[Site Amounts]],'Study Information'!$O$1:$AH$1,0)),"")</f>
        <v>46289.465909090912</v>
      </c>
      <c r="D19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19" s="57" t="s">
        <v>106</v>
      </c>
      <c r="F19" s="23">
        <f>IFERROR(INT((_xlfn.XLOOKUP(A19,'Study Information'!D:D,'Study Information'!H:H)-SUMIFS($G:$G,$A:$A,A19,$G:$G,"&gt;0"))/(_xlfn.XLOOKUP(A19,'Study Information'!D:D,'Study Information'!I:I)))+IF(K19&lt;=MOD(_xlfn.XLOOKUP(A19,'Study Information'!D:D,'Study Information'!H:H)-SUMIFS($G:$G,$A:$A,A19,$G:$G,"&gt;0"),_xlfn.XLOOKUP(A19,'Study Information'!D:D,'Study Information'!I:I)),1,0),"")</f>
        <v>5</v>
      </c>
      <c r="G19" s="59"/>
      <c r="H19" s="18" t="str">
        <f>IF(tblSites[[#This Row],[Country]]="","",_xlfn.XLOOKUP(tblSites[[#This Row],[Country]],'Study Information'!$D:$D,'Study Information'!$E:$E))</f>
        <v>No</v>
      </c>
      <c r="I19" s="18" t="b">
        <f>IF(A19="","",IF(H19="Yes","",_xlfn.IFNA(IF(_xlfn.XLOOKUP(tblSites[[#This Row],[Country]],'Scenario Tool'!$B:$B,'Scenario Tool'!$A:$A)=0,"",_xlfn.XLOOKUP(tblSites[[#This Row],[Country]],'Scenario Tool'!$B:$B,'Scenario Tool'!$A:$A)),"Not Specified")))</f>
        <v>0</v>
      </c>
      <c r="J19" s="18" t="str">
        <f>IF(AND(tblSites[[#This Row],[Include?]]="YES",tblSites[[#This Row],[Scenario?]]="YES"),"Scenario and Include both Yes","")</f>
        <v/>
      </c>
      <c r="K19" s="18">
        <f>IF(tblSites[[#This Row],[Country]]="","",COUNTIF($A$2:A19,A19))</f>
        <v>4</v>
      </c>
      <c r="N19" s="18" t="str">
        <v>Spain</v>
      </c>
      <c r="Q19" s="19"/>
      <c r="R19" s="19"/>
      <c r="S19" s="19"/>
      <c r="T19" s="19"/>
      <c r="U19" s="21"/>
      <c r="V19" s="21"/>
      <c r="W19" s="21"/>
    </row>
    <row r="20" spans="1:23" x14ac:dyDescent="0.25">
      <c r="A20" s="57" t="str">
        <f t="shared" si="0"/>
        <v>Spain</v>
      </c>
      <c r="B20" s="57" t="str">
        <f>_xlfn.CONCAT(tblSites[[#This Row],[Country]],tblSites[[#This Row],[Site Amounts]])</f>
        <v>Spain5</v>
      </c>
      <c r="C20" s="58">
        <f>_xlfn.IFNA(INDEX('Study Information'!$O$1:$AH$24,MATCH(tblSites[[#This Row],[Country]],'Study Information'!$D:$D,0),MATCH(tblSites[[#This Row],[Site Amounts]],'Study Information'!$O$1:$AH$1,0)),"")</f>
        <v>46349.465909090912</v>
      </c>
      <c r="D20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0" s="57" t="s">
        <v>106</v>
      </c>
      <c r="F20" s="23">
        <f>IFERROR(INT((_xlfn.XLOOKUP(A20,'Study Information'!D:D,'Study Information'!H:H)-SUMIFS($G:$G,$A:$A,A20,$G:$G,"&gt;0"))/(_xlfn.XLOOKUP(A20,'Study Information'!D:D,'Study Information'!I:I)))+IF(K20&lt;=MOD(_xlfn.XLOOKUP(A20,'Study Information'!D:D,'Study Information'!H:H)-SUMIFS($G:$G,$A:$A,A20,$G:$G,"&gt;0"),_xlfn.XLOOKUP(A20,'Study Information'!D:D,'Study Information'!I:I)),1,0),"")</f>
        <v>5</v>
      </c>
      <c r="G20" s="59"/>
      <c r="H20" s="18" t="str">
        <f>IF(tblSites[[#This Row],[Country]]="","",_xlfn.XLOOKUP(tblSites[[#This Row],[Country]],'Study Information'!$D:$D,'Study Information'!$E:$E))</f>
        <v>No</v>
      </c>
      <c r="I20" s="18" t="b">
        <f>IF(A20="","",IF(H20="Yes","",_xlfn.IFNA(IF(_xlfn.XLOOKUP(tblSites[[#This Row],[Country]],'Scenario Tool'!$B:$B,'Scenario Tool'!$A:$A)=0,"",_xlfn.XLOOKUP(tblSites[[#This Row],[Country]],'Scenario Tool'!$B:$B,'Scenario Tool'!$A:$A)),"Not Specified")))</f>
        <v>0</v>
      </c>
      <c r="J20" s="18" t="str">
        <f>IF(AND(tblSites[[#This Row],[Include?]]="YES",tblSites[[#This Row],[Scenario?]]="YES"),"Scenario and Include both Yes","")</f>
        <v/>
      </c>
      <c r="K20" s="18">
        <f>IF(tblSites[[#This Row],[Country]]="","",COUNTIF($A$2:A20,A20))</f>
        <v>5</v>
      </c>
      <c r="N20" s="18" t="str">
        <v>Spain</v>
      </c>
      <c r="Q20" s="19"/>
      <c r="R20" s="19"/>
      <c r="S20" s="19"/>
      <c r="T20" s="19"/>
      <c r="U20" s="21"/>
      <c r="V20" s="21"/>
      <c r="W20" s="21"/>
    </row>
    <row r="21" spans="1:23" x14ac:dyDescent="0.25">
      <c r="A21" s="57" t="str">
        <f t="shared" si="0"/>
        <v>Spain</v>
      </c>
      <c r="B21" s="57" t="str">
        <f>_xlfn.CONCAT(tblSites[[#This Row],[Country]],tblSites[[#This Row],[Site Amounts]])</f>
        <v>Spain6</v>
      </c>
      <c r="C21" s="58">
        <f>_xlfn.IFNA(INDEX('Study Information'!$O$1:$AH$24,MATCH(tblSites[[#This Row],[Country]],'Study Information'!$D:$D,0),MATCH(tblSites[[#This Row],[Site Amounts]],'Study Information'!$O$1:$AH$1,0)),"")</f>
        <v>46409.465909090912</v>
      </c>
      <c r="D21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1" s="57" t="s">
        <v>106</v>
      </c>
      <c r="F21" s="23">
        <f>IFERROR(INT((_xlfn.XLOOKUP(A21,'Study Information'!D:D,'Study Information'!H:H)-SUMIFS($G:$G,$A:$A,A21,$G:$G,"&gt;0"))/(_xlfn.XLOOKUP(A21,'Study Information'!D:D,'Study Information'!I:I)))+IF(K21&lt;=MOD(_xlfn.XLOOKUP(A21,'Study Information'!D:D,'Study Information'!H:H)-SUMIFS($G:$G,$A:$A,A21,$G:$G,"&gt;0"),_xlfn.XLOOKUP(A21,'Study Information'!D:D,'Study Information'!I:I)),1,0),"")</f>
        <v>5</v>
      </c>
      <c r="G21" s="59"/>
      <c r="H21" s="18" t="str">
        <f>IF(tblSites[[#This Row],[Country]]="","",_xlfn.XLOOKUP(tblSites[[#This Row],[Country]],'Study Information'!$D:$D,'Study Information'!$E:$E))</f>
        <v>No</v>
      </c>
      <c r="I21" s="18" t="b">
        <f>IF(A21="","",IF(H21="Yes","",_xlfn.IFNA(IF(_xlfn.XLOOKUP(tblSites[[#This Row],[Country]],'Scenario Tool'!$B:$B,'Scenario Tool'!$A:$A)=0,"",_xlfn.XLOOKUP(tblSites[[#This Row],[Country]],'Scenario Tool'!$B:$B,'Scenario Tool'!$A:$A)),"Not Specified")))</f>
        <v>0</v>
      </c>
      <c r="J21" s="18" t="str">
        <f>IF(AND(tblSites[[#This Row],[Include?]]="YES",tblSites[[#This Row],[Scenario?]]="YES"),"Scenario and Include both Yes","")</f>
        <v/>
      </c>
      <c r="K21" s="18">
        <f>IF(tblSites[[#This Row],[Country]]="","",COUNTIF($A$2:A21,A21))</f>
        <v>6</v>
      </c>
      <c r="N21" s="18" t="str">
        <v>Spain</v>
      </c>
      <c r="Q21" s="19"/>
      <c r="R21" s="19"/>
      <c r="S21" s="19"/>
      <c r="T21" s="19"/>
      <c r="U21" s="21"/>
      <c r="V21" s="21"/>
      <c r="W21" s="21"/>
    </row>
    <row r="22" spans="1:23" x14ac:dyDescent="0.25">
      <c r="A22" s="57" t="str">
        <f t="shared" si="0"/>
        <v>Spain</v>
      </c>
      <c r="B22" s="57" t="str">
        <f>_xlfn.CONCAT(tblSites[[#This Row],[Country]],tblSites[[#This Row],[Site Amounts]])</f>
        <v>Spain7</v>
      </c>
      <c r="C22" s="58">
        <f>_xlfn.IFNA(INDEX('Study Information'!$O$1:$AH$24,MATCH(tblSites[[#This Row],[Country]],'Study Information'!$D:$D,0),MATCH(tblSites[[#This Row],[Site Amounts]],'Study Information'!$O$1:$AH$1,0)),"")</f>
        <v>46469.465909090912</v>
      </c>
      <c r="D22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2" s="57" t="s">
        <v>106</v>
      </c>
      <c r="F22" s="23">
        <f>IFERROR(INT((_xlfn.XLOOKUP(A22,'Study Information'!D:D,'Study Information'!H:H)-SUMIFS($G:$G,$A:$A,A22,$G:$G,"&gt;0"))/(_xlfn.XLOOKUP(A22,'Study Information'!D:D,'Study Information'!I:I)))+IF(K22&lt;=MOD(_xlfn.XLOOKUP(A22,'Study Information'!D:D,'Study Information'!H:H)-SUMIFS($G:$G,$A:$A,A22,$G:$G,"&gt;0"),_xlfn.XLOOKUP(A22,'Study Information'!D:D,'Study Information'!I:I)),1,0),"")</f>
        <v>5</v>
      </c>
      <c r="G22" s="59"/>
      <c r="H22" s="18" t="str">
        <f>IF(tblSites[[#This Row],[Country]]="","",_xlfn.XLOOKUP(tblSites[[#This Row],[Country]],'Study Information'!$D:$D,'Study Information'!$E:$E))</f>
        <v>No</v>
      </c>
      <c r="I22" s="18" t="b">
        <f>IF(A22="","",IF(H22="Yes","",_xlfn.IFNA(IF(_xlfn.XLOOKUP(tblSites[[#This Row],[Country]],'Scenario Tool'!$B:$B,'Scenario Tool'!$A:$A)=0,"",_xlfn.XLOOKUP(tblSites[[#This Row],[Country]],'Scenario Tool'!$B:$B,'Scenario Tool'!$A:$A)),"Not Specified")))</f>
        <v>0</v>
      </c>
      <c r="J22" s="18" t="str">
        <f>IF(AND(tblSites[[#This Row],[Include?]]="YES",tblSites[[#This Row],[Scenario?]]="YES"),"Scenario and Include both Yes","")</f>
        <v/>
      </c>
      <c r="K22" s="18">
        <f>IF(tblSites[[#This Row],[Country]]="","",COUNTIF($A$2:A22,A22))</f>
        <v>7</v>
      </c>
      <c r="N22" s="18" t="str">
        <v>Spain</v>
      </c>
      <c r="Q22" s="19"/>
      <c r="R22" s="19"/>
      <c r="S22" s="19"/>
      <c r="T22" s="19"/>
      <c r="U22" s="21"/>
      <c r="V22" s="21"/>
      <c r="W22" s="21"/>
    </row>
    <row r="23" spans="1:23" x14ac:dyDescent="0.25">
      <c r="A23" s="57" t="str">
        <f t="shared" si="0"/>
        <v>Spain</v>
      </c>
      <c r="B23" s="57" t="str">
        <f>_xlfn.CONCAT(tblSites[[#This Row],[Country]],tblSites[[#This Row],[Site Amounts]])</f>
        <v>Spain8</v>
      </c>
      <c r="C23" s="58">
        <f>_xlfn.IFNA(INDEX('Study Information'!$O$1:$AH$24,MATCH(tblSites[[#This Row],[Country]],'Study Information'!$D:$D,0),MATCH(tblSites[[#This Row],[Site Amounts]],'Study Information'!$O$1:$AH$1,0)),"")</f>
        <v>46529.465909090912</v>
      </c>
      <c r="D23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3" s="57" t="s">
        <v>106</v>
      </c>
      <c r="F23" s="23">
        <f>IFERROR(INT((_xlfn.XLOOKUP(A23,'Study Information'!D:D,'Study Information'!H:H)-SUMIFS($G:$G,$A:$A,A23,$G:$G,"&gt;0"))/(_xlfn.XLOOKUP(A23,'Study Information'!D:D,'Study Information'!I:I)))+IF(K23&lt;=MOD(_xlfn.XLOOKUP(A23,'Study Information'!D:D,'Study Information'!H:H)-SUMIFS($G:$G,$A:$A,A23,$G:$G,"&gt;0"),_xlfn.XLOOKUP(A23,'Study Information'!D:D,'Study Information'!I:I)),1,0),"")</f>
        <v>5</v>
      </c>
      <c r="G23" s="59"/>
      <c r="H23" s="18" t="str">
        <f>IF(tblSites[[#This Row],[Country]]="","",_xlfn.XLOOKUP(tblSites[[#This Row],[Country]],'Study Information'!$D:$D,'Study Information'!$E:$E))</f>
        <v>No</v>
      </c>
      <c r="I23" s="18" t="b">
        <f>IF(A23="","",IF(H23="Yes","",_xlfn.IFNA(IF(_xlfn.XLOOKUP(tblSites[[#This Row],[Country]],'Scenario Tool'!$B:$B,'Scenario Tool'!$A:$A)=0,"",_xlfn.XLOOKUP(tblSites[[#This Row],[Country]],'Scenario Tool'!$B:$B,'Scenario Tool'!$A:$A)),"Not Specified")))</f>
        <v>0</v>
      </c>
      <c r="J23" s="18" t="str">
        <f>IF(AND(tblSites[[#This Row],[Include?]]="YES",tblSites[[#This Row],[Scenario?]]="YES"),"Scenario and Include both Yes","")</f>
        <v/>
      </c>
      <c r="K23" s="18">
        <f>IF(tblSites[[#This Row],[Country]]="","",COUNTIF($A$2:A23,A23))</f>
        <v>8</v>
      </c>
      <c r="N23" s="18" t="str">
        <v>Spain</v>
      </c>
      <c r="Q23" s="19"/>
      <c r="R23" s="19"/>
      <c r="S23" s="19"/>
      <c r="T23" s="19"/>
      <c r="U23" s="21"/>
      <c r="V23" s="21"/>
      <c r="W23" s="21"/>
    </row>
    <row r="24" spans="1:23" x14ac:dyDescent="0.25">
      <c r="A24" s="57" t="str">
        <f t="shared" si="0"/>
        <v>Spain</v>
      </c>
      <c r="B24" s="57" t="str">
        <f>_xlfn.CONCAT(tblSites[[#This Row],[Country]],tblSites[[#This Row],[Site Amounts]])</f>
        <v>Spain9</v>
      </c>
      <c r="C24" s="58">
        <f>_xlfn.IFNA(INDEX('Study Information'!$O$1:$AH$24,MATCH(tblSites[[#This Row],[Country]],'Study Information'!$D:$D,0),MATCH(tblSites[[#This Row],[Site Amounts]],'Study Information'!$O$1:$AH$1,0)),"")</f>
        <v>46589.465909090912</v>
      </c>
      <c r="D24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4" s="57" t="s">
        <v>106</v>
      </c>
      <c r="F24" s="23">
        <f>IFERROR(INT((_xlfn.XLOOKUP(A24,'Study Information'!D:D,'Study Information'!H:H)-SUMIFS($G:$G,$A:$A,A24,$G:$G,"&gt;0"))/(_xlfn.XLOOKUP(A24,'Study Information'!D:D,'Study Information'!I:I)))+IF(K24&lt;=MOD(_xlfn.XLOOKUP(A24,'Study Information'!D:D,'Study Information'!H:H)-SUMIFS($G:$G,$A:$A,A24,$G:$G,"&gt;0"),_xlfn.XLOOKUP(A24,'Study Information'!D:D,'Study Information'!I:I)),1,0),"")</f>
        <v>4</v>
      </c>
      <c r="G24" s="59"/>
      <c r="H24" s="18" t="str">
        <f>IF(tblSites[[#This Row],[Country]]="","",_xlfn.XLOOKUP(tblSites[[#This Row],[Country]],'Study Information'!$D:$D,'Study Information'!$E:$E))</f>
        <v>No</v>
      </c>
      <c r="I24" s="18" t="b">
        <f>IF(A24="","",IF(H24="Yes","",_xlfn.IFNA(IF(_xlfn.XLOOKUP(tblSites[[#This Row],[Country]],'Scenario Tool'!$B:$B,'Scenario Tool'!$A:$A)=0,"",_xlfn.XLOOKUP(tblSites[[#This Row],[Country]],'Scenario Tool'!$B:$B,'Scenario Tool'!$A:$A)),"Not Specified")))</f>
        <v>0</v>
      </c>
      <c r="J24" s="18" t="str">
        <f>IF(AND(tblSites[[#This Row],[Include?]]="YES",tblSites[[#This Row],[Scenario?]]="YES"),"Scenario and Include both Yes","")</f>
        <v/>
      </c>
      <c r="K24" s="18">
        <f>IF(tblSites[[#This Row],[Country]]="","",COUNTIF($A$2:A24,A24))</f>
        <v>9</v>
      </c>
      <c r="N24" s="18" t="str">
        <v>Spain</v>
      </c>
      <c r="Q24" s="19"/>
      <c r="R24" s="19"/>
      <c r="S24" s="19"/>
      <c r="T24" s="19"/>
      <c r="U24" s="21"/>
      <c r="V24" s="21"/>
      <c r="W24" s="21"/>
    </row>
    <row r="25" spans="1:23" x14ac:dyDescent="0.25">
      <c r="A25" s="57" t="str">
        <f t="shared" si="0"/>
        <v>Spain</v>
      </c>
      <c r="B25" s="57" t="str">
        <f>_xlfn.CONCAT(tblSites[[#This Row],[Country]],tblSites[[#This Row],[Site Amounts]])</f>
        <v>Spain10</v>
      </c>
      <c r="C25" s="58">
        <f>_xlfn.IFNA(INDEX('Study Information'!$O$1:$AH$24,MATCH(tblSites[[#This Row],[Country]],'Study Information'!$D:$D,0),MATCH(tblSites[[#This Row],[Site Amounts]],'Study Information'!$O$1:$AH$1,0)),"")</f>
        <v>46649.465909090912</v>
      </c>
      <c r="D25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5" s="57" t="s">
        <v>106</v>
      </c>
      <c r="F25" s="23">
        <f>IFERROR(INT((_xlfn.XLOOKUP(A25,'Study Information'!D:D,'Study Information'!H:H)-SUMIFS($G:$G,$A:$A,A25,$G:$G,"&gt;0"))/(_xlfn.XLOOKUP(A25,'Study Information'!D:D,'Study Information'!I:I)))+IF(K25&lt;=MOD(_xlfn.XLOOKUP(A25,'Study Information'!D:D,'Study Information'!H:H)-SUMIFS($G:$G,$A:$A,A25,$G:$G,"&gt;0"),_xlfn.XLOOKUP(A25,'Study Information'!D:D,'Study Information'!I:I)),1,0),"")</f>
        <v>4</v>
      </c>
      <c r="G25" s="59"/>
      <c r="H25" s="18" t="str">
        <f>IF(tblSites[[#This Row],[Country]]="","",_xlfn.XLOOKUP(tblSites[[#This Row],[Country]],'Study Information'!$D:$D,'Study Information'!$E:$E))</f>
        <v>No</v>
      </c>
      <c r="I25" s="18" t="b">
        <f>IF(A25="","",IF(H25="Yes","",_xlfn.IFNA(IF(_xlfn.XLOOKUP(tblSites[[#This Row],[Country]],'Scenario Tool'!$B:$B,'Scenario Tool'!$A:$A)=0,"",_xlfn.XLOOKUP(tblSites[[#This Row],[Country]],'Scenario Tool'!$B:$B,'Scenario Tool'!$A:$A)),"Not Specified")))</f>
        <v>0</v>
      </c>
      <c r="J25" s="18" t="str">
        <f>IF(AND(tblSites[[#This Row],[Include?]]="YES",tblSites[[#This Row],[Scenario?]]="YES"),"Scenario and Include both Yes","")</f>
        <v/>
      </c>
      <c r="K25" s="18">
        <f>IF(tblSites[[#This Row],[Country]]="","",COUNTIF($A$2:A25,A25))</f>
        <v>10</v>
      </c>
      <c r="N25" s="18" t="str">
        <v>Spain</v>
      </c>
      <c r="Q25" s="19"/>
      <c r="R25" s="19"/>
      <c r="S25" s="19"/>
      <c r="T25" s="19"/>
      <c r="U25" s="21"/>
      <c r="V25" s="21"/>
      <c r="W25" s="21"/>
    </row>
    <row r="26" spans="1:23" x14ac:dyDescent="0.25">
      <c r="A26" s="57" t="str">
        <f t="shared" si="0"/>
        <v>Spain</v>
      </c>
      <c r="B26" s="57" t="str">
        <f>_xlfn.CONCAT(tblSites[[#This Row],[Country]],tblSites[[#This Row],[Site Amounts]])</f>
        <v>Spain11</v>
      </c>
      <c r="C26" s="58">
        <f>_xlfn.IFNA(INDEX('Study Information'!$O$1:$AH$24,MATCH(tblSites[[#This Row],[Country]],'Study Information'!$D:$D,0),MATCH(tblSites[[#This Row],[Site Amounts]],'Study Information'!$O$1:$AH$1,0)),"")</f>
        <v>46709.465909090912</v>
      </c>
      <c r="D26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6" s="57" t="s">
        <v>106</v>
      </c>
      <c r="F26" s="23">
        <f>IFERROR(INT((_xlfn.XLOOKUP(A26,'Study Information'!D:D,'Study Information'!H:H)-SUMIFS($G:$G,$A:$A,A26,$G:$G,"&gt;0"))/(_xlfn.XLOOKUP(A26,'Study Information'!D:D,'Study Information'!I:I)))+IF(K26&lt;=MOD(_xlfn.XLOOKUP(A26,'Study Information'!D:D,'Study Information'!H:H)-SUMIFS($G:$G,$A:$A,A26,$G:$G,"&gt;0"),_xlfn.XLOOKUP(A26,'Study Information'!D:D,'Study Information'!I:I)),1,0),"")</f>
        <v>4</v>
      </c>
      <c r="G26" s="59"/>
      <c r="H26" s="18" t="str">
        <f>IF(tblSites[[#This Row],[Country]]="","",_xlfn.XLOOKUP(tblSites[[#This Row],[Country]],'Study Information'!$D:$D,'Study Information'!$E:$E))</f>
        <v>No</v>
      </c>
      <c r="I26" s="18" t="b">
        <f>IF(A26="","",IF(H26="Yes","",_xlfn.IFNA(IF(_xlfn.XLOOKUP(tblSites[[#This Row],[Country]],'Scenario Tool'!$B:$B,'Scenario Tool'!$A:$A)=0,"",_xlfn.XLOOKUP(tblSites[[#This Row],[Country]],'Scenario Tool'!$B:$B,'Scenario Tool'!$A:$A)),"Not Specified")))</f>
        <v>0</v>
      </c>
      <c r="J26" s="18" t="str">
        <f>IF(AND(tblSites[[#This Row],[Include?]]="YES",tblSites[[#This Row],[Scenario?]]="YES"),"Scenario and Include both Yes","")</f>
        <v/>
      </c>
      <c r="K26" s="18">
        <f>IF(tblSites[[#This Row],[Country]]="","",COUNTIF($A$2:A26,A26))</f>
        <v>11</v>
      </c>
      <c r="N26" s="18" t="str">
        <v>Spain</v>
      </c>
      <c r="Q26" s="19"/>
      <c r="R26" s="19"/>
      <c r="S26" s="19"/>
      <c r="T26" s="19"/>
      <c r="U26" s="21"/>
      <c r="V26" s="21"/>
      <c r="W26" s="21"/>
    </row>
    <row r="27" spans="1:23" x14ac:dyDescent="0.25">
      <c r="A27" s="57" t="str">
        <f t="shared" si="0"/>
        <v>Spain</v>
      </c>
      <c r="B27" s="57" t="str">
        <f>_xlfn.CONCAT(tblSites[[#This Row],[Country]],tblSites[[#This Row],[Site Amounts]])</f>
        <v>Spain12</v>
      </c>
      <c r="C27" s="58">
        <f>_xlfn.IFNA(INDEX('Study Information'!$O$1:$AH$24,MATCH(tblSites[[#This Row],[Country]],'Study Information'!$D:$D,0),MATCH(tblSites[[#This Row],[Site Amounts]],'Study Information'!$O$1:$AH$1,0)),"")</f>
        <v>46769.465909090912</v>
      </c>
      <c r="D27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7" s="57" t="s">
        <v>106</v>
      </c>
      <c r="F27" s="23">
        <f>IFERROR(INT((_xlfn.XLOOKUP(A27,'Study Information'!D:D,'Study Information'!H:H)-SUMIFS($G:$G,$A:$A,A27,$G:$G,"&gt;0"))/(_xlfn.XLOOKUP(A27,'Study Information'!D:D,'Study Information'!I:I)))+IF(K27&lt;=MOD(_xlfn.XLOOKUP(A27,'Study Information'!D:D,'Study Information'!H:H)-SUMIFS($G:$G,$A:$A,A27,$G:$G,"&gt;0"),_xlfn.XLOOKUP(A27,'Study Information'!D:D,'Study Information'!I:I)),1,0),"")</f>
        <v>4</v>
      </c>
      <c r="G27" s="59"/>
      <c r="H27" s="18" t="str">
        <f>IF(tblSites[[#This Row],[Country]]="","",_xlfn.XLOOKUP(tblSites[[#This Row],[Country]],'Study Information'!$D:$D,'Study Information'!$E:$E))</f>
        <v>No</v>
      </c>
      <c r="I27" s="18" t="b">
        <f>IF(A27="","",IF(H27="Yes","",_xlfn.IFNA(IF(_xlfn.XLOOKUP(tblSites[[#This Row],[Country]],'Scenario Tool'!$B:$B,'Scenario Tool'!$A:$A)=0,"",_xlfn.XLOOKUP(tblSites[[#This Row],[Country]],'Scenario Tool'!$B:$B,'Scenario Tool'!$A:$A)),"Not Specified")))</f>
        <v>0</v>
      </c>
      <c r="J27" s="18" t="str">
        <f>IF(AND(tblSites[[#This Row],[Include?]]="YES",tblSites[[#This Row],[Scenario?]]="YES"),"Scenario and Include both Yes","")</f>
        <v/>
      </c>
      <c r="K27" s="18">
        <f>IF(tblSites[[#This Row],[Country]]="","",COUNTIF($A$2:A27,A27))</f>
        <v>12</v>
      </c>
      <c r="N27" s="18" t="str">
        <v>Spain</v>
      </c>
      <c r="Q27" s="19"/>
      <c r="R27" s="19"/>
      <c r="S27" s="19"/>
      <c r="T27" s="19"/>
      <c r="U27" s="21"/>
      <c r="V27" s="21"/>
      <c r="W27" s="21"/>
    </row>
    <row r="28" spans="1:23" x14ac:dyDescent="0.25">
      <c r="A28" s="57" t="str">
        <f t="shared" si="0"/>
        <v>Spain</v>
      </c>
      <c r="B28" s="57" t="str">
        <f>_xlfn.CONCAT(tblSites[[#This Row],[Country]],tblSites[[#This Row],[Site Amounts]])</f>
        <v>Spain13</v>
      </c>
      <c r="C28" s="58">
        <f>_xlfn.IFNA(INDEX('Study Information'!$O$1:$AH$24,MATCH(tblSites[[#This Row],[Country]],'Study Information'!$D:$D,0),MATCH(tblSites[[#This Row],[Site Amounts]],'Study Information'!$O$1:$AH$1,0)),"")</f>
        <v>46829.465909090912</v>
      </c>
      <c r="D28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8" s="57" t="s">
        <v>106</v>
      </c>
      <c r="F28" s="23">
        <f>IFERROR(INT((_xlfn.XLOOKUP(A28,'Study Information'!D:D,'Study Information'!H:H)-SUMIFS($G:$G,$A:$A,A28,$G:$G,"&gt;0"))/(_xlfn.XLOOKUP(A28,'Study Information'!D:D,'Study Information'!I:I)))+IF(K28&lt;=MOD(_xlfn.XLOOKUP(A28,'Study Information'!D:D,'Study Information'!H:H)-SUMIFS($G:$G,$A:$A,A28,$G:$G,"&gt;0"),_xlfn.XLOOKUP(A28,'Study Information'!D:D,'Study Information'!I:I)),1,0),"")</f>
        <v>4</v>
      </c>
      <c r="G28" s="59"/>
      <c r="H28" s="18" t="str">
        <f>IF(tblSites[[#This Row],[Country]]="","",_xlfn.XLOOKUP(tblSites[[#This Row],[Country]],'Study Information'!$D:$D,'Study Information'!$E:$E))</f>
        <v>No</v>
      </c>
      <c r="I28" s="18" t="b">
        <f>IF(A28="","",IF(H28="Yes","",_xlfn.IFNA(IF(_xlfn.XLOOKUP(tblSites[[#This Row],[Country]],'Scenario Tool'!$B:$B,'Scenario Tool'!$A:$A)=0,"",_xlfn.XLOOKUP(tblSites[[#This Row],[Country]],'Scenario Tool'!$B:$B,'Scenario Tool'!$A:$A)),"Not Specified")))</f>
        <v>0</v>
      </c>
      <c r="J28" s="18" t="str">
        <f>IF(AND(tblSites[[#This Row],[Include?]]="YES",tblSites[[#This Row],[Scenario?]]="YES"),"Scenario and Include both Yes","")</f>
        <v/>
      </c>
      <c r="K28" s="18">
        <f>IF(tblSites[[#This Row],[Country]]="","",COUNTIF($A$2:A28,A28))</f>
        <v>13</v>
      </c>
      <c r="N28" s="18" t="str">
        <v>Spain</v>
      </c>
      <c r="Q28" s="19"/>
      <c r="R28" s="19"/>
      <c r="S28" s="19"/>
      <c r="T28" s="19"/>
      <c r="U28" s="21"/>
      <c r="V28" s="21"/>
      <c r="W28" s="21"/>
    </row>
    <row r="29" spans="1:23" x14ac:dyDescent="0.25">
      <c r="A29" s="57" t="str">
        <f t="shared" si="0"/>
        <v>Spain</v>
      </c>
      <c r="B29" s="57" t="str">
        <f>_xlfn.CONCAT(tblSites[[#This Row],[Country]],tblSites[[#This Row],[Site Amounts]])</f>
        <v>Spain14</v>
      </c>
      <c r="C29" s="58">
        <f>_xlfn.IFNA(INDEX('Study Information'!$O$1:$AH$24,MATCH(tblSites[[#This Row],[Country]],'Study Information'!$D:$D,0),MATCH(tblSites[[#This Row],[Site Amounts]],'Study Information'!$O$1:$AH$1,0)),"")</f>
        <v>46889.465909090912</v>
      </c>
      <c r="D29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29" s="57" t="s">
        <v>106</v>
      </c>
      <c r="F29" s="23">
        <f>IFERROR(INT((_xlfn.XLOOKUP(A29,'Study Information'!D:D,'Study Information'!H:H)-SUMIFS($G:$G,$A:$A,A29,$G:$G,"&gt;0"))/(_xlfn.XLOOKUP(A29,'Study Information'!D:D,'Study Information'!I:I)))+IF(K29&lt;=MOD(_xlfn.XLOOKUP(A29,'Study Information'!D:D,'Study Information'!H:H)-SUMIFS($G:$G,$A:$A,A29,$G:$G,"&gt;0"),_xlfn.XLOOKUP(A29,'Study Information'!D:D,'Study Information'!I:I)),1,0),"")</f>
        <v>4</v>
      </c>
      <c r="G29" s="59"/>
      <c r="H29" s="18" t="str">
        <f>IF(tblSites[[#This Row],[Country]]="","",_xlfn.XLOOKUP(tblSites[[#This Row],[Country]],'Study Information'!$D:$D,'Study Information'!$E:$E))</f>
        <v>No</v>
      </c>
      <c r="I29" s="18" t="b">
        <f>IF(A29="","",IF(H29="Yes","",_xlfn.IFNA(IF(_xlfn.XLOOKUP(tblSites[[#This Row],[Country]],'Scenario Tool'!$B:$B,'Scenario Tool'!$A:$A)=0,"",_xlfn.XLOOKUP(tblSites[[#This Row],[Country]],'Scenario Tool'!$B:$B,'Scenario Tool'!$A:$A)),"Not Specified")))</f>
        <v>0</v>
      </c>
      <c r="J29" s="18" t="str">
        <f>IF(AND(tblSites[[#This Row],[Include?]]="YES",tblSites[[#This Row],[Scenario?]]="YES"),"Scenario and Include both Yes","")</f>
        <v/>
      </c>
      <c r="K29" s="18">
        <f>IF(tblSites[[#This Row],[Country]]="","",COUNTIF($A$2:A29,A29))</f>
        <v>14</v>
      </c>
      <c r="N29" s="18" t="str">
        <v>Spain</v>
      </c>
      <c r="Q29" s="19"/>
      <c r="R29" s="19"/>
      <c r="S29" s="19"/>
      <c r="T29" s="19"/>
      <c r="U29" s="21"/>
      <c r="V29" s="21"/>
      <c r="W29" s="21"/>
    </row>
    <row r="30" spans="1:23" x14ac:dyDescent="0.25">
      <c r="A30" s="57" t="str">
        <f t="shared" si="0"/>
        <v>Spain</v>
      </c>
      <c r="B30" s="57" t="str">
        <f>_xlfn.CONCAT(tblSites[[#This Row],[Country]],tblSites[[#This Row],[Site Amounts]])</f>
        <v>Spain15</v>
      </c>
      <c r="C30" s="58">
        <f>_xlfn.IFNA(INDEX('Study Information'!$O$1:$AH$24,MATCH(tblSites[[#This Row],[Country]],'Study Information'!$D:$D,0),MATCH(tblSites[[#This Row],[Site Amounts]],'Study Information'!$O$1:$AH$1,0)),"")</f>
        <v>46949.465909090912</v>
      </c>
      <c r="D30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30" s="57" t="s">
        <v>106</v>
      </c>
      <c r="F30" s="23">
        <f>IFERROR(INT((_xlfn.XLOOKUP(A30,'Study Information'!D:D,'Study Information'!H:H)-SUMIFS($G:$G,$A:$A,A30,$G:$G,"&gt;0"))/(_xlfn.XLOOKUP(A30,'Study Information'!D:D,'Study Information'!I:I)))+IF(K30&lt;=MOD(_xlfn.XLOOKUP(A30,'Study Information'!D:D,'Study Information'!H:H)-SUMIFS($G:$G,$A:$A,A30,$G:$G,"&gt;0"),_xlfn.XLOOKUP(A30,'Study Information'!D:D,'Study Information'!I:I)),1,0),"")</f>
        <v>4</v>
      </c>
      <c r="G30" s="59"/>
      <c r="H30" s="18" t="str">
        <f>IF(tblSites[[#This Row],[Country]]="","",_xlfn.XLOOKUP(tblSites[[#This Row],[Country]],'Study Information'!$D:$D,'Study Information'!$E:$E))</f>
        <v>No</v>
      </c>
      <c r="I30" s="18" t="b">
        <f>IF(A30="","",IF(H30="Yes","",_xlfn.IFNA(IF(_xlfn.XLOOKUP(tblSites[[#This Row],[Country]],'Scenario Tool'!$B:$B,'Scenario Tool'!$A:$A)=0,"",_xlfn.XLOOKUP(tblSites[[#This Row],[Country]],'Scenario Tool'!$B:$B,'Scenario Tool'!$A:$A)),"Not Specified")))</f>
        <v>0</v>
      </c>
      <c r="J30" s="18" t="str">
        <f>IF(AND(tblSites[[#This Row],[Include?]]="YES",tblSites[[#This Row],[Scenario?]]="YES"),"Scenario and Include both Yes","")</f>
        <v/>
      </c>
      <c r="K30" s="18">
        <f>IF(tblSites[[#This Row],[Country]]="","",COUNTIF($A$2:A30,A30))</f>
        <v>15</v>
      </c>
      <c r="N30" s="18" t="str">
        <v>Spain</v>
      </c>
      <c r="Q30" s="19"/>
      <c r="R30" s="19"/>
      <c r="S30" s="19"/>
      <c r="T30" s="19"/>
      <c r="U30" s="21"/>
      <c r="V30" s="21"/>
      <c r="W30" s="21"/>
    </row>
    <row r="31" spans="1:23" x14ac:dyDescent="0.25">
      <c r="A31" s="57" t="str">
        <f t="shared" si="0"/>
        <v>Spain</v>
      </c>
      <c r="B31" s="57" t="str">
        <f>_xlfn.CONCAT(tblSites[[#This Row],[Country]],tblSites[[#This Row],[Site Amounts]])</f>
        <v>Spain16</v>
      </c>
      <c r="C31" s="58">
        <f>_xlfn.IFNA(INDEX('Study Information'!$O$1:$AH$24,MATCH(tblSites[[#This Row],[Country]],'Study Information'!$D:$D,0),MATCH(tblSites[[#This Row],[Site Amounts]],'Study Information'!$O$1:$AH$1,0)),"")</f>
        <v>47009.465909090912</v>
      </c>
      <c r="D31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0.3</v>
      </c>
      <c r="E31" s="57" t="s">
        <v>106</v>
      </c>
      <c r="F31" s="23">
        <f>IFERROR(INT((_xlfn.XLOOKUP(A31,'Study Information'!D:D,'Study Information'!H:H)-SUMIFS($G:$G,$A:$A,A31,$G:$G,"&gt;0"))/(_xlfn.XLOOKUP(A31,'Study Information'!D:D,'Study Information'!I:I)))+IF(K31&lt;=MOD(_xlfn.XLOOKUP(A31,'Study Information'!D:D,'Study Information'!H:H)-SUMIFS($G:$G,$A:$A,A31,$G:$G,"&gt;0"),_xlfn.XLOOKUP(A31,'Study Information'!D:D,'Study Information'!I:I)),1,0),"")</f>
        <v>4</v>
      </c>
      <c r="G31" s="59"/>
      <c r="H31" s="18" t="str">
        <f>IF(tblSites[[#This Row],[Country]]="","",_xlfn.XLOOKUP(tblSites[[#This Row],[Country]],'Study Information'!$D:$D,'Study Information'!$E:$E))</f>
        <v>No</v>
      </c>
      <c r="I31" s="18" t="b">
        <f>IF(A31="","",IF(H31="Yes","",_xlfn.IFNA(IF(_xlfn.XLOOKUP(tblSites[[#This Row],[Country]],'Scenario Tool'!$B:$B,'Scenario Tool'!$A:$A)=0,"",_xlfn.XLOOKUP(tblSites[[#This Row],[Country]],'Scenario Tool'!$B:$B,'Scenario Tool'!$A:$A)),"Not Specified")))</f>
        <v>0</v>
      </c>
      <c r="J31" s="18" t="str">
        <f>IF(AND(tblSites[[#This Row],[Include?]]="YES",tblSites[[#This Row],[Scenario?]]="YES"),"Scenario and Include both Yes","")</f>
        <v/>
      </c>
      <c r="K31" s="18">
        <f>IF(tblSites[[#This Row],[Country]]="","",COUNTIF($A$2:A31,A31))</f>
        <v>16</v>
      </c>
      <c r="N31" s="18" t="str">
        <v>Spain</v>
      </c>
      <c r="Q31" s="19"/>
      <c r="R31" s="19"/>
      <c r="S31" s="19"/>
      <c r="T31" s="19"/>
      <c r="U31" s="21"/>
      <c r="V31" s="21"/>
      <c r="W31" s="21"/>
    </row>
    <row r="32" spans="1:23" x14ac:dyDescent="0.25">
      <c r="A32" s="57" t="str">
        <f t="shared" si="0"/>
        <v>France</v>
      </c>
      <c r="B32" s="57" t="str">
        <f>_xlfn.CONCAT(tblSites[[#This Row],[Country]],tblSites[[#This Row],[Site Amounts]])</f>
        <v>France1</v>
      </c>
      <c r="C32" s="58">
        <f>_xlfn.IFNA(INDEX('Study Information'!$O$1:$AH$24,MATCH(tblSites[[#This Row],[Country]],'Study Information'!$D:$D,0),MATCH(tblSites[[#This Row],[Site Amounts]],'Study Information'!$O$1:$AH$1,0)),"")</f>
        <v>46114.455357142855</v>
      </c>
      <c r="D32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0.05</v>
      </c>
      <c r="E32" s="57" t="s">
        <v>106</v>
      </c>
      <c r="F32" s="23">
        <f>IFERROR(INT((_xlfn.XLOOKUP(A32,'Study Information'!D:D,'Study Information'!H:H)-SUMIFS($G:$G,$A:$A,A32,$G:$G,"&gt;0"))/(_xlfn.XLOOKUP(A32,'Study Information'!D:D,'Study Information'!I:I)))+IF(K32&lt;=MOD(_xlfn.XLOOKUP(A32,'Study Information'!D:D,'Study Information'!H:H)-SUMIFS($G:$G,$A:$A,A32,$G:$G,"&gt;0"),_xlfn.XLOOKUP(A32,'Study Information'!D:D,'Study Information'!I:I)),1,0),"")</f>
        <v>53</v>
      </c>
      <c r="G32" s="59"/>
      <c r="H32" s="18" t="str">
        <f>IF(tblSites[[#This Row],[Country]]="","",_xlfn.XLOOKUP(tblSites[[#This Row],[Country]],'Study Information'!$D:$D,'Study Information'!$E:$E))</f>
        <v>No</v>
      </c>
      <c r="I32" s="18" t="b">
        <f>IF(A32="","",IF(H32="Yes","",_xlfn.IFNA(IF(_xlfn.XLOOKUP(tblSites[[#This Row],[Country]],'Scenario Tool'!$B:$B,'Scenario Tool'!$A:$A)=0,"",_xlfn.XLOOKUP(tblSites[[#This Row],[Country]],'Scenario Tool'!$B:$B,'Scenario Tool'!$A:$A)),"Not Specified")))</f>
        <v>1</v>
      </c>
      <c r="J32" s="18" t="str">
        <f>IF(AND(tblSites[[#This Row],[Include?]]="YES",tblSites[[#This Row],[Scenario?]]="YES"),"Scenario and Include both Yes","")</f>
        <v/>
      </c>
      <c r="K32" s="18">
        <f>IF(tblSites[[#This Row],[Country]]="","",COUNTIF($A$2:A32,A32))</f>
        <v>1</v>
      </c>
      <c r="N32" s="18" t="str">
        <v>France</v>
      </c>
      <c r="Q32" s="19"/>
      <c r="R32" s="19"/>
      <c r="S32" s="19"/>
      <c r="T32" s="19"/>
      <c r="U32" s="21"/>
      <c r="V32" s="21"/>
      <c r="W32" s="21"/>
    </row>
    <row r="33" spans="1:23" x14ac:dyDescent="0.25">
      <c r="A33" s="57" t="str">
        <f t="shared" si="0"/>
        <v>Italy</v>
      </c>
      <c r="B33" s="57" t="str">
        <f>_xlfn.CONCAT(tblSites[[#This Row],[Country]],tblSites[[#This Row],[Site Amounts]])</f>
        <v>Italy1</v>
      </c>
      <c r="C33" s="58">
        <f>_xlfn.IFNA(INDEX('Study Information'!$O$1:$AH$24,MATCH(tblSites[[#This Row],[Country]],'Study Information'!$D:$D,0),MATCH(tblSites[[#This Row],[Site Amounts]],'Study Information'!$O$1:$AH$1,0)),"")</f>
        <v>46137.769230769234</v>
      </c>
      <c r="D33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</v>
      </c>
      <c r="E33" s="57" t="s">
        <v>106</v>
      </c>
      <c r="F33" s="23">
        <f>IFERROR(INT((_xlfn.XLOOKUP(A33,'Study Information'!D:D,'Study Information'!H:H)-SUMIFS($G:$G,$A:$A,A33,$G:$G,"&gt;0"))/(_xlfn.XLOOKUP(A33,'Study Information'!D:D,'Study Information'!I:I)))+IF(K33&lt;=MOD(_xlfn.XLOOKUP(A33,'Study Information'!D:D,'Study Information'!H:H)-SUMIFS($G:$G,$A:$A,A33,$G:$G,"&gt;0"),_xlfn.XLOOKUP(A33,'Study Information'!D:D,'Study Information'!I:I)),1,0),"")</f>
        <v>6</v>
      </c>
      <c r="G33" s="59"/>
      <c r="H33" s="18" t="str">
        <f>IF(tblSites[[#This Row],[Country]]="","",_xlfn.XLOOKUP(tblSites[[#This Row],[Country]],'Study Information'!$D:$D,'Study Information'!$E:$E))</f>
        <v>No</v>
      </c>
      <c r="I33" s="18" t="b">
        <f>IF(A33="","",IF(H33="Yes","",_xlfn.IFNA(IF(_xlfn.XLOOKUP(tblSites[[#This Row],[Country]],'Scenario Tool'!$B:$B,'Scenario Tool'!$A:$A)=0,"A",_xlfn.XLOOKUP(tblSites[[#This Row],[Country]],'Scenario Tool'!$B:$B,'Scenario Tool'!$A:$A)),"Not Specified")))</f>
        <v>1</v>
      </c>
      <c r="J33" s="18" t="str">
        <f>IF(AND(tblSites[[#This Row],[Include?]]="YES",tblSites[[#This Row],[Scenario?]]="YES"),"Scenario and Include both Yes","")</f>
        <v/>
      </c>
      <c r="K33" s="18">
        <f>IF(tblSites[[#This Row],[Country]]="","",COUNTIF($A$2:A33,A33))</f>
        <v>1</v>
      </c>
      <c r="N33" s="18" t="str">
        <v>Italy</v>
      </c>
      <c r="Q33" s="19"/>
      <c r="R33" s="19"/>
      <c r="S33" s="19"/>
      <c r="T33" s="19"/>
      <c r="U33" s="21"/>
      <c r="V33" s="21"/>
      <c r="W33" s="21"/>
    </row>
    <row r="34" spans="1:23" x14ac:dyDescent="0.25">
      <c r="A34" s="57" t="str">
        <f t="shared" si="0"/>
        <v>Italy</v>
      </c>
      <c r="B34" s="57" t="str">
        <f>_xlfn.CONCAT(tblSites[[#This Row],[Country]],tblSites[[#This Row],[Site Amounts]])</f>
        <v>Italy2</v>
      </c>
      <c r="C34" s="58">
        <f>_xlfn.IFNA(INDEX('Study Information'!$O$1:$AH$24,MATCH(tblSites[[#This Row],[Country]],'Study Information'!$D:$D,0),MATCH(tblSites[[#This Row],[Site Amounts]],'Study Information'!$O$1:$AH$1,0)),"")</f>
        <v>46167.769230769234</v>
      </c>
      <c r="D34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0.2</v>
      </c>
      <c r="E34" s="57" t="s">
        <v>104</v>
      </c>
      <c r="F34" s="23">
        <f>IFERROR(INT((_xlfn.XLOOKUP(A34,'Study Information'!D:D,'Study Information'!H:H)-SUMIFS($G:$G,$A:$A,A34,$G:$G,"&gt;0"))/(_xlfn.XLOOKUP(A34,'Study Information'!D:D,'Study Information'!I:I)))+IF(K34&lt;=MOD(_xlfn.XLOOKUP(A34,'Study Information'!D:D,'Study Information'!H:H)-SUMIFS($G:$G,$A:$A,A34,$G:$G,"&gt;0"),_xlfn.XLOOKUP(A34,'Study Information'!D:D,'Study Information'!I:I)),1,0),"")</f>
        <v>6</v>
      </c>
      <c r="G34" s="59"/>
      <c r="H34" s="18" t="str">
        <f>IF(tblSites[[#This Row],[Country]]="","",_xlfn.XLOOKUP(tblSites[[#This Row],[Country]],'Study Information'!$D:$D,'Study Information'!$E:$E))</f>
        <v>No</v>
      </c>
      <c r="I34" s="18" t="b">
        <f>IF(A34="","",IF(H34="Yes","",_xlfn.IFNA(IF(_xlfn.XLOOKUP(tblSites[[#This Row],[Country]],'Scenario Tool'!$B:$B,'Scenario Tool'!$A:$A)=0,"",_xlfn.XLOOKUP(tblSites[[#This Row],[Country]],'Scenario Tool'!$B:$B,'Scenario Tool'!$A:$A)),"Not Specified")))</f>
        <v>1</v>
      </c>
      <c r="J34" s="18" t="str">
        <f>IF(AND(tblSites[[#This Row],[Include?]]="YES",tblSites[[#This Row],[Scenario?]]="YES"),"Scenario and Include both Yes","")</f>
        <v/>
      </c>
      <c r="K34" s="18">
        <f>IF(tblSites[[#This Row],[Country]]="","",COUNTIF($A$2:A34,A34))</f>
        <v>2</v>
      </c>
      <c r="N34" s="18" t="str">
        <v>Italy</v>
      </c>
      <c r="Q34" s="19"/>
      <c r="R34" s="19"/>
      <c r="S34" s="19"/>
      <c r="T34" s="19"/>
      <c r="U34" s="21"/>
      <c r="V34" s="21"/>
      <c r="W34" s="21"/>
    </row>
    <row r="35" spans="1:23" x14ac:dyDescent="0.25">
      <c r="A35" s="57" t="str">
        <f t="shared" si="0"/>
        <v>Italy</v>
      </c>
      <c r="B35" s="57" t="str">
        <f>_xlfn.CONCAT(tblSites[[#This Row],[Country]],tblSites[[#This Row],[Site Amounts]])</f>
        <v>Italy3</v>
      </c>
      <c r="C35" s="58">
        <f>_xlfn.IFNA(INDEX('Study Information'!$O$1:$AH$24,MATCH(tblSites[[#This Row],[Country]],'Study Information'!$D:$D,0),MATCH(tblSites[[#This Row],[Site Amounts]],'Study Information'!$O$1:$AH$1,0)),"")</f>
        <v>46197.769230769234</v>
      </c>
      <c r="D35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0.2</v>
      </c>
      <c r="E35" s="57" t="s">
        <v>104</v>
      </c>
      <c r="F35" s="23">
        <f>IFERROR(INT((_xlfn.XLOOKUP(A35,'Study Information'!D:D,'Study Information'!H:H)-SUMIFS($G:$G,$A:$A,A35,$G:$G,"&gt;0"))/(_xlfn.XLOOKUP(A35,'Study Information'!D:D,'Study Information'!I:I)))+IF(K35&lt;=MOD(_xlfn.XLOOKUP(A35,'Study Information'!D:D,'Study Information'!H:H)-SUMIFS($G:$G,$A:$A,A35,$G:$G,"&gt;0"),_xlfn.XLOOKUP(A35,'Study Information'!D:D,'Study Information'!I:I)),1,0),"")</f>
        <v>6</v>
      </c>
      <c r="G35" s="59"/>
      <c r="H35" s="18" t="str">
        <f>IF(tblSites[[#This Row],[Country]]="","",_xlfn.XLOOKUP(tblSites[[#This Row],[Country]],'Study Information'!$D:$D,'Study Information'!$E:$E))</f>
        <v>No</v>
      </c>
      <c r="I35" s="18" t="b">
        <f>IF(A35="","",IF(H35="Yes","",_xlfn.IFNA(IF(_xlfn.XLOOKUP(tblSites[[#This Row],[Country]],'Scenario Tool'!$B:$B,'Scenario Tool'!$A:$A)=0,"",_xlfn.XLOOKUP(tblSites[[#This Row],[Country]],'Scenario Tool'!$B:$B,'Scenario Tool'!$A:$A)),"Not Specified")))</f>
        <v>1</v>
      </c>
      <c r="J35" s="18" t="str">
        <f>IF(AND(tblSites[[#This Row],[Include?]]="YES",tblSites[[#This Row],[Scenario?]]="YES"),"Scenario and Include both Yes","")</f>
        <v/>
      </c>
      <c r="K35" s="18">
        <f>IF(tblSites[[#This Row],[Country]]="","",COUNTIF($A$2:A35,A35))</f>
        <v>3</v>
      </c>
      <c r="N35" s="18" t="str">
        <v>Italy</v>
      </c>
      <c r="Q35" s="19"/>
      <c r="R35" s="19"/>
      <c r="S35" s="19"/>
      <c r="T35" s="19"/>
      <c r="U35" s="21"/>
      <c r="V35" s="21"/>
      <c r="W35" s="21"/>
    </row>
    <row r="36" spans="1:23" x14ac:dyDescent="0.25">
      <c r="A36" s="57" t="str">
        <f t="shared" si="0"/>
        <v>Italy</v>
      </c>
      <c r="B36" s="57" t="str">
        <f>_xlfn.CONCAT(tblSites[[#This Row],[Country]],tblSites[[#This Row],[Site Amounts]])</f>
        <v>Italy4</v>
      </c>
      <c r="C36" s="58">
        <f>_xlfn.IFNA(INDEX('Study Information'!$O$1:$AH$24,MATCH(tblSites[[#This Row],[Country]],'Study Information'!$D:$D,0),MATCH(tblSites[[#This Row],[Site Amounts]],'Study Information'!$O$1:$AH$1,0)),"")</f>
        <v>46227.769230769234</v>
      </c>
      <c r="D36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0.2</v>
      </c>
      <c r="E36" s="57" t="s">
        <v>104</v>
      </c>
      <c r="F36" s="23">
        <f>IFERROR(INT((_xlfn.XLOOKUP(A36,'Study Information'!D:D,'Study Information'!H:H)-SUMIFS($G:$G,$A:$A,A36,$G:$G,"&gt;0"))/(_xlfn.XLOOKUP(A36,'Study Information'!D:D,'Study Information'!I:I)))+IF(K36&lt;=MOD(_xlfn.XLOOKUP(A36,'Study Information'!D:D,'Study Information'!H:H)-SUMIFS($G:$G,$A:$A,A36,$G:$G,"&gt;0"),_xlfn.XLOOKUP(A36,'Study Information'!D:D,'Study Information'!I:I)),1,0),"")</f>
        <v>6</v>
      </c>
      <c r="G36" s="59"/>
      <c r="H36" s="18" t="str">
        <f>IF(tblSites[[#This Row],[Country]]="","",_xlfn.XLOOKUP(tblSites[[#This Row],[Country]],'Study Information'!$D:$D,'Study Information'!$E:$E))</f>
        <v>No</v>
      </c>
      <c r="I36" s="18" t="b">
        <f>IF(A36="","",IF(H36="Yes","",_xlfn.IFNA(IF(_xlfn.XLOOKUP(tblSites[[#This Row],[Country]],'Scenario Tool'!$B:$B,'Scenario Tool'!$A:$A)=0,"",_xlfn.XLOOKUP(tblSites[[#This Row],[Country]],'Scenario Tool'!$B:$B,'Scenario Tool'!$A:$A)),"Not Specified")))</f>
        <v>1</v>
      </c>
      <c r="J36" s="18" t="str">
        <f>IF(AND(tblSites[[#This Row],[Include?]]="YES",tblSites[[#This Row],[Scenario?]]="YES"),"Scenario and Include both Yes","")</f>
        <v/>
      </c>
      <c r="K36" s="18">
        <f>IF(tblSites[[#This Row],[Country]]="","",COUNTIF($A$2:A36,A36))</f>
        <v>4</v>
      </c>
      <c r="N36" s="18" t="str">
        <v>Italy</v>
      </c>
      <c r="Q36" s="19"/>
      <c r="R36" s="19"/>
      <c r="S36" s="19"/>
      <c r="T36" s="19"/>
      <c r="U36" s="21"/>
      <c r="V36" s="21"/>
      <c r="W36" s="21"/>
    </row>
    <row r="37" spans="1:23" x14ac:dyDescent="0.25">
      <c r="A37" s="57" t="str">
        <f t="shared" si="0"/>
        <v>Italy</v>
      </c>
      <c r="B37" s="57" t="str">
        <f>_xlfn.CONCAT(tblSites[[#This Row],[Country]],tblSites[[#This Row],[Site Amounts]])</f>
        <v>Italy5</v>
      </c>
      <c r="C37" s="58">
        <f>_xlfn.IFNA(INDEX('Study Information'!$O$1:$AH$24,MATCH(tblSites[[#This Row],[Country]],'Study Information'!$D:$D,0),MATCH(tblSites[[#This Row],[Site Amounts]],'Study Information'!$O$1:$AH$1,0)),"")</f>
        <v>46257.769230769234</v>
      </c>
      <c r="D37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0.2</v>
      </c>
      <c r="E37" s="57" t="s">
        <v>104</v>
      </c>
      <c r="F37" s="23">
        <f>IFERROR(INT((_xlfn.XLOOKUP(A37,'Study Information'!D:D,'Study Information'!H:H)-SUMIFS($G:$G,$A:$A,A37,$G:$G,"&gt;0"))/(_xlfn.XLOOKUP(A37,'Study Information'!D:D,'Study Information'!I:I)))+IF(K37&lt;=MOD(_xlfn.XLOOKUP(A37,'Study Information'!D:D,'Study Information'!H:H)-SUMIFS($G:$G,$A:$A,A37,$G:$G,"&gt;0"),_xlfn.XLOOKUP(A37,'Study Information'!D:D,'Study Information'!I:I)),1,0),"")</f>
        <v>5</v>
      </c>
      <c r="G37" s="59"/>
      <c r="H37" s="18" t="str">
        <f>IF(tblSites[[#This Row],[Country]]="","",_xlfn.XLOOKUP(tblSites[[#This Row],[Country]],'Study Information'!$D:$D,'Study Information'!$E:$E))</f>
        <v>No</v>
      </c>
      <c r="I37" s="18" t="b">
        <f>IF(A37="","",IF(H37="Yes","",_xlfn.IFNA(IF(_xlfn.XLOOKUP(tblSites[[#This Row],[Country]],'Scenario Tool'!$B:$B,'Scenario Tool'!$A:$A)=0,"",_xlfn.XLOOKUP(tblSites[[#This Row],[Country]],'Scenario Tool'!$B:$B,'Scenario Tool'!$A:$A)),"Not Specified")))</f>
        <v>1</v>
      </c>
      <c r="J37" s="18" t="str">
        <f>IF(AND(tblSites[[#This Row],[Include?]]="YES",tblSites[[#This Row],[Scenario?]]="YES"),"Scenario and Include both Yes","")</f>
        <v/>
      </c>
      <c r="K37" s="18">
        <f>IF(tblSites[[#This Row],[Country]]="","",COUNTIF($A$2:A37,A37))</f>
        <v>5</v>
      </c>
      <c r="N37" s="18" t="str">
        <v>Italy</v>
      </c>
      <c r="Q37" s="19"/>
      <c r="R37" s="19"/>
      <c r="S37" s="19"/>
      <c r="T37" s="19"/>
      <c r="U37" s="21"/>
      <c r="V37" s="21"/>
      <c r="W37" s="21"/>
    </row>
    <row r="38" spans="1:23" x14ac:dyDescent="0.25">
      <c r="A38" s="57" t="str">
        <f t="shared" si="0"/>
        <v>Italy</v>
      </c>
      <c r="B38" s="57" t="str">
        <f>_xlfn.CONCAT(tblSites[[#This Row],[Country]],tblSites[[#This Row],[Site Amounts]])</f>
        <v>Italy6</v>
      </c>
      <c r="C38" s="58">
        <f>_xlfn.IFNA(INDEX('Study Information'!$O$1:$AH$24,MATCH(tblSites[[#This Row],[Country]],'Study Information'!$D:$D,0),MATCH(tblSites[[#This Row],[Site Amounts]],'Study Information'!$O$1:$AH$1,0)),"")</f>
        <v>46287.769230769234</v>
      </c>
      <c r="D38" s="57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>0.2</v>
      </c>
      <c r="E38" s="57" t="s">
        <v>104</v>
      </c>
      <c r="F38" s="23">
        <f>IFERROR(INT((_xlfn.XLOOKUP(A38,'Study Information'!D:D,'Study Information'!H:H)-SUMIFS($G:$G,$A:$A,A38,$G:$G,"&gt;0"))/(_xlfn.XLOOKUP(A38,'Study Information'!D:D,'Study Information'!I:I)))+IF(K38&lt;=MOD(_xlfn.XLOOKUP(A38,'Study Information'!D:D,'Study Information'!H:H)-SUMIFS($G:$G,$A:$A,A38,$G:$G,"&gt;0"),_xlfn.XLOOKUP(A38,'Study Information'!D:D,'Study Information'!I:I)),1,0),"")</f>
        <v>5</v>
      </c>
      <c r="G38" s="59"/>
      <c r="H38" s="18" t="str">
        <f>IF(tblSites[[#This Row],[Country]]="","",_xlfn.XLOOKUP(tblSites[[#This Row],[Country]],'Study Information'!$D:$D,'Study Information'!$E:$E))</f>
        <v>No</v>
      </c>
      <c r="I38" s="18" t="b">
        <f>IF(A38="","",IF(H38="Yes","",_xlfn.IFNA(IF(_xlfn.XLOOKUP(tblSites[[#This Row],[Country]],'Scenario Tool'!$B:$B,'Scenario Tool'!$A:$A)=0,"",_xlfn.XLOOKUP(tblSites[[#This Row],[Country]],'Scenario Tool'!$B:$B,'Scenario Tool'!$A:$A)),"Not Specified")))</f>
        <v>1</v>
      </c>
      <c r="J38" s="18" t="str">
        <f>IF(AND(tblSites[[#This Row],[Include?]]="YES",tblSites[[#This Row],[Scenario?]]="YES"),"Scenario and Include both Yes","")</f>
        <v/>
      </c>
      <c r="K38" s="18">
        <f>IF(tblSites[[#This Row],[Country]]="","",COUNTIF($A$2:A38,A38))</f>
        <v>6</v>
      </c>
      <c r="N38" s="18" t="str">
        <v>Italy</v>
      </c>
      <c r="U38" s="21"/>
      <c r="V38" s="21"/>
      <c r="W38" s="21"/>
    </row>
    <row r="39" spans="1:23" x14ac:dyDescent="0.25">
      <c r="A39" s="57" t="str">
        <f t="shared" si="0"/>
        <v/>
      </c>
      <c r="B39" s="57" t="str">
        <f>_xlfn.CONCAT(tblSites[[#This Row],[Country]],tblSites[[#This Row],[Site Amounts]])</f>
        <v/>
      </c>
      <c r="C39" s="58" t="str">
        <f>_xlfn.IFNA(INDEX('Study Information'!$O$1:$AH$24,MATCH(tblSites[[#This Row],[Country]],'Study Information'!$D:$D,0),MATCH(tblSites[[#This Row],[Site Amounts]],'Study Information'!$O$1:$AH$1,0)),"")</f>
        <v/>
      </c>
      <c r="D39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39" s="57"/>
      <c r="F39" s="23" t="str">
        <f>IFERROR(INT((_xlfn.XLOOKUP(A39,'Study Information'!D:D,'Study Information'!H:H)-SUMIFS($G:$G,$A:$A,A39,$G:$G,"&gt;0"))/(_xlfn.XLOOKUP(A39,'Study Information'!D:D,'Study Information'!I:I)))+IF(K39&lt;=MOD(_xlfn.XLOOKUP(A39,'Study Information'!D:D,'Study Information'!H:H)-SUMIFS($G:$G,$A:$A,A39,$G:$G,"&gt;0"),_xlfn.XLOOKUP(A39,'Study Information'!D:D,'Study Information'!I:I)),1,0),"")</f>
        <v/>
      </c>
      <c r="G39" s="59"/>
      <c r="H39" s="18" t="str">
        <f>IF(tblSites[[#This Row],[Country]]="","",_xlfn.XLOOKUP(tblSites[[#This Row],[Country]],'Study Information'!$D:$D,'Study Information'!$E:$E))</f>
        <v/>
      </c>
      <c r="I39" s="18" t="str">
        <f>IF(A39="","",IF(H39="Yes","",_xlfn.IFNA(IF(_xlfn.XLOOKUP(tblSites[[#This Row],[Country]],'Scenario Tool'!$B:$B,'Scenario Tool'!$A:$A)=0,"",_xlfn.XLOOKUP(tblSites[[#This Row],[Country]],'Scenario Tool'!$B:$B,'Scenario Tool'!$A:$A)),"Not Specified")))</f>
        <v/>
      </c>
      <c r="J39" s="18" t="str">
        <f>IF(AND(tblSites[[#This Row],[Include?]]="YES",tblSites[[#This Row],[Scenario?]]="YES"),"Scenario and Include both Yes","")</f>
        <v/>
      </c>
      <c r="K39" s="18" t="str">
        <f>IF(tblSites[[#This Row],[Country]]="","",COUNTIF($A$2:A39,A39))</f>
        <v/>
      </c>
      <c r="U39" s="21"/>
      <c r="V39" s="21"/>
      <c r="W39" s="21"/>
    </row>
    <row r="40" spans="1:23" x14ac:dyDescent="0.25">
      <c r="A40" s="57" t="str">
        <f t="shared" si="0"/>
        <v/>
      </c>
      <c r="B40" s="57" t="str">
        <f>_xlfn.CONCAT(tblSites[[#This Row],[Country]],tblSites[[#This Row],[Site Amounts]])</f>
        <v/>
      </c>
      <c r="C40" s="58" t="str">
        <f>_xlfn.IFNA(INDEX('Study Information'!$O$1:$AH$24,MATCH(tblSites[[#This Row],[Country]],'Study Information'!$D:$D,0),MATCH(tblSites[[#This Row],[Site Amounts]],'Study Information'!$O$1:$AH$1,0)),"")</f>
        <v/>
      </c>
      <c r="D40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0" s="57"/>
      <c r="F40" s="23" t="str">
        <f>IFERROR(INT((_xlfn.XLOOKUP(A40,'Study Information'!D:D,'Study Information'!H:H)-SUMIFS($G:$G,$A:$A,A40,$G:$G,"&gt;0"))/(_xlfn.XLOOKUP(A40,'Study Information'!D:D,'Study Information'!I:I)))+IF(K40&lt;=MOD(_xlfn.XLOOKUP(A40,'Study Information'!D:D,'Study Information'!H:H)-SUMIFS($G:$G,$A:$A,A40,$G:$G,"&gt;0"),_xlfn.XLOOKUP(A40,'Study Information'!D:D,'Study Information'!I:I)),1,0),"")</f>
        <v/>
      </c>
      <c r="G40" s="59"/>
      <c r="H40" s="18" t="str">
        <f>IF(tblSites[[#This Row],[Country]]="","",_xlfn.XLOOKUP(tblSites[[#This Row],[Country]],'Study Information'!$D:$D,'Study Information'!$E:$E))</f>
        <v/>
      </c>
      <c r="I40" s="18" t="str">
        <f>IF(A40="","",IF(H40="Yes","",_xlfn.IFNA(IF(_xlfn.XLOOKUP(tblSites[[#This Row],[Country]],'Scenario Tool'!$B:$B,'Scenario Tool'!$A:$A)=0,"",_xlfn.XLOOKUP(tblSites[[#This Row],[Country]],'Scenario Tool'!$B:$B,'Scenario Tool'!$A:$A)),"Not Specified")))</f>
        <v/>
      </c>
      <c r="J40" s="18" t="str">
        <f>IF(AND(tblSites[[#This Row],[Include?]]="YES",tblSites[[#This Row],[Scenario?]]="YES"),"Scenario and Include both Yes","")</f>
        <v/>
      </c>
      <c r="K40" s="18" t="str">
        <f>IF(tblSites[[#This Row],[Country]]="","",COUNTIF($A$2:A40,A40))</f>
        <v/>
      </c>
      <c r="U40" s="21"/>
      <c r="V40" s="21"/>
      <c r="W40" s="21"/>
    </row>
    <row r="41" spans="1:23" x14ac:dyDescent="0.25">
      <c r="A41" s="57" t="str">
        <f t="shared" si="0"/>
        <v/>
      </c>
      <c r="B41" s="57" t="str">
        <f>_xlfn.CONCAT(tblSites[[#This Row],[Country]],tblSites[[#This Row],[Site Amounts]])</f>
        <v/>
      </c>
      <c r="C41" s="58" t="str">
        <f>_xlfn.IFNA(INDEX('Study Information'!$O$1:$AH$24,MATCH(tblSites[[#This Row],[Country]],'Study Information'!$D:$D,0),MATCH(tblSites[[#This Row],[Site Amounts]],'Study Information'!$O$1:$AH$1,0)),"")</f>
        <v/>
      </c>
      <c r="D41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1" s="57"/>
      <c r="F41" s="23" t="str">
        <f>IFERROR(INT((_xlfn.XLOOKUP(A41,'Study Information'!D:D,'Study Information'!H:H)-SUMIFS($G:$G,$A:$A,A41,$G:$G,"&gt;0"))/(_xlfn.XLOOKUP(A41,'Study Information'!D:D,'Study Information'!I:I)))+IF(K41&lt;=MOD(_xlfn.XLOOKUP(A41,'Study Information'!D:D,'Study Information'!H:H)-SUMIFS($G:$G,$A:$A,A41,$G:$G,"&gt;0"),_xlfn.XLOOKUP(A41,'Study Information'!D:D,'Study Information'!I:I)),1,0),"")</f>
        <v/>
      </c>
      <c r="G41" s="59"/>
      <c r="H41" s="18" t="str">
        <f>IF(tblSites[[#This Row],[Country]]="","",_xlfn.XLOOKUP(tblSites[[#This Row],[Country]],'Study Information'!$D:$D,'Study Information'!$E:$E))</f>
        <v/>
      </c>
      <c r="I41" s="18" t="str">
        <f>IF(A41="","",IF(H41="Yes","",_xlfn.IFNA(IF(_xlfn.XLOOKUP(tblSites[[#This Row],[Country]],'Scenario Tool'!$B:$B,'Scenario Tool'!$A:$A)=0,"",_xlfn.XLOOKUP(tblSites[[#This Row],[Country]],'Scenario Tool'!$B:$B,'Scenario Tool'!$A:$A)),"Not Specified")))</f>
        <v/>
      </c>
      <c r="J41" s="18" t="str">
        <f>IF(AND(tblSites[[#This Row],[Include?]]="YES",tblSites[[#This Row],[Scenario?]]="YES"),"Scenario and Include both Yes","")</f>
        <v/>
      </c>
      <c r="K41" s="18" t="str">
        <f>IF(tblSites[[#This Row],[Country]]="","",COUNTIF($A$2:A41,A41))</f>
        <v/>
      </c>
      <c r="U41" s="21"/>
      <c r="V41" s="21"/>
      <c r="W41" s="21"/>
    </row>
    <row r="42" spans="1:23" x14ac:dyDescent="0.25">
      <c r="A42" s="57" t="str">
        <f t="shared" si="0"/>
        <v/>
      </c>
      <c r="B42" s="57" t="str">
        <f>_xlfn.CONCAT(tblSites[[#This Row],[Country]],tblSites[[#This Row],[Site Amounts]])</f>
        <v/>
      </c>
      <c r="C42" s="58" t="str">
        <f>_xlfn.IFNA(INDEX('Study Information'!$O$1:$AH$24,MATCH(tblSites[[#This Row],[Country]],'Study Information'!$D:$D,0),MATCH(tblSites[[#This Row],[Site Amounts]],'Study Information'!$O$1:$AH$1,0)),"")</f>
        <v/>
      </c>
      <c r="D42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2" s="57"/>
      <c r="F42" s="23" t="str">
        <f>IFERROR(INT((_xlfn.XLOOKUP(A42,'Study Information'!D:D,'Study Information'!H:H)-SUMIFS($G:$G,$A:$A,A42,$G:$G,"&gt;0"))/(_xlfn.XLOOKUP(A42,'Study Information'!D:D,'Study Information'!I:I)))+IF(K42&lt;=MOD(_xlfn.XLOOKUP(A42,'Study Information'!D:D,'Study Information'!H:H)-SUMIFS($G:$G,$A:$A,A42,$G:$G,"&gt;0"),_xlfn.XLOOKUP(A42,'Study Information'!D:D,'Study Information'!I:I)),1,0),"")</f>
        <v/>
      </c>
      <c r="G42" s="59"/>
      <c r="H42" s="18" t="str">
        <f>IF(tblSites[[#This Row],[Country]]="","",_xlfn.XLOOKUP(tblSites[[#This Row],[Country]],'Study Information'!$D:$D,'Study Information'!$E:$E))</f>
        <v/>
      </c>
      <c r="I42" s="18" t="str">
        <f>IF(A42="","",IF(H42="Yes","",_xlfn.IFNA(IF(_xlfn.XLOOKUP(tblSites[[#This Row],[Country]],'Scenario Tool'!$B:$B,'Scenario Tool'!$A:$A)=0,"",_xlfn.XLOOKUP(tblSites[[#This Row],[Country]],'Scenario Tool'!$B:$B,'Scenario Tool'!$A:$A)),"Not Specified")))</f>
        <v/>
      </c>
      <c r="J42" s="18" t="str">
        <f>IF(AND(tblSites[[#This Row],[Include?]]="YES",tblSites[[#This Row],[Scenario?]]="YES"),"Scenario and Include both Yes","")</f>
        <v/>
      </c>
      <c r="K42" s="18" t="str">
        <f>IF(tblSites[[#This Row],[Country]]="","",COUNTIF($A$2:A42,A42))</f>
        <v/>
      </c>
      <c r="U42" s="21"/>
      <c r="V42" s="21"/>
      <c r="W42" s="21"/>
    </row>
    <row r="43" spans="1:23" x14ac:dyDescent="0.25">
      <c r="A43" s="57" t="str">
        <f t="shared" si="0"/>
        <v/>
      </c>
      <c r="B43" s="57" t="str">
        <f>_xlfn.CONCAT(tblSites[[#This Row],[Country]],tblSites[[#This Row],[Site Amounts]])</f>
        <v/>
      </c>
      <c r="C43" s="58" t="str">
        <f>_xlfn.IFNA(INDEX('Study Information'!$O$1:$AH$24,MATCH(tblSites[[#This Row],[Country]],'Study Information'!$D:$D,0),MATCH(tblSites[[#This Row],[Site Amounts]],'Study Information'!$O$1:$AH$1,0)),"")</f>
        <v/>
      </c>
      <c r="D43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3" s="57"/>
      <c r="F43" s="23" t="str">
        <f>IFERROR(INT((_xlfn.XLOOKUP(A43,'Study Information'!D:D,'Study Information'!H:H)-SUMIFS($G:$G,$A:$A,A43,$G:$G,"&gt;0"))/(_xlfn.XLOOKUP(A43,'Study Information'!D:D,'Study Information'!I:I)))+IF(K43&lt;=MOD(_xlfn.XLOOKUP(A43,'Study Information'!D:D,'Study Information'!H:H)-SUMIFS($G:$G,$A:$A,A43,$G:$G,"&gt;0"),_xlfn.XLOOKUP(A43,'Study Information'!D:D,'Study Information'!I:I)),1,0),"")</f>
        <v/>
      </c>
      <c r="G43" s="59"/>
      <c r="H43" s="18" t="str">
        <f>IF(tblSites[[#This Row],[Country]]="","",_xlfn.XLOOKUP(tblSites[[#This Row],[Country]],'Study Information'!$D:$D,'Study Information'!$E:$E))</f>
        <v/>
      </c>
      <c r="I43" s="18" t="str">
        <f>IF(A43="","",IF(H43="Yes","",_xlfn.IFNA(IF(_xlfn.XLOOKUP(tblSites[[#This Row],[Country]],'Scenario Tool'!$B:$B,'Scenario Tool'!$A:$A)=0,"",_xlfn.XLOOKUP(tblSites[[#This Row],[Country]],'Scenario Tool'!$B:$B,'Scenario Tool'!$A:$A)),"Not Specified")))</f>
        <v/>
      </c>
      <c r="J43" s="18" t="str">
        <f>IF(AND(tblSites[[#This Row],[Include?]]="YES",tblSites[[#This Row],[Scenario?]]="YES"),"Scenario and Include both Yes","")</f>
        <v/>
      </c>
      <c r="K43" s="18" t="str">
        <f>IF(tblSites[[#This Row],[Country]]="","",COUNTIF($A$2:A43,A43))</f>
        <v/>
      </c>
      <c r="U43" s="21"/>
      <c r="V43" s="21"/>
      <c r="W43" s="21"/>
    </row>
    <row r="44" spans="1:23" x14ac:dyDescent="0.25">
      <c r="A44" s="57" t="str">
        <f t="shared" si="0"/>
        <v/>
      </c>
      <c r="B44" s="57" t="str">
        <f>_xlfn.CONCAT(tblSites[[#This Row],[Country]],tblSites[[#This Row],[Site Amounts]])</f>
        <v/>
      </c>
      <c r="C44" s="58" t="str">
        <f>_xlfn.IFNA(INDEX('Study Information'!$O$1:$AH$24,MATCH(tblSites[[#This Row],[Country]],'Study Information'!$D:$D,0),MATCH(tblSites[[#This Row],[Site Amounts]],'Study Information'!$O$1:$AH$1,0)),"")</f>
        <v/>
      </c>
      <c r="D44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4" s="57"/>
      <c r="F44" s="23" t="str">
        <f>IFERROR(INT((_xlfn.XLOOKUP(A44,'Study Information'!D:D,'Study Information'!H:H)-SUMIFS($G:$G,$A:$A,A44,$G:$G,"&gt;0"))/(_xlfn.XLOOKUP(A44,'Study Information'!D:D,'Study Information'!I:I)))+IF(K44&lt;=MOD(_xlfn.XLOOKUP(A44,'Study Information'!D:D,'Study Information'!H:H)-SUMIFS($G:$G,$A:$A,A44,$G:$G,"&gt;0"),_xlfn.XLOOKUP(A44,'Study Information'!D:D,'Study Information'!I:I)),1,0),"")</f>
        <v/>
      </c>
      <c r="G44" s="59"/>
      <c r="H44" s="18" t="str">
        <f>IF(tblSites[[#This Row],[Country]]="","",_xlfn.XLOOKUP(tblSites[[#This Row],[Country]],'Study Information'!$D:$D,'Study Information'!$E:$E))</f>
        <v/>
      </c>
      <c r="I44" s="18" t="str">
        <f>IF(A44="","",IF(H44="Yes","",_xlfn.IFNA(IF(_xlfn.XLOOKUP(tblSites[[#This Row],[Country]],'Scenario Tool'!$B:$B,'Scenario Tool'!$A:$A)=0,"",_xlfn.XLOOKUP(tblSites[[#This Row],[Country]],'Scenario Tool'!$B:$B,'Scenario Tool'!$A:$A)),"Not Specified")))</f>
        <v/>
      </c>
      <c r="J44" s="18" t="str">
        <f>IF(AND(tblSites[[#This Row],[Include?]]="YES",tblSites[[#This Row],[Scenario?]]="YES"),"Scenario and Include both Yes","")</f>
        <v/>
      </c>
      <c r="K44" s="18" t="str">
        <f>IF(tblSites[[#This Row],[Country]]="","",COUNTIF($A$2:A44,A44))</f>
        <v/>
      </c>
      <c r="U44" s="21"/>
      <c r="V44" s="21"/>
      <c r="W44" s="21"/>
    </row>
    <row r="45" spans="1:23" x14ac:dyDescent="0.25">
      <c r="A45" s="57" t="str">
        <f t="shared" si="0"/>
        <v/>
      </c>
      <c r="B45" s="57" t="str">
        <f>_xlfn.CONCAT(tblSites[[#This Row],[Country]],tblSites[[#This Row],[Site Amounts]])</f>
        <v/>
      </c>
      <c r="C45" s="58" t="str">
        <f>_xlfn.IFNA(INDEX('Study Information'!$O$1:$AH$24,MATCH(tblSites[[#This Row],[Country]],'Study Information'!$D:$D,0),MATCH(tblSites[[#This Row],[Site Amounts]],'Study Information'!$O$1:$AH$1,0)),"")</f>
        <v/>
      </c>
      <c r="D45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5" s="57"/>
      <c r="F45" s="23" t="str">
        <f>IFERROR(INT((_xlfn.XLOOKUP(A45,'Study Information'!D:D,'Study Information'!H:H)-SUMIFS($G:$G,$A:$A,A45,$G:$G,"&gt;0"))/(_xlfn.XLOOKUP(A45,'Study Information'!D:D,'Study Information'!I:I)))+IF(K45&lt;=MOD(_xlfn.XLOOKUP(A45,'Study Information'!D:D,'Study Information'!H:H)-SUMIFS($G:$G,$A:$A,A45,$G:$G,"&gt;0"),_xlfn.XLOOKUP(A45,'Study Information'!D:D,'Study Information'!I:I)),1,0),"")</f>
        <v/>
      </c>
      <c r="G45" s="59"/>
      <c r="H45" s="18" t="str">
        <f>IF(tblSites[[#This Row],[Country]]="","",_xlfn.XLOOKUP(tblSites[[#This Row],[Country]],'Study Information'!$D:$D,'Study Information'!$E:$E))</f>
        <v/>
      </c>
      <c r="I45" s="18" t="str">
        <f>IF(A45="","",IF(H45="Yes","",_xlfn.IFNA(IF(_xlfn.XLOOKUP(tblSites[[#This Row],[Country]],'Scenario Tool'!$B:$B,'Scenario Tool'!$A:$A)=0,"",_xlfn.XLOOKUP(tblSites[[#This Row],[Country]],'Scenario Tool'!$B:$B,'Scenario Tool'!$A:$A)),"Not Specified")))</f>
        <v/>
      </c>
      <c r="J45" s="18" t="str">
        <f>IF(AND(tblSites[[#This Row],[Include?]]="YES",tblSites[[#This Row],[Scenario?]]="YES"),"Scenario and Include both Yes","")</f>
        <v/>
      </c>
      <c r="K45" s="18" t="str">
        <f>IF(tblSites[[#This Row],[Country]]="","",COUNTIF($A$2:A45,A45))</f>
        <v/>
      </c>
      <c r="U45" s="21"/>
      <c r="V45" s="21"/>
      <c r="W45" s="21"/>
    </row>
    <row r="46" spans="1:23" x14ac:dyDescent="0.25">
      <c r="A46" s="57" t="str">
        <f t="shared" si="0"/>
        <v/>
      </c>
      <c r="B46" s="57" t="str">
        <f>_xlfn.CONCAT(tblSites[[#This Row],[Country]],tblSites[[#This Row],[Site Amounts]])</f>
        <v/>
      </c>
      <c r="C46" s="58" t="str">
        <f>_xlfn.IFNA(INDEX('Study Information'!$O$1:$AH$24,MATCH(tblSites[[#This Row],[Country]],'Study Information'!$D:$D,0),MATCH(tblSites[[#This Row],[Site Amounts]],'Study Information'!$O$1:$AH$1,0)),"")</f>
        <v/>
      </c>
      <c r="D46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6" s="57"/>
      <c r="F46" s="23" t="str">
        <f>IFERROR(INT((_xlfn.XLOOKUP(A46,'Study Information'!D:D,'Study Information'!H:H)-SUMIFS($G:$G,$A:$A,A46,$G:$G,"&gt;0"))/(_xlfn.XLOOKUP(A46,'Study Information'!D:D,'Study Information'!I:I)))+IF(K46&lt;=MOD(_xlfn.XLOOKUP(A46,'Study Information'!D:D,'Study Information'!H:H)-SUMIFS($G:$G,$A:$A,A46,$G:$G,"&gt;0"),_xlfn.XLOOKUP(A46,'Study Information'!D:D,'Study Information'!I:I)),1,0),"")</f>
        <v/>
      </c>
      <c r="G46" s="59"/>
      <c r="H46" s="18" t="str">
        <f>IF(tblSites[[#This Row],[Country]]="","",_xlfn.XLOOKUP(tblSites[[#This Row],[Country]],'Study Information'!$D:$D,'Study Information'!$E:$E))</f>
        <v/>
      </c>
      <c r="I46" s="18" t="str">
        <f>IF(A46="","",IF(H46="Yes","",_xlfn.IFNA(IF(_xlfn.XLOOKUP(tblSites[[#This Row],[Country]],'Scenario Tool'!$B:$B,'Scenario Tool'!$A:$A)=0,"",_xlfn.XLOOKUP(tblSites[[#This Row],[Country]],'Scenario Tool'!$B:$B,'Scenario Tool'!$A:$A)),"Not Specified")))</f>
        <v/>
      </c>
      <c r="J46" s="18" t="str">
        <f>IF(AND(tblSites[[#This Row],[Include?]]="YES",tblSites[[#This Row],[Scenario?]]="YES"),"Scenario and Include both Yes","")</f>
        <v/>
      </c>
      <c r="K46" s="18" t="str">
        <f>IF(tblSites[[#This Row],[Country]]="","",COUNTIF($A$2:A46,A46))</f>
        <v/>
      </c>
      <c r="U46" s="21"/>
      <c r="V46" s="21"/>
      <c r="W46" s="21"/>
    </row>
    <row r="47" spans="1:23" x14ac:dyDescent="0.25">
      <c r="A47" s="57" t="str">
        <f t="shared" si="0"/>
        <v/>
      </c>
      <c r="B47" s="57" t="str">
        <f>_xlfn.CONCAT(tblSites[[#This Row],[Country]],tblSites[[#This Row],[Site Amounts]])</f>
        <v/>
      </c>
      <c r="C47" s="58" t="str">
        <f>_xlfn.IFNA(INDEX('Study Information'!$O$1:$AH$24,MATCH(tblSites[[#This Row],[Country]],'Study Information'!$D:$D,0),MATCH(tblSites[[#This Row],[Site Amounts]],'Study Information'!$O$1:$AH$1,0)),"")</f>
        <v/>
      </c>
      <c r="D47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7" s="57"/>
      <c r="F47" s="23" t="str">
        <f>IFERROR(INT((_xlfn.XLOOKUP(A47,'Study Information'!D:D,'Study Information'!H:H)-SUMIFS($G:$G,$A:$A,A47,$G:$G,"&gt;0"))/(_xlfn.XLOOKUP(A47,'Study Information'!D:D,'Study Information'!I:I)))+IF(K47&lt;=MOD(_xlfn.XLOOKUP(A47,'Study Information'!D:D,'Study Information'!H:H)-SUMIFS($G:$G,$A:$A,A47,$G:$G,"&gt;0"),_xlfn.XLOOKUP(A47,'Study Information'!D:D,'Study Information'!I:I)),1,0),"")</f>
        <v/>
      </c>
      <c r="G47" s="59"/>
      <c r="H47" s="18" t="str">
        <f>IF(tblSites[[#This Row],[Country]]="","",_xlfn.XLOOKUP(tblSites[[#This Row],[Country]],'Study Information'!$D:$D,'Study Information'!$E:$E))</f>
        <v/>
      </c>
      <c r="I47" s="18" t="str">
        <f>IF(A47="","",IF(H47="Yes","",_xlfn.IFNA(IF(_xlfn.XLOOKUP(tblSites[[#This Row],[Country]],'Scenario Tool'!$B:$B,'Scenario Tool'!$A:$A)=0,"",_xlfn.XLOOKUP(tblSites[[#This Row],[Country]],'Scenario Tool'!$B:$B,'Scenario Tool'!$A:$A)),"Not Specified")))</f>
        <v/>
      </c>
      <c r="J47" s="18" t="str">
        <f>IF(AND(tblSites[[#This Row],[Include?]]="YES",tblSites[[#This Row],[Scenario?]]="YES"),"Scenario and Include both Yes","")</f>
        <v/>
      </c>
      <c r="K47" s="18" t="str">
        <f>IF(tblSites[[#This Row],[Country]]="","",COUNTIF($A$2:A47,A47))</f>
        <v/>
      </c>
    </row>
    <row r="48" spans="1:23" x14ac:dyDescent="0.25">
      <c r="A48" s="57" t="str">
        <f t="shared" si="0"/>
        <v/>
      </c>
      <c r="B48" s="57" t="str">
        <f>_xlfn.CONCAT(tblSites[[#This Row],[Country]],tblSites[[#This Row],[Site Amounts]])</f>
        <v/>
      </c>
      <c r="C48" s="58" t="str">
        <f>_xlfn.IFNA(INDEX('Study Information'!$O$1:$AH$24,MATCH(tblSites[[#This Row],[Country]],'Study Information'!$D:$D,0),MATCH(tblSites[[#This Row],[Site Amounts]],'Study Information'!$O$1:$AH$1,0)),"")</f>
        <v/>
      </c>
      <c r="D48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8" s="57"/>
      <c r="F48" s="23" t="str">
        <f>IFERROR(INT((_xlfn.XLOOKUP(A48,'Study Information'!D:D,'Study Information'!H:H)-SUMIFS($G:$G,$A:$A,A48,$G:$G,"&gt;0"))/(_xlfn.XLOOKUP(A48,'Study Information'!D:D,'Study Information'!I:I)))+IF(K48&lt;=MOD(_xlfn.XLOOKUP(A48,'Study Information'!D:D,'Study Information'!H:H)-SUMIFS($G:$G,$A:$A,A48,$G:$G,"&gt;0"),_xlfn.XLOOKUP(A48,'Study Information'!D:D,'Study Information'!I:I)),1,0),"")</f>
        <v/>
      </c>
      <c r="G48" s="59"/>
      <c r="H48" s="18" t="str">
        <f>IF(tblSites[[#This Row],[Country]]="","",_xlfn.XLOOKUP(tblSites[[#This Row],[Country]],'Study Information'!$D:$D,'Study Information'!$E:$E))</f>
        <v/>
      </c>
      <c r="I48" s="18" t="str">
        <f>IF(A48="","",IF(H48="Yes","",_xlfn.IFNA(IF(_xlfn.XLOOKUP(tblSites[[#This Row],[Country]],'Scenario Tool'!$B:$B,'Scenario Tool'!$A:$A)=0,"",_xlfn.XLOOKUP(tblSites[[#This Row],[Country]],'Scenario Tool'!$B:$B,'Scenario Tool'!$A:$A)),"Not Specified")))</f>
        <v/>
      </c>
      <c r="J48" s="18" t="str">
        <f>IF(AND(tblSites[[#This Row],[Include?]]="YES",tblSites[[#This Row],[Scenario?]]="YES"),"Scenario and Include both Yes","")</f>
        <v/>
      </c>
      <c r="K48" s="18" t="str">
        <f>IF(tblSites[[#This Row],[Country]]="","",COUNTIF($A$2:A48,A48))</f>
        <v/>
      </c>
    </row>
    <row r="49" spans="1:11" x14ac:dyDescent="0.25">
      <c r="A49" s="57" t="str">
        <f t="shared" si="0"/>
        <v/>
      </c>
      <c r="B49" s="57" t="str">
        <f>_xlfn.CONCAT(tblSites[[#This Row],[Country]],tblSites[[#This Row],[Site Amounts]])</f>
        <v/>
      </c>
      <c r="C49" s="58" t="str">
        <f>_xlfn.IFNA(INDEX('Study Information'!$O$1:$AH$24,MATCH(tblSites[[#This Row],[Country]],'Study Information'!$D:$D,0),MATCH(tblSites[[#This Row],[Site Amounts]],'Study Information'!$O$1:$AH$1,0)),"")</f>
        <v/>
      </c>
      <c r="D49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49" s="57"/>
      <c r="F49" s="23" t="str">
        <f>IFERROR(INT((_xlfn.XLOOKUP(A49,'Study Information'!D:D,'Study Information'!H:H)-SUMIFS($G:$G,$A:$A,A49,$G:$G,"&gt;0"))/(_xlfn.XLOOKUP(A49,'Study Information'!D:D,'Study Information'!I:I)))+IF(K49&lt;=MOD(_xlfn.XLOOKUP(A49,'Study Information'!D:D,'Study Information'!H:H)-SUMIFS($G:$G,$A:$A,A49,$G:$G,"&gt;0"),_xlfn.XLOOKUP(A49,'Study Information'!D:D,'Study Information'!I:I)),1,0),"")</f>
        <v/>
      </c>
      <c r="G49" s="59"/>
      <c r="H49" s="18" t="str">
        <f>IF(tblSites[[#This Row],[Country]]="","",_xlfn.XLOOKUP(tblSites[[#This Row],[Country]],'Study Information'!$D:$D,'Study Information'!$E:$E))</f>
        <v/>
      </c>
      <c r="I49" s="18" t="str">
        <f>IF(A49="","",IF(H49="Yes","",_xlfn.IFNA(IF(_xlfn.XLOOKUP(tblSites[[#This Row],[Country]],'Scenario Tool'!$B:$B,'Scenario Tool'!$A:$A)=0,"",_xlfn.XLOOKUP(tblSites[[#This Row],[Country]],'Scenario Tool'!$B:$B,'Scenario Tool'!$A:$A)),"Not Specified")))</f>
        <v/>
      </c>
      <c r="J49" s="18" t="str">
        <f>IF(AND(tblSites[[#This Row],[Include?]]="YES",tblSites[[#This Row],[Scenario?]]="YES"),"Scenario and Include both Yes","")</f>
        <v/>
      </c>
      <c r="K49" s="18" t="str">
        <f>IF(tblSites[[#This Row],[Country]]="","",COUNTIF($A$2:A49,A49))</f>
        <v/>
      </c>
    </row>
    <row r="50" spans="1:11" x14ac:dyDescent="0.25">
      <c r="A50" s="57" t="str">
        <f t="shared" si="0"/>
        <v/>
      </c>
      <c r="B50" s="57" t="str">
        <f>_xlfn.CONCAT(tblSites[[#This Row],[Country]],tblSites[[#This Row],[Site Amounts]])</f>
        <v/>
      </c>
      <c r="C50" s="58" t="str">
        <f>_xlfn.IFNA(INDEX('Study Information'!$O$1:$AH$24,MATCH(tblSites[[#This Row],[Country]],'Study Information'!$D:$D,0),MATCH(tblSites[[#This Row],[Site Amounts]],'Study Information'!$O$1:$AH$1,0)),"")</f>
        <v/>
      </c>
      <c r="D50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0" s="57"/>
      <c r="F50" s="23" t="str">
        <f>IFERROR(INT((_xlfn.XLOOKUP(A50,'Study Information'!D:D,'Study Information'!H:H)-SUMIFS($G:$G,$A:$A,A50,$G:$G,"&gt;0"))/(_xlfn.XLOOKUP(A50,'Study Information'!D:D,'Study Information'!I:I)))+IF(K50&lt;=MOD(_xlfn.XLOOKUP(A50,'Study Information'!D:D,'Study Information'!H:H)-SUMIFS($G:$G,$A:$A,A50,$G:$G,"&gt;0"),_xlfn.XLOOKUP(A50,'Study Information'!D:D,'Study Information'!I:I)),1,0),"")</f>
        <v/>
      </c>
      <c r="G50" s="59"/>
      <c r="H50" s="18" t="str">
        <f>IF(tblSites[[#This Row],[Country]]="","",_xlfn.XLOOKUP(tblSites[[#This Row],[Country]],'Study Information'!$D:$D,'Study Information'!$E:$E))</f>
        <v/>
      </c>
      <c r="I50" s="18" t="str">
        <f>IF(A50="","",IF(H50="Yes","",_xlfn.IFNA(IF(_xlfn.XLOOKUP(tblSites[[#This Row],[Country]],'Scenario Tool'!$B:$B,'Scenario Tool'!$A:$A)=0,"",_xlfn.XLOOKUP(tblSites[[#This Row],[Country]],'Scenario Tool'!$B:$B,'Scenario Tool'!$A:$A)),"Not Specified")))</f>
        <v/>
      </c>
      <c r="J50" s="18" t="str">
        <f>IF(AND(tblSites[[#This Row],[Include?]]="YES",tblSites[[#This Row],[Scenario?]]="YES"),"Scenario and Include both Yes","")</f>
        <v/>
      </c>
      <c r="K50" s="18" t="str">
        <f>IF(tblSites[[#This Row],[Country]]="","",COUNTIF($A$2:A50,A50))</f>
        <v/>
      </c>
    </row>
    <row r="51" spans="1:11" x14ac:dyDescent="0.25">
      <c r="A51" s="57" t="str">
        <f t="shared" si="0"/>
        <v/>
      </c>
      <c r="B51" s="57" t="str">
        <f>_xlfn.CONCAT(tblSites[[#This Row],[Country]],tblSites[[#This Row],[Site Amounts]])</f>
        <v/>
      </c>
      <c r="C51" s="58" t="str">
        <f>_xlfn.IFNA(INDEX('Study Information'!$O$1:$AH$24,MATCH(tblSites[[#This Row],[Country]],'Study Information'!$D:$D,0),MATCH(tblSites[[#This Row],[Site Amounts]],'Study Information'!$O$1:$AH$1,0)),"")</f>
        <v/>
      </c>
      <c r="D51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1" s="57"/>
      <c r="F51" s="23" t="str">
        <f>IFERROR(INT((_xlfn.XLOOKUP(A51,'Study Information'!D:D,'Study Information'!H:H)-SUMIFS($G:$G,$A:$A,A51,$G:$G,"&gt;0"))/(_xlfn.XLOOKUP(A51,'Study Information'!D:D,'Study Information'!I:I)))+IF(K51&lt;=MOD(_xlfn.XLOOKUP(A51,'Study Information'!D:D,'Study Information'!H:H)-SUMIFS($G:$G,$A:$A,A51,$G:$G,"&gt;0"),_xlfn.XLOOKUP(A51,'Study Information'!D:D,'Study Information'!I:I)),1,0),"")</f>
        <v/>
      </c>
      <c r="G51" s="59"/>
      <c r="H51" s="18" t="str">
        <f>IF(tblSites[[#This Row],[Country]]="","",_xlfn.XLOOKUP(tblSites[[#This Row],[Country]],'Study Information'!$D:$D,'Study Information'!$E:$E))</f>
        <v/>
      </c>
      <c r="I51" s="18" t="str">
        <f>IF(A51="","",IF(H51="Yes","",_xlfn.IFNA(IF(_xlfn.XLOOKUP(tblSites[[#This Row],[Country]],'Scenario Tool'!$B:$B,'Scenario Tool'!$A:$A)=0,"",_xlfn.XLOOKUP(tblSites[[#This Row],[Country]],'Scenario Tool'!$B:$B,'Scenario Tool'!$A:$A)),"Not Specified")))</f>
        <v/>
      </c>
      <c r="J51" s="18" t="str">
        <f>IF(AND(tblSites[[#This Row],[Include?]]="YES",tblSites[[#This Row],[Scenario?]]="YES"),"Scenario and Include both Yes","")</f>
        <v/>
      </c>
      <c r="K51" s="18" t="str">
        <f>IF(tblSites[[#This Row],[Country]]="","",COUNTIF($A$2:A51,A51))</f>
        <v/>
      </c>
    </row>
    <row r="52" spans="1:11" x14ac:dyDescent="0.25">
      <c r="A52" s="57" t="str">
        <f t="shared" si="0"/>
        <v/>
      </c>
      <c r="B52" s="57" t="str">
        <f>_xlfn.CONCAT(tblSites[[#This Row],[Country]],tblSites[[#This Row],[Site Amounts]])</f>
        <v/>
      </c>
      <c r="C52" s="58" t="str">
        <f>_xlfn.IFNA(INDEX('Study Information'!$O$1:$AH$24,MATCH(tblSites[[#This Row],[Country]],'Study Information'!$D:$D,0),MATCH(tblSites[[#This Row],[Site Amounts]],'Study Information'!$O$1:$AH$1,0)),"")</f>
        <v/>
      </c>
      <c r="D52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2" s="57"/>
      <c r="F52" s="23" t="str">
        <f>IFERROR(INT((_xlfn.XLOOKUP(A52,'Study Information'!D:D,'Study Information'!H:H)-SUMIFS($G:$G,$A:$A,A52,$G:$G,"&gt;0"))/(_xlfn.XLOOKUP(A52,'Study Information'!D:D,'Study Information'!I:I)))+IF(K52&lt;=MOD(_xlfn.XLOOKUP(A52,'Study Information'!D:D,'Study Information'!H:H)-SUMIFS($G:$G,$A:$A,A52,$G:$G,"&gt;0"),_xlfn.XLOOKUP(A52,'Study Information'!D:D,'Study Information'!I:I)),1,0),"")</f>
        <v/>
      </c>
      <c r="G52" s="59"/>
      <c r="H52" s="18" t="str">
        <f>IF(tblSites[[#This Row],[Country]]="","",_xlfn.XLOOKUP(tblSites[[#This Row],[Country]],'Study Information'!$D:$D,'Study Information'!$E:$E))</f>
        <v/>
      </c>
      <c r="I52" s="18" t="str">
        <f>IF(A52="","",IF(H52="Yes","",_xlfn.IFNA(IF(_xlfn.XLOOKUP(tblSites[[#This Row],[Country]],'Scenario Tool'!$B:$B,'Scenario Tool'!$A:$A)=0,"",_xlfn.XLOOKUP(tblSites[[#This Row],[Country]],'Scenario Tool'!$B:$B,'Scenario Tool'!$A:$A)),"Not Specified")))</f>
        <v/>
      </c>
      <c r="J52" s="18" t="str">
        <f>IF(AND(tblSites[[#This Row],[Include?]]="YES",tblSites[[#This Row],[Scenario?]]="YES"),"Scenario and Include both Yes","")</f>
        <v/>
      </c>
      <c r="K52" s="18" t="str">
        <f>IF(tblSites[[#This Row],[Country]]="","",COUNTIF($A$2:A52,A52))</f>
        <v/>
      </c>
    </row>
    <row r="53" spans="1:11" x14ac:dyDescent="0.25">
      <c r="A53" s="57" t="str">
        <f t="shared" si="0"/>
        <v/>
      </c>
      <c r="B53" s="57" t="str">
        <f>_xlfn.CONCAT(tblSites[[#This Row],[Country]],tblSites[[#This Row],[Site Amounts]])</f>
        <v/>
      </c>
      <c r="C53" s="58" t="str">
        <f>_xlfn.IFNA(INDEX('Study Information'!$O$1:$AH$24,MATCH(tblSites[[#This Row],[Country]],'Study Information'!$D:$D,0),MATCH(tblSites[[#This Row],[Site Amounts]],'Study Information'!$O$1:$AH$1,0)),"")</f>
        <v/>
      </c>
      <c r="D53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3" s="57"/>
      <c r="F53" s="23" t="str">
        <f>IFERROR(INT((_xlfn.XLOOKUP(A53,'Study Information'!D:D,'Study Information'!H:H)-SUMIFS($G:$G,$A:$A,A53,$G:$G,"&gt;0"))/(_xlfn.XLOOKUP(A53,'Study Information'!D:D,'Study Information'!I:I)))+IF(K53&lt;=MOD(_xlfn.XLOOKUP(A53,'Study Information'!D:D,'Study Information'!H:H)-SUMIFS($G:$G,$A:$A,A53,$G:$G,"&gt;0"),_xlfn.XLOOKUP(A53,'Study Information'!D:D,'Study Information'!I:I)),1,0),"")</f>
        <v/>
      </c>
      <c r="G53" s="59"/>
      <c r="H53" s="18" t="str">
        <f>IF(tblSites[[#This Row],[Country]]="","",_xlfn.XLOOKUP(tblSites[[#This Row],[Country]],'Study Information'!$D:$D,'Study Information'!$E:$E))</f>
        <v/>
      </c>
      <c r="I53" s="18" t="str">
        <f>IF(A53="","",IF(H53="Yes","",_xlfn.IFNA(IF(_xlfn.XLOOKUP(tblSites[[#This Row],[Country]],'Scenario Tool'!$B:$B,'Scenario Tool'!$A:$A)=0,"",_xlfn.XLOOKUP(tblSites[[#This Row],[Country]],'Scenario Tool'!$B:$B,'Scenario Tool'!$A:$A)),"Not Specified")))</f>
        <v/>
      </c>
      <c r="J53" s="18" t="str">
        <f>IF(AND(tblSites[[#This Row],[Include?]]="YES",tblSites[[#This Row],[Scenario?]]="YES"),"Scenario and Include both Yes","")</f>
        <v/>
      </c>
      <c r="K53" s="18" t="str">
        <f>IF(tblSites[[#This Row],[Country]]="","",COUNTIF($A$2:A53,A53))</f>
        <v/>
      </c>
    </row>
    <row r="54" spans="1:11" x14ac:dyDescent="0.25">
      <c r="A54" s="57" t="str">
        <f t="shared" si="0"/>
        <v/>
      </c>
      <c r="B54" s="57" t="str">
        <f>_xlfn.CONCAT(tblSites[[#This Row],[Country]],tblSites[[#This Row],[Site Amounts]])</f>
        <v/>
      </c>
      <c r="C54" s="58" t="str">
        <f>_xlfn.IFNA(INDEX('Study Information'!$O$1:$AH$24,MATCH(tblSites[[#This Row],[Country]],'Study Information'!$D:$D,0),MATCH(tblSites[[#This Row],[Site Amounts]],'Study Information'!$O$1:$AH$1,0)),"")</f>
        <v/>
      </c>
      <c r="D54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4" s="57"/>
      <c r="F54" s="23" t="str">
        <f>IFERROR(INT((_xlfn.XLOOKUP(A54,'Study Information'!D:D,'Study Information'!H:H)-SUMIFS($G:$G,$A:$A,A54,$G:$G,"&gt;0"))/(_xlfn.XLOOKUP(A54,'Study Information'!D:D,'Study Information'!I:I)))+IF(K54&lt;=MOD(_xlfn.XLOOKUP(A54,'Study Information'!D:D,'Study Information'!H:H)-SUMIFS($G:$G,$A:$A,A54,$G:$G,"&gt;0"),_xlfn.XLOOKUP(A54,'Study Information'!D:D,'Study Information'!I:I)),1,0),"")</f>
        <v/>
      </c>
      <c r="G54" s="59"/>
      <c r="H54" s="18" t="str">
        <f>IF(tblSites[[#This Row],[Country]]="","",_xlfn.XLOOKUP(tblSites[[#This Row],[Country]],'Study Information'!$D:$D,'Study Information'!$E:$E))</f>
        <v/>
      </c>
      <c r="I54" s="18" t="str">
        <f>IF(A54="","",IF(H54="Yes","",_xlfn.IFNA(IF(_xlfn.XLOOKUP(tblSites[[#This Row],[Country]],'Scenario Tool'!$B:$B,'Scenario Tool'!$A:$A)=0,"",_xlfn.XLOOKUP(tblSites[[#This Row],[Country]],'Scenario Tool'!$B:$B,'Scenario Tool'!$A:$A)),"Not Specified")))</f>
        <v/>
      </c>
      <c r="J54" s="18" t="str">
        <f>IF(AND(tblSites[[#This Row],[Include?]]="YES",tblSites[[#This Row],[Scenario?]]="YES"),"Scenario and Include both Yes","")</f>
        <v/>
      </c>
      <c r="K54" s="18" t="str">
        <f>IF(tblSites[[#This Row],[Country]]="","",COUNTIF($A$2:A54,A54))</f>
        <v/>
      </c>
    </row>
    <row r="55" spans="1:11" x14ac:dyDescent="0.25">
      <c r="A55" s="57" t="str">
        <f t="shared" si="0"/>
        <v/>
      </c>
      <c r="B55" s="57" t="str">
        <f>_xlfn.CONCAT(tblSites[[#This Row],[Country]],tblSites[[#This Row],[Site Amounts]])</f>
        <v/>
      </c>
      <c r="C55" s="58" t="str">
        <f>_xlfn.IFNA(INDEX('Study Information'!$O$1:$AH$24,MATCH(tblSites[[#This Row],[Country]],'Study Information'!$D:$D,0),MATCH(tblSites[[#This Row],[Site Amounts]],'Study Information'!$O$1:$AH$1,0)),"")</f>
        <v/>
      </c>
      <c r="D55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5" s="57"/>
      <c r="F55" s="23" t="str">
        <f>IFERROR(INT((_xlfn.XLOOKUP(A55,'Study Information'!D:D,'Study Information'!H:H)-SUMIFS($G:$G,$A:$A,A55,$G:$G,"&gt;0"))/(_xlfn.XLOOKUP(A55,'Study Information'!D:D,'Study Information'!I:I)))+IF(K55&lt;=MOD(_xlfn.XLOOKUP(A55,'Study Information'!D:D,'Study Information'!H:H)-SUMIFS($G:$G,$A:$A,A55,$G:$G,"&gt;0"),_xlfn.XLOOKUP(A55,'Study Information'!D:D,'Study Information'!I:I)),1,0),"")</f>
        <v/>
      </c>
      <c r="G55" s="59"/>
      <c r="H55" s="18" t="str">
        <f>IF(tblSites[[#This Row],[Country]]="","",_xlfn.XLOOKUP(tblSites[[#This Row],[Country]],'Study Information'!$D:$D,'Study Information'!$E:$E))</f>
        <v/>
      </c>
      <c r="I55" s="18" t="str">
        <f>IF(A55="","",IF(H55="Yes","",_xlfn.IFNA(IF(_xlfn.XLOOKUP(tblSites[[#This Row],[Country]],'Scenario Tool'!$B:$B,'Scenario Tool'!$A:$A)=0,"",_xlfn.XLOOKUP(tblSites[[#This Row],[Country]],'Scenario Tool'!$B:$B,'Scenario Tool'!$A:$A)),"Not Specified")))</f>
        <v/>
      </c>
      <c r="J55" s="18" t="str">
        <f>IF(AND(tblSites[[#This Row],[Include?]]="YES",tblSites[[#This Row],[Scenario?]]="YES"),"Scenario and Include both Yes","")</f>
        <v/>
      </c>
      <c r="K55" s="18" t="str">
        <f>IF(tblSites[[#This Row],[Country]]="","",COUNTIF($A$2:A55,A55))</f>
        <v/>
      </c>
    </row>
    <row r="56" spans="1:11" x14ac:dyDescent="0.25">
      <c r="A56" s="57" t="str">
        <f t="shared" si="0"/>
        <v/>
      </c>
      <c r="B56" s="57" t="str">
        <f>_xlfn.CONCAT(tblSites[[#This Row],[Country]],tblSites[[#This Row],[Site Amounts]])</f>
        <v/>
      </c>
      <c r="C56" s="58" t="str">
        <f>_xlfn.IFNA(INDEX('Study Information'!$O$1:$AH$24,MATCH(tblSites[[#This Row],[Country]],'Study Information'!$D:$D,0),MATCH(tblSites[[#This Row],[Site Amounts]],'Study Information'!$O$1:$AH$1,0)),"")</f>
        <v/>
      </c>
      <c r="D56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6" s="57"/>
      <c r="F56" s="23" t="str">
        <f>IFERROR(INT((_xlfn.XLOOKUP(A56,'Study Information'!D:D,'Study Information'!H:H)-SUMIFS($G:$G,$A:$A,A56,$G:$G,"&gt;0"))/(_xlfn.XLOOKUP(A56,'Study Information'!D:D,'Study Information'!I:I)))+IF(K56&lt;=MOD(_xlfn.XLOOKUP(A56,'Study Information'!D:D,'Study Information'!H:H)-SUMIFS($G:$G,$A:$A,A56,$G:$G,"&gt;0"),_xlfn.XLOOKUP(A56,'Study Information'!D:D,'Study Information'!I:I)),1,0),"")</f>
        <v/>
      </c>
      <c r="G56" s="59"/>
      <c r="H56" s="18" t="str">
        <f>IF(tblSites[[#This Row],[Country]]="","",_xlfn.XLOOKUP(tblSites[[#This Row],[Country]],'Study Information'!$D:$D,'Study Information'!$E:$E))</f>
        <v/>
      </c>
      <c r="I56" s="18" t="str">
        <f>IF(A56="","",IF(H56="Yes","",_xlfn.IFNA(IF(_xlfn.XLOOKUP(tblSites[[#This Row],[Country]],'Scenario Tool'!$B:$B,'Scenario Tool'!$A:$A)=0,"",_xlfn.XLOOKUP(tblSites[[#This Row],[Country]],'Scenario Tool'!$B:$B,'Scenario Tool'!$A:$A)),"Not Specified")))</f>
        <v/>
      </c>
      <c r="J56" s="18" t="str">
        <f>IF(AND(tblSites[[#This Row],[Include?]]="YES",tblSites[[#This Row],[Scenario?]]="YES"),"Scenario and Include both Yes","")</f>
        <v/>
      </c>
      <c r="K56" s="18" t="str">
        <f>IF(tblSites[[#This Row],[Country]]="","",COUNTIF($A$2:A56,A56))</f>
        <v/>
      </c>
    </row>
    <row r="57" spans="1:11" x14ac:dyDescent="0.25">
      <c r="A57" s="57" t="str">
        <f t="shared" si="0"/>
        <v/>
      </c>
      <c r="B57" s="57" t="str">
        <f>_xlfn.CONCAT(tblSites[[#This Row],[Country]],tblSites[[#This Row],[Site Amounts]])</f>
        <v/>
      </c>
      <c r="C57" s="58" t="str">
        <f>_xlfn.IFNA(INDEX('Study Information'!$O$1:$AH$24,MATCH(tblSites[[#This Row],[Country]],'Study Information'!$D:$D,0),MATCH(tblSites[[#This Row],[Site Amounts]],'Study Information'!$O$1:$AH$1,0)),"")</f>
        <v/>
      </c>
      <c r="D57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7" s="57"/>
      <c r="F57" s="23" t="str">
        <f>IFERROR(INT((_xlfn.XLOOKUP(A57,'Study Information'!D:D,'Study Information'!H:H)-SUMIFS($G:$G,$A:$A,A57,$G:$G,"&gt;0"))/(_xlfn.XLOOKUP(A57,'Study Information'!D:D,'Study Information'!I:I)))+IF(K57&lt;=MOD(_xlfn.XLOOKUP(A57,'Study Information'!D:D,'Study Information'!H:H)-SUMIFS($G:$G,$A:$A,A57,$G:$G,"&gt;0"),_xlfn.XLOOKUP(A57,'Study Information'!D:D,'Study Information'!I:I)),1,0),"")</f>
        <v/>
      </c>
      <c r="G57" s="59"/>
      <c r="H57" s="18" t="str">
        <f>IF(tblSites[[#This Row],[Country]]="","",_xlfn.XLOOKUP(tblSites[[#This Row],[Country]],'Study Information'!$D:$D,'Study Information'!$E:$E))</f>
        <v/>
      </c>
      <c r="I57" s="18" t="str">
        <f>IF(A57="","",IF(H57="Yes","",_xlfn.IFNA(IF(_xlfn.XLOOKUP(tblSites[[#This Row],[Country]],'Scenario Tool'!$B:$B,'Scenario Tool'!$A:$A)=0,"",_xlfn.XLOOKUP(tblSites[[#This Row],[Country]],'Scenario Tool'!$B:$B,'Scenario Tool'!$A:$A)),"Not Specified")))</f>
        <v/>
      </c>
      <c r="J57" s="18" t="str">
        <f>IF(AND(tblSites[[#This Row],[Include?]]="YES",tblSites[[#This Row],[Scenario?]]="YES"),"Scenario and Include both Yes","")</f>
        <v/>
      </c>
      <c r="K57" s="18" t="str">
        <f>IF(tblSites[[#This Row],[Country]]="","",COUNTIF($A$2:A57,A57))</f>
        <v/>
      </c>
    </row>
    <row r="58" spans="1:11" x14ac:dyDescent="0.25">
      <c r="A58" s="57" t="str">
        <f t="shared" si="0"/>
        <v/>
      </c>
      <c r="B58" s="57" t="str">
        <f>_xlfn.CONCAT(tblSites[[#This Row],[Country]],tblSites[[#This Row],[Site Amounts]])</f>
        <v/>
      </c>
      <c r="C58" s="58" t="str">
        <f>_xlfn.IFNA(INDEX('Study Information'!$O$1:$AH$24,MATCH(tblSites[[#This Row],[Country]],'Study Information'!$D:$D,0),MATCH(tblSites[[#This Row],[Site Amounts]],'Study Information'!$O$1:$AH$1,0)),"")</f>
        <v/>
      </c>
      <c r="D58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8" s="57"/>
      <c r="F58" s="23" t="str">
        <f>IFERROR(INT((_xlfn.XLOOKUP(A58,'Study Information'!D:D,'Study Information'!H:H)-SUMIFS($G:$G,$A:$A,A58,$G:$G,"&gt;0"))/(_xlfn.XLOOKUP(A58,'Study Information'!D:D,'Study Information'!I:I)))+IF(K58&lt;=MOD(_xlfn.XLOOKUP(A58,'Study Information'!D:D,'Study Information'!H:H)-SUMIFS($G:$G,$A:$A,A58,$G:$G,"&gt;0"),_xlfn.XLOOKUP(A58,'Study Information'!D:D,'Study Information'!I:I)),1,0),"")</f>
        <v/>
      </c>
      <c r="G58" s="59"/>
      <c r="H58" s="18" t="str">
        <f>IF(tblSites[[#This Row],[Country]]="","",_xlfn.XLOOKUP(tblSites[[#This Row],[Country]],'Study Information'!$D:$D,'Study Information'!$E:$E))</f>
        <v/>
      </c>
      <c r="I58" s="18" t="str">
        <f>IF(A58="","",IF(H58="Yes","",_xlfn.IFNA(IF(_xlfn.XLOOKUP(tblSites[[#This Row],[Country]],'Scenario Tool'!$B:$B,'Scenario Tool'!$A:$A)=0,"",_xlfn.XLOOKUP(tblSites[[#This Row],[Country]],'Scenario Tool'!$B:$B,'Scenario Tool'!$A:$A)),"Not Specified")))</f>
        <v/>
      </c>
      <c r="J58" s="18" t="str">
        <f>IF(AND(tblSites[[#This Row],[Include?]]="YES",tblSites[[#This Row],[Scenario?]]="YES"),"Scenario and Include both Yes","")</f>
        <v/>
      </c>
      <c r="K58" s="18" t="str">
        <f>IF(tblSites[[#This Row],[Country]]="","",COUNTIF($A$2:A58,A58))</f>
        <v/>
      </c>
    </row>
    <row r="59" spans="1:11" x14ac:dyDescent="0.25">
      <c r="A59" s="57" t="str">
        <f t="shared" si="0"/>
        <v/>
      </c>
      <c r="B59" s="57" t="str">
        <f>_xlfn.CONCAT(tblSites[[#This Row],[Country]],tblSites[[#This Row],[Site Amounts]])</f>
        <v/>
      </c>
      <c r="C59" s="58" t="str">
        <f>_xlfn.IFNA(INDEX('Study Information'!$O$1:$AH$24,MATCH(tblSites[[#This Row],[Country]],'Study Information'!$D:$D,0),MATCH(tblSites[[#This Row],[Site Amounts]],'Study Information'!$O$1:$AH$1,0)),"")</f>
        <v/>
      </c>
      <c r="D59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59" s="57"/>
      <c r="F59" s="23" t="str">
        <f>IFERROR(INT((_xlfn.XLOOKUP(A59,'Study Information'!D:D,'Study Information'!H:H)-SUMIFS($G:$G,$A:$A,A59,$G:$G,"&gt;0"))/(_xlfn.XLOOKUP(A59,'Study Information'!D:D,'Study Information'!I:I)))+IF(K59&lt;=MOD(_xlfn.XLOOKUP(A59,'Study Information'!D:D,'Study Information'!H:H)-SUMIFS($G:$G,$A:$A,A59,$G:$G,"&gt;0"),_xlfn.XLOOKUP(A59,'Study Information'!D:D,'Study Information'!I:I)),1,0),"")</f>
        <v/>
      </c>
      <c r="G59" s="59"/>
      <c r="H59" s="18" t="str">
        <f>IF(tblSites[[#This Row],[Country]]="","",_xlfn.XLOOKUP(tblSites[[#This Row],[Country]],'Study Information'!$D:$D,'Study Information'!$E:$E))</f>
        <v/>
      </c>
      <c r="I59" s="18" t="str">
        <f>IF(A59="","",IF(H59="Yes","",_xlfn.IFNA(IF(_xlfn.XLOOKUP(tblSites[[#This Row],[Country]],'Scenario Tool'!$B:$B,'Scenario Tool'!$A:$A)=0,"",_xlfn.XLOOKUP(tblSites[[#This Row],[Country]],'Scenario Tool'!$B:$B,'Scenario Tool'!$A:$A)),"Not Specified")))</f>
        <v/>
      </c>
      <c r="J59" s="18" t="str">
        <f>IF(AND(tblSites[[#This Row],[Include?]]="YES",tblSites[[#This Row],[Scenario?]]="YES"),"Scenario and Include both Yes","")</f>
        <v/>
      </c>
      <c r="K59" s="18" t="str">
        <f>IF(tblSites[[#This Row],[Country]]="","",COUNTIF($A$2:A59,A59))</f>
        <v/>
      </c>
    </row>
    <row r="60" spans="1:11" x14ac:dyDescent="0.25">
      <c r="A60" s="57" t="str">
        <f t="shared" si="0"/>
        <v/>
      </c>
      <c r="B60" s="57" t="str">
        <f>_xlfn.CONCAT(tblSites[[#This Row],[Country]],tblSites[[#This Row],[Site Amounts]])</f>
        <v/>
      </c>
      <c r="C60" s="58" t="str">
        <f>_xlfn.IFNA(INDEX('Study Information'!$O$1:$AH$24,MATCH(tblSites[[#This Row],[Country]],'Study Information'!$D:$D,0),MATCH(tblSites[[#This Row],[Site Amounts]],'Study Information'!$O$1:$AH$1,0)),"")</f>
        <v/>
      </c>
      <c r="D60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60" s="57"/>
      <c r="F60" s="23" t="str">
        <f>IFERROR(INT((_xlfn.XLOOKUP(A60,'Study Information'!D:D,'Study Information'!H:H)-SUMIFS($G:$G,$A:$A,A60,$G:$G,"&gt;0"))/(_xlfn.XLOOKUP(A60,'Study Information'!D:D,'Study Information'!I:I)))+IF(K60&lt;=MOD(_xlfn.XLOOKUP(A60,'Study Information'!D:D,'Study Information'!H:H)-SUMIFS($G:$G,$A:$A,A60,$G:$G,"&gt;0"),_xlfn.XLOOKUP(A60,'Study Information'!D:D,'Study Information'!I:I)),1,0),"")</f>
        <v/>
      </c>
      <c r="G60" s="59"/>
      <c r="H60" s="18" t="str">
        <f>IF(tblSites[[#This Row],[Country]]="","",_xlfn.XLOOKUP(tblSites[[#This Row],[Country]],'Study Information'!$D:$D,'Study Information'!$E:$E))</f>
        <v/>
      </c>
      <c r="I60" s="18" t="str">
        <f>IF(A60="","",IF(H60="Yes","",_xlfn.IFNA(IF(_xlfn.XLOOKUP(tblSites[[#This Row],[Country]],'Scenario Tool'!$B:$B,'Scenario Tool'!$A:$A)=0,"",_xlfn.XLOOKUP(tblSites[[#This Row],[Country]],'Scenario Tool'!$B:$B,'Scenario Tool'!$A:$A)),"Not Specified")))</f>
        <v/>
      </c>
      <c r="J60" s="18" t="str">
        <f>IF(AND(tblSites[[#This Row],[Include?]]="YES",tblSites[[#This Row],[Scenario?]]="YES"),"Scenario and Include both Yes","")</f>
        <v/>
      </c>
      <c r="K60" s="18" t="str">
        <f>IF(tblSites[[#This Row],[Country]]="","",COUNTIF($A$2:A60,A60))</f>
        <v/>
      </c>
    </row>
    <row r="61" spans="1:11" x14ac:dyDescent="0.25">
      <c r="A61" s="57" t="str">
        <f t="shared" si="0"/>
        <v/>
      </c>
      <c r="B61" s="57" t="str">
        <f>_xlfn.CONCAT(tblSites[[#This Row],[Country]],tblSites[[#This Row],[Site Amounts]])</f>
        <v/>
      </c>
      <c r="C61" s="58" t="str">
        <f>_xlfn.IFNA(INDEX('Study Information'!$O$1:$AH$24,MATCH(tblSites[[#This Row],[Country]],'Study Information'!$D:$D,0),MATCH(tblSites[[#This Row],[Site Amounts]],'Study Information'!$O$1:$AH$1,0)),"")</f>
        <v/>
      </c>
      <c r="D61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61" s="57"/>
      <c r="F61" s="23" t="str">
        <f>IFERROR(INT((_xlfn.XLOOKUP(A61,'Study Information'!D:D,'Study Information'!H:H)-SUMIFS($G:$G,$A:$A,A61,$G:$G,"&gt;0"))/(_xlfn.XLOOKUP(A61,'Study Information'!D:D,'Study Information'!I:I)))+IF(K61&lt;=MOD(_xlfn.XLOOKUP(A61,'Study Information'!D:D,'Study Information'!H:H)-SUMIFS($G:$G,$A:$A,A61,$G:$G,"&gt;0"),_xlfn.XLOOKUP(A61,'Study Information'!D:D,'Study Information'!I:I)),1,0),"")</f>
        <v/>
      </c>
      <c r="G61" s="59"/>
      <c r="H61" s="18" t="str">
        <f>IF(tblSites[[#This Row],[Country]]="","",_xlfn.XLOOKUP(tblSites[[#This Row],[Country]],'Study Information'!$D:$D,'Study Information'!$E:$E))</f>
        <v/>
      </c>
      <c r="I61" s="18" t="str">
        <f>IF(A61="","",IF(H61="Yes","",_xlfn.IFNA(IF(_xlfn.XLOOKUP(tblSites[[#This Row],[Country]],'Scenario Tool'!$B:$B,'Scenario Tool'!$A:$A)=0,"",_xlfn.XLOOKUP(tblSites[[#This Row],[Country]],'Scenario Tool'!$B:$B,'Scenario Tool'!$A:$A)),"Not Specified")))</f>
        <v/>
      </c>
      <c r="J61" s="18" t="str">
        <f>IF(AND(tblSites[[#This Row],[Include?]]="YES",tblSites[[#This Row],[Scenario?]]="YES"),"Scenario and Include both Yes","")</f>
        <v/>
      </c>
      <c r="K61" s="18" t="str">
        <f>IF(tblSites[[#This Row],[Country]]="","",COUNTIF($A$2:A61,A61))</f>
        <v/>
      </c>
    </row>
    <row r="62" spans="1:11" x14ac:dyDescent="0.25">
      <c r="A62" s="57" t="str">
        <f t="shared" si="0"/>
        <v/>
      </c>
      <c r="B62" s="57" t="str">
        <f>_xlfn.CONCAT(tblSites[[#This Row],[Country]],tblSites[[#This Row],[Site Amounts]])</f>
        <v/>
      </c>
      <c r="C62" s="58" t="str">
        <f>_xlfn.IFNA(INDEX('Study Information'!$O$1:$AH$24,MATCH(tblSites[[#This Row],[Country]],'Study Information'!$D:$D,0),MATCH(tblSites[[#This Row],[Site Amounts]],'Study Information'!$O$1:$AH$1,0)),"")</f>
        <v/>
      </c>
      <c r="D62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62" s="57"/>
      <c r="F62" s="23" t="str">
        <f>IFERROR(INT((_xlfn.XLOOKUP(A62,'Study Information'!D:D,'Study Information'!H:H)-SUMIFS($G:$G,$A:$A,A62,$G:$G,"&gt;0"))/(_xlfn.XLOOKUP(A62,'Study Information'!D:D,'Study Information'!I:I)))+IF(K62&lt;=MOD(_xlfn.XLOOKUP(A62,'Study Information'!D:D,'Study Information'!H:H)-SUMIFS($G:$G,$A:$A,A62,$G:$G,"&gt;0"),_xlfn.XLOOKUP(A62,'Study Information'!D:D,'Study Information'!I:I)),1,0),"")</f>
        <v/>
      </c>
      <c r="G62" s="59"/>
      <c r="H62" s="18" t="str">
        <f>IF(tblSites[[#This Row],[Country]]="","",_xlfn.XLOOKUP(tblSites[[#This Row],[Country]],'Study Information'!$D:$D,'Study Information'!$E:$E))</f>
        <v/>
      </c>
      <c r="I62" s="18" t="str">
        <f>IF(A62="","",IF(H62="Yes","",_xlfn.IFNA(IF(_xlfn.XLOOKUP(tblSites[[#This Row],[Country]],'Scenario Tool'!$B:$B,'Scenario Tool'!$A:$A)=0,"",_xlfn.XLOOKUP(tblSites[[#This Row],[Country]],'Scenario Tool'!$B:$B,'Scenario Tool'!$A:$A)),"Not Specified")))</f>
        <v/>
      </c>
      <c r="J62" s="18" t="str">
        <f>IF(AND(tblSites[[#This Row],[Include?]]="YES",tblSites[[#This Row],[Scenario?]]="YES"),"Scenario and Include both Yes","")</f>
        <v/>
      </c>
      <c r="K62" s="18" t="str">
        <f>IF(tblSites[[#This Row],[Country]]="","",COUNTIF($A$2:A62,A62))</f>
        <v/>
      </c>
    </row>
    <row r="63" spans="1:11" x14ac:dyDescent="0.25">
      <c r="A63" s="57" t="str">
        <f t="shared" si="0"/>
        <v/>
      </c>
      <c r="B63" s="57" t="str">
        <f>_xlfn.CONCAT(tblSites[[#This Row],[Country]],tblSites[[#This Row],[Site Amounts]])</f>
        <v/>
      </c>
      <c r="C63" s="58" t="str">
        <f>_xlfn.IFNA(INDEX('Study Information'!$O$1:$AH$24,MATCH(tblSites[[#This Row],[Country]],'Study Information'!$D:$D,0),MATCH(tblSites[[#This Row],[Site Amounts]],'Study Information'!$O$1:$AH$1,0)),"")</f>
        <v/>
      </c>
      <c r="D63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63" s="57"/>
      <c r="F63" s="23" t="str">
        <f>IFERROR(INT((_xlfn.XLOOKUP(A63,'Study Information'!D:D,'Study Information'!H:H)-SUMIFS($G:$G,$A:$A,A63,$G:$G,"&gt;0"))/(_xlfn.XLOOKUP(A63,'Study Information'!D:D,'Study Information'!I:I)))+IF(K63&lt;=MOD(_xlfn.XLOOKUP(A63,'Study Information'!D:D,'Study Information'!H:H)-SUMIFS($G:$G,$A:$A,A63,$G:$G,"&gt;0"),_xlfn.XLOOKUP(A63,'Study Information'!D:D,'Study Information'!I:I)),1,0),"")</f>
        <v/>
      </c>
      <c r="G63" s="59"/>
      <c r="H63" s="18" t="str">
        <f>IF(tblSites[[#This Row],[Country]]="","",_xlfn.XLOOKUP(tblSites[[#This Row],[Country]],'Study Information'!$D:$D,'Study Information'!$E:$E))</f>
        <v/>
      </c>
      <c r="I63" s="18" t="str">
        <f>IF(A63="","",IF(H63="Yes","",_xlfn.IFNA(IF(_xlfn.XLOOKUP(tblSites[[#This Row],[Country]],'Scenario Tool'!$B:$B,'Scenario Tool'!$A:$A)=0,"",_xlfn.XLOOKUP(tblSites[[#This Row],[Country]],'Scenario Tool'!$B:$B,'Scenario Tool'!$A:$A)),"Not Specified")))</f>
        <v/>
      </c>
      <c r="J63" s="18" t="str">
        <f>IF(AND(tblSites[[#This Row],[Include?]]="YES",tblSites[[#This Row],[Scenario?]]="YES"),"Scenario and Include both Yes","")</f>
        <v/>
      </c>
      <c r="K63" s="18" t="str">
        <f>IF(tblSites[[#This Row],[Country]]="","",COUNTIF($A$2:A63,A63))</f>
        <v/>
      </c>
    </row>
    <row r="64" spans="1:11" x14ac:dyDescent="0.25">
      <c r="A64" s="57" t="str">
        <f t="shared" si="0"/>
        <v/>
      </c>
      <c r="B64" s="57" t="str">
        <f>_xlfn.CONCAT(tblSites[[#This Row],[Country]],tblSites[[#This Row],[Site Amounts]])</f>
        <v/>
      </c>
      <c r="C64" s="58" t="str">
        <f>_xlfn.IFNA(INDEX('Study Information'!$O$1:$AH$24,MATCH(tblSites[[#This Row],[Country]],'Study Information'!$D:$D,0),MATCH(tblSites[[#This Row],[Site Amounts]],'Study Information'!$O$1:$AH$1,0)),"")</f>
        <v/>
      </c>
      <c r="D64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64" s="57"/>
      <c r="F64" s="23" t="str">
        <f>IFERROR(INT((_xlfn.XLOOKUP(A64,'Study Information'!D:D,'Study Information'!H:H)-SUMIFS($G:$G,$A:$A,A64,$G:$G,"&gt;0"))/(_xlfn.XLOOKUP(A64,'Study Information'!D:D,'Study Information'!I:I)))+IF(K64&lt;=MOD(_xlfn.XLOOKUP(A64,'Study Information'!D:D,'Study Information'!H:H)-SUMIFS($G:$G,$A:$A,A64,$G:$G,"&gt;0"),_xlfn.XLOOKUP(A64,'Study Information'!D:D,'Study Information'!I:I)),1,0),"")</f>
        <v/>
      </c>
      <c r="G64" s="59"/>
      <c r="H64" s="18" t="str">
        <f>IF(tblSites[[#This Row],[Country]]="","",_xlfn.XLOOKUP(tblSites[[#This Row],[Country]],'Study Information'!$D:$D,'Study Information'!$E:$E))</f>
        <v/>
      </c>
      <c r="I64" s="18" t="str">
        <f>IF(A64="","",IF(H64="Yes","",_xlfn.IFNA(IF(_xlfn.XLOOKUP(tblSites[[#This Row],[Country]],'Scenario Tool'!$B:$B,'Scenario Tool'!$A:$A)=0,"",_xlfn.XLOOKUP(tblSites[[#This Row],[Country]],'Scenario Tool'!$B:$B,'Scenario Tool'!$A:$A)),"Not Specified")))</f>
        <v/>
      </c>
      <c r="J64" s="18" t="str">
        <f>IF(AND(tblSites[[#This Row],[Include?]]="YES",tblSites[[#This Row],[Scenario?]]="YES"),"Scenario and Include both Yes","")</f>
        <v/>
      </c>
      <c r="K64" s="18" t="str">
        <f>IF(tblSites[[#This Row],[Country]]="","",COUNTIF($A$2:A64,A64))</f>
        <v/>
      </c>
    </row>
    <row r="65" spans="1:11" x14ac:dyDescent="0.25">
      <c r="A65" s="57" t="str">
        <f t="shared" si="0"/>
        <v/>
      </c>
      <c r="B65" s="57" t="str">
        <f>_xlfn.CONCAT(tblSites[[#This Row],[Country]],tblSites[[#This Row],[Site Amounts]])</f>
        <v/>
      </c>
      <c r="C65" s="58" t="str">
        <f>_xlfn.IFNA(INDEX('Study Information'!$O$1:$AH$24,MATCH(tblSites[[#This Row],[Country]],'Study Information'!$D:$D,0),MATCH(tblSites[[#This Row],[Site Amounts]],'Study Information'!$O$1:$AH$1,0)),"")</f>
        <v/>
      </c>
      <c r="D65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65" s="57"/>
      <c r="F65" s="23" t="str">
        <f>IFERROR(INT((_xlfn.XLOOKUP(A65,'Study Information'!D:D,'Study Information'!H:H)-SUMIFS($G:$G,$A:$A,A65,$G:$G,"&gt;0"))/(_xlfn.XLOOKUP(A65,'Study Information'!D:D,'Study Information'!I:I)))+IF(K65&lt;=MOD(_xlfn.XLOOKUP(A65,'Study Information'!D:D,'Study Information'!H:H)-SUMIFS($G:$G,$A:$A,A65,$G:$G,"&gt;0"),_xlfn.XLOOKUP(A65,'Study Information'!D:D,'Study Information'!I:I)),1,0),"")</f>
        <v/>
      </c>
      <c r="G65" s="59"/>
      <c r="H65" s="18" t="str">
        <f>IF(tblSites[[#This Row],[Country]]="","",_xlfn.XLOOKUP(tblSites[[#This Row],[Country]],'Study Information'!$D:$D,'Study Information'!$E:$E))</f>
        <v/>
      </c>
      <c r="I65" s="18" t="str">
        <f>IF(A65="","",IF(H65="Yes","",_xlfn.IFNA(IF(_xlfn.XLOOKUP(tblSites[[#This Row],[Country]],'Scenario Tool'!$B:$B,'Scenario Tool'!$A:$A)=0,"",_xlfn.XLOOKUP(tblSites[[#This Row],[Country]],'Scenario Tool'!$B:$B,'Scenario Tool'!$A:$A)),"Not Specified")))</f>
        <v/>
      </c>
      <c r="J65" s="18" t="str">
        <f>IF(AND(tblSites[[#This Row],[Include?]]="YES",tblSites[[#This Row],[Scenario?]]="YES"),"Scenario and Include both Yes","")</f>
        <v/>
      </c>
      <c r="K65" s="18" t="str">
        <f>IF(tblSites[[#This Row],[Country]]="","",COUNTIF($A$2:A65,A65))</f>
        <v/>
      </c>
    </row>
    <row r="66" spans="1:11" x14ac:dyDescent="0.25">
      <c r="A66" s="57" t="str">
        <f t="shared" ref="A66:A68" si="1">IF(N66="","",N66)</f>
        <v/>
      </c>
      <c r="B66" s="57" t="str">
        <f>_xlfn.CONCAT(tblSites[[#This Row],[Country]],tblSites[[#This Row],[Site Amounts]])</f>
        <v/>
      </c>
      <c r="C66" s="58" t="str">
        <f>_xlfn.IFNA(INDEX('Study Information'!$O$1:$AH$24,MATCH(tblSites[[#This Row],[Country]],'Study Information'!$D:$D,0),MATCH(tblSites[[#This Row],[Site Amounts]],'Study Information'!$O$1:$AH$1,0)),"")</f>
        <v/>
      </c>
      <c r="D66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66" s="57"/>
      <c r="F66" s="23" t="str">
        <f>IFERROR(INT((_xlfn.XLOOKUP(A66,'Study Information'!D:D,'Study Information'!H:H)-SUMIFS($G:$G,$A:$A,A66,$G:$G,"&gt;0"))/(_xlfn.XLOOKUP(A66,'Study Information'!D:D,'Study Information'!I:I)))+IF(K66&lt;=MOD(_xlfn.XLOOKUP(A66,'Study Information'!D:D,'Study Information'!H:H)-SUMIFS($G:$G,$A:$A,A66,$G:$G,"&gt;0"),_xlfn.XLOOKUP(A66,'Study Information'!D:D,'Study Information'!I:I)),1,0),"")</f>
        <v/>
      </c>
      <c r="G66" s="59"/>
      <c r="H66" s="18" t="str">
        <f>IF(tblSites[[#This Row],[Country]]="","",_xlfn.XLOOKUP(tblSites[[#This Row],[Country]],'Study Information'!$D:$D,'Study Information'!$E:$E))</f>
        <v/>
      </c>
      <c r="I66" s="18" t="str">
        <f>IF(A66="","",IF(H66="Yes","",_xlfn.IFNA(IF(_xlfn.XLOOKUP(tblSites[[#This Row],[Country]],'Scenario Tool'!$B:$B,'Scenario Tool'!$A:$A)=0,"",_xlfn.XLOOKUP(tblSites[[#This Row],[Country]],'Scenario Tool'!$B:$B,'Scenario Tool'!$A:$A)),"Not Specified")))</f>
        <v/>
      </c>
      <c r="J66" s="18" t="str">
        <f>IF(AND(tblSites[[#This Row],[Include?]]="YES",tblSites[[#This Row],[Scenario?]]="YES"),"Scenario and Include both Yes","")</f>
        <v/>
      </c>
      <c r="K66" s="18" t="str">
        <f>IF(tblSites[[#This Row],[Country]]="","",COUNTIF($A$2:A66,A66))</f>
        <v/>
      </c>
    </row>
    <row r="67" spans="1:11" x14ac:dyDescent="0.25">
      <c r="A67" s="57" t="str">
        <f t="shared" si="1"/>
        <v/>
      </c>
      <c r="B67" s="57" t="str">
        <f>_xlfn.CONCAT(tblSites[[#This Row],[Country]],tblSites[[#This Row],[Site Amounts]])</f>
        <v/>
      </c>
      <c r="C67" s="58" t="str">
        <f>_xlfn.IFNA(INDEX('Study Information'!$O$1:$AH$24,MATCH(tblSites[[#This Row],[Country]],'Study Information'!$D:$D,0),MATCH(tblSites[[#This Row],[Site Amounts]],'Study Information'!$O$1:$AH$1,0)),"")</f>
        <v/>
      </c>
      <c r="D67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67" s="57"/>
      <c r="F67" s="23" t="str">
        <f>IFERROR(INT((_xlfn.XLOOKUP(A67,'Study Information'!D:D,'Study Information'!H:H)-SUMIFS($G:$G,$A:$A,A67,$G:$G,"&gt;0"))/(_xlfn.XLOOKUP(A67,'Study Information'!D:D,'Study Information'!I:I)))+IF(K67&lt;=MOD(_xlfn.XLOOKUP(A67,'Study Information'!D:D,'Study Information'!H:H)-SUMIFS($G:$G,$A:$A,A67,$G:$G,"&gt;0"),_xlfn.XLOOKUP(A67,'Study Information'!D:D,'Study Information'!I:I)),1,0),"")</f>
        <v/>
      </c>
      <c r="G67" s="59"/>
      <c r="H67" s="18" t="str">
        <f>IF(tblSites[[#This Row],[Country]]="","",_xlfn.XLOOKUP(tblSites[[#This Row],[Country]],'Study Information'!$D:$D,'Study Information'!$E:$E))</f>
        <v/>
      </c>
      <c r="I67" s="18" t="str">
        <f>IF(A67="","",IF(H67="Yes","",_xlfn.IFNA(IF(_xlfn.XLOOKUP(tblSites[[#This Row],[Country]],'Scenario Tool'!$B:$B,'Scenario Tool'!$A:$A)=0,"",_xlfn.XLOOKUP(tblSites[[#This Row],[Country]],'Scenario Tool'!$B:$B,'Scenario Tool'!$A:$A)),"Not Specified")))</f>
        <v/>
      </c>
      <c r="J67" s="18" t="str">
        <f>IF(AND(tblSites[[#This Row],[Include?]]="YES",tblSites[[#This Row],[Scenario?]]="YES"),"Scenario and Include both Yes","")</f>
        <v/>
      </c>
      <c r="K67" s="18" t="str">
        <f>IF(tblSites[[#This Row],[Country]]="","",COUNTIF($A$2:A67,A67))</f>
        <v/>
      </c>
    </row>
    <row r="68" spans="1:11" x14ac:dyDescent="0.25">
      <c r="A68" s="57" t="str">
        <f t="shared" si="1"/>
        <v/>
      </c>
      <c r="B68" s="57" t="str">
        <f>_xlfn.CONCAT(tblSites[[#This Row],[Country]],tblSites[[#This Row],[Site Amounts]])</f>
        <v/>
      </c>
      <c r="C68" s="58" t="str">
        <f>_xlfn.IFNA(INDEX('Study Information'!$O$1:$AH$24,MATCH(tblSites[[#This Row],[Country]],'Study Information'!$D:$D,0),MATCH(tblSites[[#This Row],[Site Amounts]],'Study Information'!$O$1:$AH$1,0)),"")</f>
        <v/>
      </c>
      <c r="D68" s="57" t="str">
        <f>IF(tblSites[[#This Row],[Country]]="","",IF(tblSites[[#This Row],[Site ER 
Global or Country Specific)]]="","Select ER",IF(tblSites[[#This Row],[Site ER 
Global or Country Specific)]]="Global",'Study Information'!$B$7,IF(tblSites[[#This Row],[Site ER 
Global or Country Specific)]]="Country Specific",_xlfn.IFNA(_xlfn.XLOOKUP(tblSites[[#This Row],[Country]],'Study Information'!$D:$D,'Study Information'!$F:$F),"Country Not Found"),"Country Not Found"))))</f>
        <v/>
      </c>
      <c r="E68" s="57"/>
      <c r="F68" s="23" t="str">
        <f>IFERROR(INT((_xlfn.XLOOKUP(A68,'Study Information'!D:D,'Study Information'!H:H)-SUMIFS($G:$G,$A:$A,A68,$G:$G,"&gt;0"))/(_xlfn.XLOOKUP(A68,'Study Information'!D:D,'Study Information'!I:I)))+IF(K68&lt;=MOD(_xlfn.XLOOKUP(A68,'Study Information'!D:D,'Study Information'!H:H)-SUMIFS($G:$G,$A:$A,A68,$G:$G,"&gt;0"),_xlfn.XLOOKUP(A68,'Study Information'!D:D,'Study Information'!I:I)),1,0),"")</f>
        <v/>
      </c>
      <c r="G68" s="59"/>
      <c r="H68" s="18" t="str">
        <f>IF(tblSites[[#This Row],[Country]]="","",_xlfn.XLOOKUP(tblSites[[#This Row],[Country]],'Study Information'!$D:$D,'Study Information'!$E:$E))</f>
        <v/>
      </c>
      <c r="I68" s="18" t="str">
        <f>IF(A68="","",IF(H68="Yes","",_xlfn.IFNA(IF(_xlfn.XLOOKUP(tblSites[[#This Row],[Country]],'Scenario Tool'!$B:$B,'Scenario Tool'!$A:$A)=0,"",_xlfn.XLOOKUP(tblSites[[#This Row],[Country]],'Scenario Tool'!$B:$B,'Scenario Tool'!$A:$A)),"Not Specified")))</f>
        <v/>
      </c>
      <c r="J68" s="18" t="str">
        <f>IF(AND(tblSites[[#This Row],[Include?]]="YES",tblSites[[#This Row],[Scenario?]]="YES"),"Scenario and Include both Yes","")</f>
        <v/>
      </c>
      <c r="K68" s="18" t="str">
        <f>IF(tblSites[[#This Row],[Country]]="","",COUNTIF($A$2:A68,A68))</f>
        <v/>
      </c>
    </row>
  </sheetData>
  <phoneticPr fontId="3" type="noConversion"/>
  <dataValidations count="1">
    <dataValidation type="list" allowBlank="1" showInputMessage="1" showErrorMessage="1" sqref="E2:E68" xr:uid="{0A3E9408-917E-4886-9769-939CFC3278EA}">
      <formula1>$O$1:$O$2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EA14-9F25-4C62-ABF9-7C7A59D06B10}">
  <dimension ref="A1:R61"/>
  <sheetViews>
    <sheetView tabSelected="1" topLeftCell="A16" zoomScale="85" zoomScaleNormal="85" workbookViewId="0">
      <selection activeCell="A30" sqref="A30"/>
    </sheetView>
  </sheetViews>
  <sheetFormatPr defaultRowHeight="15" x14ac:dyDescent="0.25"/>
  <cols>
    <col min="1" max="1" width="9.140625" style="18"/>
    <col min="2" max="2" width="16.7109375" style="18" bestFit="1" customWidth="1"/>
    <col min="3" max="3" width="27" style="18" bestFit="1" customWidth="1"/>
    <col min="4" max="4" width="27.5703125" style="18" bestFit="1" customWidth="1"/>
    <col min="5" max="5" width="23.28515625" style="18" bestFit="1" customWidth="1"/>
    <col min="6" max="7" width="27.5703125" style="18" bestFit="1" customWidth="1"/>
    <col min="8" max="8" width="9.140625" style="18"/>
    <col min="9" max="9" width="14" style="18" bestFit="1" customWidth="1"/>
    <col min="10" max="10" width="20" style="18" bestFit="1" customWidth="1"/>
    <col min="11" max="11" width="15.7109375" style="18" bestFit="1" customWidth="1"/>
    <col min="12" max="12" width="61.5703125" style="18" bestFit="1" customWidth="1"/>
    <col min="13" max="13" width="15" style="18" bestFit="1" customWidth="1"/>
    <col min="14" max="16384" width="9.140625" style="18"/>
  </cols>
  <sheetData>
    <row r="1" spans="1:18" x14ac:dyDescent="0.25">
      <c r="A1" s="1"/>
      <c r="B1" s="1" t="s">
        <v>73</v>
      </c>
      <c r="C1" s="18" t="s">
        <v>113</v>
      </c>
      <c r="D1" s="18" t="s">
        <v>114</v>
      </c>
      <c r="E1" s="18" t="s">
        <v>73</v>
      </c>
      <c r="F1" s="18" t="s">
        <v>115</v>
      </c>
      <c r="O1" s="18" t="s">
        <v>124</v>
      </c>
      <c r="P1" s="18">
        <v>0</v>
      </c>
      <c r="Q1" s="26">
        <f>'Study Information'!$B$5</f>
        <v>46388</v>
      </c>
      <c r="R1" s="26"/>
    </row>
    <row r="2" spans="1:18" x14ac:dyDescent="0.25">
      <c r="A2" s="60" t="b">
        <v>0</v>
      </c>
      <c r="B2" s="18" t="str" cm="1">
        <f t="array" ref="B2:B4">_xlfn._xlws.FILTER('Study Information'!$D:$D,'Study Information'!E:E="No")</f>
        <v>Spain</v>
      </c>
      <c r="C2" s="18" t="s">
        <v>116</v>
      </c>
      <c r="D2" s="18" cm="1">
        <f t="array" aca="1" ref="D2" ca="1">_xll.CountUnique('Enrollment Forecast'!A6:A104)</f>
        <v>3</v>
      </c>
      <c r="E2" s="18" cm="1">
        <f t="array" aca="1" ref="E2" ca="1">_xll.CountUnique('Scenario Enrollment Forecast'!A6:A104)</f>
        <v>5</v>
      </c>
      <c r="F2" s="21">
        <f ca="1">E2-D2</f>
        <v>2</v>
      </c>
      <c r="P2" s="18">
        <f>'Enrollment Forecast'!C3*1.2</f>
        <v>120</v>
      </c>
      <c r="Q2" s="26">
        <f>'Study Information'!$B$5</f>
        <v>46388</v>
      </c>
    </row>
    <row r="3" spans="1:18" x14ac:dyDescent="0.25">
      <c r="A3" s="60" t="b">
        <v>1</v>
      </c>
      <c r="B3" s="18" t="str">
        <v>France</v>
      </c>
      <c r="C3" s="18" t="s">
        <v>117</v>
      </c>
      <c r="D3" s="18" cm="1">
        <f t="array" aca="1" ref="D3" ca="1">_xll.CountUnique('Enrollment Forecast'!B6:B105)</f>
        <v>14</v>
      </c>
      <c r="E3" s="18" cm="1">
        <f t="array" aca="1" ref="E3" ca="1">_xll.CountUnique('Scenario Enrollment Forecast'!B6:B105)</f>
        <v>21</v>
      </c>
      <c r="F3" s="21">
        <f t="shared" ref="F3:F4" ca="1" si="0">E3-D3</f>
        <v>7</v>
      </c>
    </row>
    <row r="4" spans="1:18" x14ac:dyDescent="0.25">
      <c r="A4" s="60" t="b">
        <v>1</v>
      </c>
      <c r="B4" s="18" t="str">
        <v>Italy</v>
      </c>
      <c r="C4" s="18" t="s">
        <v>118</v>
      </c>
      <c r="D4" s="18">
        <f>SUMIF('Site Information'!$H:$H,"Yes",'Site Information'!$F:$F)</f>
        <v>101</v>
      </c>
      <c r="E4" s="18">
        <f>SUMIF('Site Information'!H:H,"Yes",'Site Information'!$F:$F)+SUMIF('Site Information'!I:I,"Yes",'Site Information'!$F:$F)</f>
        <v>101</v>
      </c>
      <c r="F4" s="21">
        <f t="shared" si="0"/>
        <v>0</v>
      </c>
    </row>
    <row r="5" spans="1:18" x14ac:dyDescent="0.25">
      <c r="A5" s="60" t="b">
        <v>0</v>
      </c>
      <c r="C5" s="18" t="s">
        <v>119</v>
      </c>
      <c r="D5" s="19" cm="1">
        <f t="array" aca="1" ref="D5" ca="1">IF(
COUNTIF('Enrollment Forecast'!$C$2:$XFD$2,"&gt;="&amp;'Enrollment Forecast'!$C$3)=0,
"Target Not Met",
INDEX('Enrollment Forecast'!$C$5:$XFD$5,
MATCH(TRUE,
INDEX('Enrollment Forecast'!$C$2:$XFD$2&gt;='Enrollment Forecast'!$C$3:$XFD$3,0),
0)
)
)</f>
        <v>46508</v>
      </c>
      <c r="E5" s="19" cm="1">
        <f t="array" aca="1" ref="E5" ca="1">IF(COUNTIF('Scenario Enrollment Forecast'!$C$2:$XFD$2,"&gt;="&amp;'Scenario Enrollment Forecast'!$C$3)=0,"Target Not Met",INDEX('Scenario Enrollment Forecast'!$C$5:$XFD$5,MATCH(TRUE,
INDEX('Scenario Enrollment Forecast'!$C$2:$XFD$2&gt;='Scenario Enrollment Forecast'!$C$3:$XFD$3,0),0)
)
)</f>
        <v>46357</v>
      </c>
      <c r="F5" s="21" t="str">
        <f ca="1">IF(E5-D5&gt;0,_xlfn.CONCAT(E5-D5," Days Slower than Baseline"),_xlfn.CONCAT(ABS(E5-D5)," Days Faster than Baseline"))</f>
        <v>151 Days Faster than Baseline</v>
      </c>
    </row>
    <row r="6" spans="1:18" x14ac:dyDescent="0.25">
      <c r="A6" s="60" t="b">
        <v>0</v>
      </c>
      <c r="C6" s="18" t="s">
        <v>120</v>
      </c>
      <c r="D6" s="21">
        <f ca="1">('Scenario Tool'!D5-'Enrollment Forecast'!$C$5)/30</f>
        <v>16.166666666666668</v>
      </c>
      <c r="E6" s="21">
        <f ca="1">('Scenario Tool'!E5-'Scenario Enrollment Forecast'!$C$5)/30</f>
        <v>11.133333333333333</v>
      </c>
      <c r="F6" s="21" t="str">
        <f ca="1">IF(E6-D6&gt;0,_xlfn.CONCAT(ROUND(E6-D6,1)," Months Slower than Baseline"),_xlfn.CONCAT(ROUND(ABS(E6-D6),1)," Months Faster than Baseline"))</f>
        <v>5 Months Faster than Baseline</v>
      </c>
    </row>
    <row r="7" spans="1:18" x14ac:dyDescent="0.25">
      <c r="A7" s="60" t="b">
        <v>0</v>
      </c>
      <c r="M7" s="25"/>
    </row>
    <row r="8" spans="1:18" x14ac:dyDescent="0.25">
      <c r="A8" s="60" t="b">
        <v>0</v>
      </c>
    </row>
    <row r="9" spans="1:18" x14ac:dyDescent="0.25">
      <c r="A9" s="60" t="b">
        <v>0</v>
      </c>
    </row>
    <row r="10" spans="1:18" x14ac:dyDescent="0.25">
      <c r="A10" s="60" t="b">
        <v>0</v>
      </c>
    </row>
    <row r="11" spans="1:18" x14ac:dyDescent="0.25">
      <c r="A11" s="60" t="b">
        <v>0</v>
      </c>
    </row>
    <row r="12" spans="1:18" x14ac:dyDescent="0.25">
      <c r="A12" s="60" t="b">
        <v>0</v>
      </c>
    </row>
    <row r="17" spans="1:14" x14ac:dyDescent="0.25">
      <c r="N17" s="10"/>
    </row>
    <row r="18" spans="1:14" x14ac:dyDescent="0.25">
      <c r="J18" s="10"/>
      <c r="K18" s="25"/>
      <c r="L18" s="21"/>
    </row>
    <row r="19" spans="1:14" x14ac:dyDescent="0.25">
      <c r="J19" s="10"/>
      <c r="K19" s="25"/>
      <c r="L19" s="21"/>
    </row>
    <row r="20" spans="1:14" x14ac:dyDescent="0.25">
      <c r="J20" s="10"/>
      <c r="K20" s="25"/>
      <c r="L20" s="21"/>
    </row>
    <row r="21" spans="1:14" x14ac:dyDescent="0.25">
      <c r="J21" s="10"/>
      <c r="K21" s="25"/>
      <c r="L21" s="21"/>
    </row>
    <row r="26" spans="1:14" x14ac:dyDescent="0.25">
      <c r="B26" s="61" t="s">
        <v>126</v>
      </c>
      <c r="C26" s="61"/>
      <c r="D26" s="61"/>
      <c r="E26" s="61"/>
    </row>
    <row r="27" spans="1:14" x14ac:dyDescent="0.25">
      <c r="B27" s="18" t="s">
        <v>122</v>
      </c>
      <c r="C27" s="18">
        <f>'Study Information'!$B$7</f>
        <v>0.2</v>
      </c>
      <c r="D27" s="18" t="s">
        <v>123</v>
      </c>
      <c r="E27" s="19" cm="1">
        <f t="array" aca="1" ref="E27" ca="1">IF(
COUNTIF('Enrollment Forecast'!$C$2:$XFD$2,"&gt;="&amp;'Enrollment Forecast'!$C$3)=0,
"Target Not Met",
INDEX('Enrollment Forecast'!$C$5:$XFD$5,
MATCH(TRUE,
INDEX('Enrollment Forecast'!$C$2:$XFD$2&gt;='Enrollment Forecast'!$C$3:$XFD$3,0),
0)
)
)</f>
        <v>46508</v>
      </c>
    </row>
    <row r="28" spans="1:14" x14ac:dyDescent="0.25">
      <c r="A28" s="60" t="b">
        <v>1</v>
      </c>
      <c r="B28" s="18" t="s">
        <v>69</v>
      </c>
      <c r="C28" s="18">
        <v>0.15</v>
      </c>
      <c r="D28" s="21" t="str">
        <f ca="1">IF(E28="Target Not Met","Enrollment Target Not Met",IF(E28-$E$27=0,"No Change",IF(E28-$E$27&gt;0,_xlfn.CONCAT(ABS(E28-$E$27)," Days Slower than Baseline"),IF(E28-$E$27&lt;0,_xlfn.CONCAT(ABS(E28-$E$27)," Days Faster than Baseline")))))</f>
        <v>Enrollment Target Not Met</v>
      </c>
      <c r="E28" s="19" t="str">
        <f ca="1">'ER Scenarios'!C6</f>
        <v>Target Not Met</v>
      </c>
    </row>
    <row r="29" spans="1:14" x14ac:dyDescent="0.25">
      <c r="A29" s="60" t="b">
        <v>1</v>
      </c>
      <c r="B29" s="18" t="s">
        <v>70</v>
      </c>
      <c r="C29" s="18">
        <v>0.19</v>
      </c>
      <c r="D29" s="21" t="str">
        <f ca="1">IF(E29="Target Not Met","Enrollment Target Not Met",IF(E29-$E$27=0,"No Change",IF(E29-$E$27&gt;0,_xlfn.CONCAT(ABS(E29-$E$27)," Days Slower than Baseline"),IF(E29-$E$27&lt;0,_xlfn.CONCAT(ABS(E29-$E$27)," Days Faster than Baseline")))))</f>
        <v>Enrollment Target Not Met</v>
      </c>
      <c r="E29" s="19" t="str">
        <f ca="1">'ER Scenarios'!C7</f>
        <v>Target Not Met</v>
      </c>
    </row>
    <row r="30" spans="1:14" x14ac:dyDescent="0.25">
      <c r="A30" s="60" t="b">
        <v>1</v>
      </c>
      <c r="B30" s="18" t="s">
        <v>71</v>
      </c>
      <c r="C30" s="18">
        <v>0.22</v>
      </c>
      <c r="D30" s="21" t="str">
        <f ca="1">IF(E30="Target Not Met","Enrollment Target Not Met",IF(E30-$E$27=0,"No Change",IF(E30-$E$27&gt;0,_xlfn.CONCAT(ABS(E30-$E$27)," Days Slower than Baseline"),IF(E30-$E$27&lt;0,_xlfn.CONCAT(ABS(E30-$E$27)," Days Faster than Baseline")))))</f>
        <v>No Change</v>
      </c>
      <c r="E30" s="19">
        <f ca="1">'ER Scenarios'!C8</f>
        <v>46508</v>
      </c>
    </row>
    <row r="31" spans="1:14" x14ac:dyDescent="0.25">
      <c r="A31" s="60" t="b">
        <v>1</v>
      </c>
      <c r="B31" s="18" t="s">
        <v>72</v>
      </c>
      <c r="C31" s="18">
        <v>0.3</v>
      </c>
      <c r="D31" s="21" t="str">
        <f ca="1">IF(E31="Target Not Met","Enrollment Target Not Met",IF(E31-$E$27=0,"No Change",IF(E31-$E$27&gt;0,_xlfn.CONCAT(ABS(E31-$E$27)," Days Slower than Baseline"),IF(E31-$E$27&lt;0,_xlfn.CONCAT(ABS(E31-$E$27)," Days Faster than Baseline")))))</f>
        <v>120 Days Faster than Baseline</v>
      </c>
      <c r="E31" s="19">
        <f ca="1">'ER Scenarios'!C9</f>
        <v>46388</v>
      </c>
    </row>
    <row r="56" spans="1:4" x14ac:dyDescent="0.25">
      <c r="A56" s="61" t="s">
        <v>126</v>
      </c>
      <c r="B56" s="61"/>
      <c r="C56" s="61"/>
      <c r="D56" s="61"/>
    </row>
    <row r="57" spans="1:4" x14ac:dyDescent="0.25">
      <c r="A57" s="18" t="s">
        <v>122</v>
      </c>
      <c r="B57" s="18">
        <f>'Study Information'!$B$7</f>
        <v>0.2</v>
      </c>
      <c r="C57" s="18" t="s">
        <v>123</v>
      </c>
      <c r="D57" s="19" cm="1">
        <f t="array" aca="1" ref="D57" ca="1">IF(
COUNTIF('Enrollment Forecast'!$C$2:$XFD$2,"&gt;="&amp;'Enrollment Forecast'!$C$3)=0,
"Target Not Met",
INDEX('Enrollment Forecast'!$C$5:$XFD$5,
MATCH(TRUE,
INDEX('Enrollment Forecast'!$C$2:$XFD$2&gt;='Enrollment Forecast'!$C$3:$XFD$3,0),
0)
)
)</f>
        <v>46508</v>
      </c>
    </row>
    <row r="58" spans="1:4" x14ac:dyDescent="0.25">
      <c r="A58" s="18" t="s">
        <v>69</v>
      </c>
      <c r="B58" s="18" t="str" cm="1">
        <f t="array" ref="B58">_xlfn.CONCAT(_xlfn.TEXTJOIN("&amp;",TRUE,_xlfn._xlws.FILTER($B$2:$B$11,$A$2:$A$11=TRUE)),"+",C28)</f>
        <v>France&amp;Italy+0.15</v>
      </c>
      <c r="C58" s="21" t="str">
        <f ca="1">IF(D58="Target Not Met","Enrollment Target Not Met",IF(D58-$E$27=0,"No Change",IF(D58-$E$27&gt;0,_xlfn.CONCAT(ABS(D58-$E$27)," Days Slower than Baseline"),IF(D58-$E$27&lt;0,_xlfn.CONCAT(ABS(D58-$E$27)," Days Faster than Baseline")))))</f>
        <v>61 Days Faster than Baseline</v>
      </c>
      <c r="D58" s="19">
        <f ca="1">'ER Scenarios'!C14</f>
        <v>46447</v>
      </c>
    </row>
    <row r="59" spans="1:4" x14ac:dyDescent="0.25">
      <c r="A59" s="18" t="s">
        <v>70</v>
      </c>
      <c r="B59" s="18" t="str" cm="1">
        <f t="array" ref="B59">_xlfn.CONCAT(_xlfn.TEXTJOIN("&amp;",TRUE,_xlfn._xlws.FILTER($B$2:$B$11,$A$2:$A$11=TRUE)),"+",C29)</f>
        <v>France&amp;Italy+0.19</v>
      </c>
      <c r="C59" s="21" t="str">
        <f ca="1">IF(D59="Target Not Met","Enrollment Target Not Met",IF(D59-$E$27=0,"No Change",IF(D59-$E$27&gt;0,_xlfn.CONCAT(ABS(D59-$E$27)," Days Slower than Baseline"),IF(D59-$E$27&lt;0,_xlfn.CONCAT(ABS(D59-$E$27)," Days Faster than Baseline")))))</f>
        <v>120 Days Faster than Baseline</v>
      </c>
      <c r="D59" s="19">
        <f ca="1">'ER Scenarios'!C15</f>
        <v>46388</v>
      </c>
    </row>
    <row r="60" spans="1:4" x14ac:dyDescent="0.25">
      <c r="A60" s="18" t="s">
        <v>71</v>
      </c>
      <c r="B60" s="18" t="str" cm="1">
        <f t="array" ref="B60">_xlfn.CONCAT(_xlfn.TEXTJOIN("&amp;",TRUE,_xlfn._xlws.FILTER($B$2:$B$11,$A$2:$A$11=TRUE)),"+",C30)</f>
        <v>France&amp;Italy+0.22</v>
      </c>
      <c r="C60" s="21" t="str">
        <f ca="1">IF(D60="Target Not Met","Enrollment Target Not Met",IF(D60-$E$27=0,"No Change",IF(D60-$E$27&gt;0,_xlfn.CONCAT(ABS(D60-$E$27)," Days Slower than Baseline"),IF(D60-$E$27&lt;0,_xlfn.CONCAT(ABS(D60-$E$27)," Days Faster than Baseline")))))</f>
        <v>151 Days Faster than Baseline</v>
      </c>
      <c r="D60" s="19">
        <f ca="1">'ER Scenarios'!C16</f>
        <v>46357</v>
      </c>
    </row>
    <row r="61" spans="1:4" x14ac:dyDescent="0.25">
      <c r="A61" s="18" t="s">
        <v>72</v>
      </c>
      <c r="B61" s="18" t="str" cm="1">
        <f t="array" ref="B61">_xlfn.CONCAT(_xlfn.TEXTJOIN("&amp;",TRUE,_xlfn._xlws.FILTER($B$2:$B$11,$A$2:$A$11=TRUE)),"+",C31)</f>
        <v>France&amp;Italy+0.3</v>
      </c>
      <c r="C61" s="21" t="str">
        <f ca="1">IF(D61="Target Not Met","Enrollment Target Not Met",IF(D61-$E$27=0,"No Change",IF(D61-$E$27&gt;0,_xlfn.CONCAT(ABS(D61-$E$27)," Days Slower than Baseline"),IF(D61-$E$27&lt;0,_xlfn.CONCAT(ABS(D61-$E$27)," Days Faster than Baseline")))))</f>
        <v>181 Days Faster than Baseline</v>
      </c>
      <c r="D61" s="19">
        <f ca="1">'ER Scenarios'!C17</f>
        <v>46327</v>
      </c>
    </row>
  </sheetData>
  <mergeCells count="2">
    <mergeCell ref="B26:E26"/>
    <mergeCell ref="A56:D5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9263-B4C2-4CF2-A83D-E7DA9A2B8CB9}">
  <dimension ref="A1:V29"/>
  <sheetViews>
    <sheetView topLeftCell="A10" zoomScale="85" zoomScaleNormal="85" workbookViewId="0">
      <selection activeCell="U26" sqref="U26"/>
    </sheetView>
  </sheetViews>
  <sheetFormatPr defaultRowHeight="15" x14ac:dyDescent="0.25"/>
  <sheetData>
    <row r="1" spans="1:19" x14ac:dyDescent="0.25">
      <c r="A1" s="65" t="str">
        <f>_xlfn.CONCAT("BMN ",'Study Information'!$B$1," Enrollment Forecast")</f>
        <v>BMN 999-999 Enrollment Forecast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19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19" ht="15" customHeight="1" x14ac:dyDescent="0.25">
      <c r="A3" s="68" t="s">
        <v>60</v>
      </c>
      <c r="B3" s="68"/>
      <c r="C3" s="68"/>
      <c r="D3" s="68"/>
      <c r="F3" s="69" t="s">
        <v>62</v>
      </c>
      <c r="G3" s="69"/>
      <c r="H3" s="69"/>
      <c r="I3" s="69"/>
      <c r="K3" s="69" t="s">
        <v>61</v>
      </c>
      <c r="L3" s="69"/>
      <c r="M3" s="69"/>
      <c r="N3" s="69"/>
      <c r="P3" s="69" t="s">
        <v>63</v>
      </c>
      <c r="Q3" s="69"/>
      <c r="R3" s="69"/>
      <c r="S3" s="69"/>
    </row>
    <row r="4" spans="1:19" ht="15" customHeight="1" x14ac:dyDescent="0.25">
      <c r="A4" s="68"/>
      <c r="B4" s="68"/>
      <c r="C4" s="68"/>
      <c r="D4" s="68"/>
      <c r="F4" s="69"/>
      <c r="G4" s="69"/>
      <c r="H4" s="69"/>
      <c r="I4" s="69"/>
      <c r="K4" s="69"/>
      <c r="L4" s="69"/>
      <c r="M4" s="69"/>
      <c r="N4" s="69"/>
      <c r="P4" s="69"/>
      <c r="Q4" s="69"/>
      <c r="R4" s="69"/>
      <c r="S4" s="69"/>
    </row>
    <row r="5" spans="1:19" x14ac:dyDescent="0.25">
      <c r="A5" s="66" t="s">
        <v>121</v>
      </c>
      <c r="B5" s="67"/>
      <c r="C5" s="67"/>
      <c r="D5" s="67"/>
      <c r="F5" s="67" t="str">
        <f ca="1">_xlfn.LET(_xlpm.Current,LOOKUP(TODAY(),'Enrollment Forecast'!5:5,'Enrollment Forecast'!2:2),_xlpm.Target,'Enrollment Forecast'!C3,_xlpm.Remaining,_xlpm.Target-_xlpm.Current,TEXT(_xlpm.Current,"0") &amp; " / " &amp; TEXT(_xlpm.Target,"0") &amp;" (" &amp; TEXT(_xlpm.Current/_xlpm.Target,"0%") &amp; ")" &amp;CHAR(10) &amp;IF(_xlpm.Remaining&lt;=0,"Enrollment Complete",TEXT(_xlpm.Remaining,"0") &amp; " Participants Remaining")
)</f>
        <v>0 / 100 (0%)
100 Participants Remaining</v>
      </c>
      <c r="G5" s="67"/>
      <c r="H5" s="67"/>
      <c r="I5" s="67"/>
      <c r="K5" s="70">
        <f ca="1">COUNTIFS('Site Information'!C:C,"&lt;="&amp;TODAY(),'Site Information'!H:H,"Yes")</f>
        <v>10</v>
      </c>
      <c r="L5" s="70"/>
      <c r="M5" s="70"/>
      <c r="N5" s="70"/>
      <c r="P5" s="71">
        <f>'Study Information'!$B$7</f>
        <v>0.2</v>
      </c>
      <c r="Q5" s="70"/>
      <c r="R5" s="70"/>
      <c r="S5" s="70"/>
    </row>
    <row r="6" spans="1:19" x14ac:dyDescent="0.25">
      <c r="A6" s="67"/>
      <c r="B6" s="67"/>
      <c r="C6" s="67"/>
      <c r="D6" s="67"/>
      <c r="F6" s="67"/>
      <c r="G6" s="67"/>
      <c r="H6" s="67"/>
      <c r="I6" s="67"/>
      <c r="K6" s="70"/>
      <c r="L6" s="70"/>
      <c r="M6" s="70"/>
      <c r="N6" s="70"/>
      <c r="P6" s="70"/>
      <c r="Q6" s="70"/>
      <c r="R6" s="70"/>
      <c r="S6" s="70"/>
    </row>
    <row r="7" spans="1:19" x14ac:dyDescent="0.25">
      <c r="A7" s="67"/>
      <c r="B7" s="67"/>
      <c r="C7" s="67"/>
      <c r="D7" s="67"/>
      <c r="F7" s="67"/>
      <c r="G7" s="67"/>
      <c r="H7" s="67"/>
      <c r="I7" s="67"/>
      <c r="K7" s="70"/>
      <c r="L7" s="70"/>
      <c r="M7" s="70"/>
      <c r="N7" s="70"/>
      <c r="P7" s="70"/>
      <c r="Q7" s="70"/>
      <c r="R7" s="70"/>
      <c r="S7" s="70"/>
    </row>
    <row r="8" spans="1:19" x14ac:dyDescent="0.25">
      <c r="A8" s="67"/>
      <c r="B8" s="67"/>
      <c r="C8" s="67"/>
      <c r="D8" s="67"/>
      <c r="F8" s="67"/>
      <c r="G8" s="67"/>
      <c r="H8" s="67"/>
      <c r="I8" s="67"/>
      <c r="K8" s="70"/>
      <c r="L8" s="70"/>
      <c r="M8" s="70"/>
      <c r="N8" s="70"/>
      <c r="P8" s="70"/>
      <c r="Q8" s="70"/>
      <c r="R8" s="70"/>
      <c r="S8" s="70"/>
    </row>
    <row r="29" spans="22:22" x14ac:dyDescent="0.25">
      <c r="V29" s="5"/>
    </row>
  </sheetData>
  <mergeCells count="9">
    <mergeCell ref="A1:S2"/>
    <mergeCell ref="A5:D8"/>
    <mergeCell ref="A3:D4"/>
    <mergeCell ref="F3:I4"/>
    <mergeCell ref="K3:N4"/>
    <mergeCell ref="P3:S4"/>
    <mergeCell ref="F5:I8"/>
    <mergeCell ref="K5:N8"/>
    <mergeCell ref="P5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8866-D0E3-4799-B888-11ED996EE9B9}">
  <dimension ref="A1:R33"/>
  <sheetViews>
    <sheetView workbookViewId="0">
      <selection activeCell="C32" sqref="C32"/>
    </sheetView>
  </sheetViews>
  <sheetFormatPr defaultRowHeight="15" x14ac:dyDescent="0.25"/>
  <cols>
    <col min="1" max="1" width="23.140625" bestFit="1" customWidth="1"/>
    <col min="2" max="2" width="34.7109375" bestFit="1" customWidth="1"/>
    <col min="3" max="3" width="15" bestFit="1" customWidth="1"/>
    <col min="6" max="6" width="12.7109375" customWidth="1"/>
    <col min="11" max="11" width="15.140625" bestFit="1" customWidth="1"/>
    <col min="12" max="12" width="13.42578125" bestFit="1" customWidth="1"/>
    <col min="13" max="13" width="17" bestFit="1" customWidth="1"/>
    <col min="14" max="14" width="16.7109375" bestFit="1" customWidth="1"/>
    <col min="15" max="15" width="19.5703125" bestFit="1" customWidth="1"/>
    <col min="16" max="16" width="20.42578125" bestFit="1" customWidth="1"/>
    <col min="17" max="17" width="22.28515625" bestFit="1" customWidth="1"/>
    <col min="18" max="18" width="22.42578125" bestFit="1" customWidth="1"/>
  </cols>
  <sheetData>
    <row r="1" spans="1:18" ht="30" x14ac:dyDescent="0.25">
      <c r="A1" s="20" t="s">
        <v>0</v>
      </c>
      <c r="B1" s="20" t="s">
        <v>91</v>
      </c>
      <c r="C1" s="20" t="s">
        <v>110</v>
      </c>
      <c r="D1" s="20" t="s">
        <v>111</v>
      </c>
      <c r="E1" s="20"/>
      <c r="F1" s="20"/>
      <c r="G1" s="6"/>
      <c r="K1" s="18"/>
      <c r="L1" s="18"/>
      <c r="M1" s="18"/>
      <c r="N1" s="18"/>
      <c r="O1" s="18"/>
      <c r="P1" s="18"/>
      <c r="Q1" s="18"/>
      <c r="R1" s="18"/>
    </row>
    <row r="2" spans="1:18" x14ac:dyDescent="0.25">
      <c r="A2" s="18" t="s">
        <v>15</v>
      </c>
      <c r="B2" s="21">
        <v>54</v>
      </c>
      <c r="C2" s="18" t="str" cm="1">
        <f t="array" ref="C2">IFERROR(_xlfn.LET(_xlpm.Country,$A2,_xlpm.MatchRow,_xlfn.XMATCH(_xlpm.Country,'Study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2" s="18" t="str">
        <f>_xlfn.IFNA(_xlfn.XLOOKUP(A2,'Study Information'!$D:$D,'Study Information'!$O:$O)-(_xlfn.XLOOKUP(A2,'Study Information'!$D:$D,'Study Information'!$L:$L)),"")</f>
        <v/>
      </c>
      <c r="E2" s="18"/>
      <c r="F2" s="18"/>
      <c r="K2" s="18"/>
      <c r="L2" s="19"/>
      <c r="M2" s="19"/>
      <c r="N2" s="19"/>
      <c r="O2" s="19"/>
      <c r="P2" s="18"/>
      <c r="Q2" s="18"/>
      <c r="R2" s="18"/>
    </row>
    <row r="3" spans="1:18" x14ac:dyDescent="0.25">
      <c r="A3" s="18" t="s">
        <v>82</v>
      </c>
      <c r="B3" s="21">
        <v>167</v>
      </c>
      <c r="C3" s="18" t="str" cm="1">
        <f t="array" ref="C3">IFERROR(_xlfn.LET(_xlpm.Country,$A3,_xlpm.MatchRow,_xlfn.XMATCH(_xlpm.Country,'Study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3" s="18" t="str">
        <f>_xlfn.IFNA(_xlfn.XLOOKUP(A3,'Study Information'!$D:$D,'Study Information'!$O:$O)-(_xlfn.XLOOKUP(A3,'Study Information'!$D:$D,'Study Information'!$L:$L)),"")</f>
        <v/>
      </c>
      <c r="E3" s="18"/>
      <c r="F3" s="18"/>
      <c r="K3" s="18"/>
      <c r="L3" s="19"/>
      <c r="M3" s="19"/>
      <c r="N3" s="19"/>
      <c r="O3" s="19"/>
      <c r="P3" s="21"/>
      <c r="Q3" s="21"/>
      <c r="R3" s="21"/>
    </row>
    <row r="4" spans="1:18" x14ac:dyDescent="0.25">
      <c r="A4" s="18" t="s">
        <v>14</v>
      </c>
      <c r="B4" s="21">
        <v>186</v>
      </c>
      <c r="C4" s="18" t="str" cm="1">
        <f t="array" ref="C4">IFERROR(_xlfn.LET(_xlpm.Country,$A4,_xlpm.MatchRow,_xlfn.XMATCH(_xlpm.Country,'Study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4" s="18" t="str">
        <f>_xlfn.IFNA(_xlfn.XLOOKUP(A4,'Study Information'!$D:$D,'Study Information'!$O:$O)-(_xlfn.XLOOKUP(A4,'Study Information'!$D:$D,'Study Information'!$L:$L)),"")</f>
        <v/>
      </c>
      <c r="E4" s="18"/>
      <c r="F4" s="18"/>
      <c r="K4" s="18"/>
      <c r="L4" s="19"/>
      <c r="M4" s="19"/>
      <c r="N4" s="19"/>
      <c r="O4" s="19"/>
      <c r="P4" s="21"/>
      <c r="Q4" s="21"/>
      <c r="R4" s="21"/>
    </row>
    <row r="5" spans="1:18" x14ac:dyDescent="0.25">
      <c r="A5" s="18" t="s">
        <v>44</v>
      </c>
      <c r="B5" s="21">
        <v>45.6666666666667</v>
      </c>
      <c r="C5" s="18" cm="1">
        <f t="array" ref="C5">IFERROR(_xlfn.LET(_xlpm.Country,$A5,_xlpm.MatchRow,_xlfn.XMATCH(_xlpm.Country,'Study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>90</v>
      </c>
      <c r="D5" s="18">
        <f>_xlfn.IFNA(_xlfn.XLOOKUP(A5,'Study Information'!$D:$D,'Study Information'!$O:$O)-(_xlfn.XLOOKUP(A5,'Study Information'!$D:$D,'Study Information'!$L:$L)),"")</f>
        <v>90</v>
      </c>
      <c r="E5" s="18"/>
      <c r="F5" s="18"/>
      <c r="K5" s="18"/>
      <c r="L5" s="19"/>
      <c r="M5" s="19"/>
      <c r="N5" s="19"/>
      <c r="O5" s="19"/>
      <c r="P5" s="21"/>
      <c r="Q5" s="21"/>
      <c r="R5" s="21"/>
    </row>
    <row r="6" spans="1:18" x14ac:dyDescent="0.25">
      <c r="A6" s="18" t="s">
        <v>83</v>
      </c>
      <c r="B6" s="21">
        <v>101.58333333333333</v>
      </c>
      <c r="C6" s="18" t="str" cm="1">
        <f t="array" ref="C6">IFERROR(_xlfn.LET(_xlpm.Country,$A6,_xlpm.MatchRow,_xlfn.XMATCH(_xlpm.Country,'Study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6" s="18" t="str">
        <f>_xlfn.IFNA(_xlfn.XLOOKUP(A6,'Study Information'!$D:$D,'Study Information'!$O:$O)-(_xlfn.XLOOKUP(A6,'Study Information'!$D:$D,'Study Information'!$L:$L)),"")</f>
        <v/>
      </c>
      <c r="E6" s="18"/>
      <c r="F6" s="18"/>
      <c r="K6" s="18"/>
      <c r="L6" s="19"/>
      <c r="M6" s="19"/>
      <c r="N6" s="19"/>
      <c r="O6" s="19"/>
      <c r="P6" s="21"/>
      <c r="Q6" s="21"/>
      <c r="R6" s="21"/>
    </row>
    <row r="7" spans="1:18" x14ac:dyDescent="0.25">
      <c r="A7" s="18" t="s">
        <v>28</v>
      </c>
      <c r="B7" s="21">
        <v>113.45535714285714</v>
      </c>
      <c r="C7" s="18" cm="1">
        <f t="array" ref="C7">IFERROR(_xlfn.LET(_xlpm.Country,$A7,_xlpm.MatchRow,_xlfn.XMATCH(_xlpm.Country,'Study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>0</v>
      </c>
      <c r="D7" s="18">
        <f>_xlfn.IFNA(_xlfn.XLOOKUP(A7,'Study Information'!$D:$D,'Study Information'!$O:$O)-(_xlfn.XLOOKUP(A7,'Study Information'!$D:$D,'Study Information'!$L:$L)),"")</f>
        <v>100</v>
      </c>
      <c r="E7" s="18"/>
      <c r="F7" s="18"/>
      <c r="K7" s="18"/>
      <c r="L7" s="19"/>
      <c r="M7" s="19"/>
      <c r="N7" s="19"/>
      <c r="O7" s="19"/>
      <c r="P7" s="21"/>
      <c r="Q7" s="21"/>
      <c r="R7" s="21"/>
    </row>
    <row r="8" spans="1:18" x14ac:dyDescent="0.25">
      <c r="A8" s="18" t="s">
        <v>84</v>
      </c>
      <c r="B8" s="21">
        <v>126.54464285714286</v>
      </c>
      <c r="C8" s="18" cm="1">
        <f t="array" ref="C8">IFERROR(_xlfn.LET(_xlpm.Country,$A8,_xlpm.MatchRow,_xlfn.XMATCH(_xlpm.Country,'Study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>315</v>
      </c>
      <c r="D8" s="18">
        <f>_xlfn.IFNA(_xlfn.XLOOKUP(A8,'Study Information'!$D:$D,'Study Information'!$O:$O)-(_xlfn.XLOOKUP(A8,'Study Information'!$D:$D,'Study Information'!$L:$L)),"")</f>
        <v>45</v>
      </c>
      <c r="E8" s="18"/>
      <c r="F8" s="18"/>
      <c r="K8" s="18"/>
      <c r="L8" s="19"/>
      <c r="M8" s="19"/>
      <c r="N8" s="19"/>
      <c r="O8" s="19"/>
      <c r="P8" s="21"/>
      <c r="Q8" s="21"/>
      <c r="R8" s="21"/>
    </row>
    <row r="9" spans="1:18" x14ac:dyDescent="0.25">
      <c r="A9" s="18" t="s">
        <v>85</v>
      </c>
      <c r="B9" s="21">
        <v>105</v>
      </c>
      <c r="C9" s="18" t="str" cm="1">
        <f t="array" ref="C9">IFERROR(_xlfn.LET(_xlpm.Country,$A9,_xlpm.MatchRow,_xlfn.XMATCH(_xlpm.Country,'Study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9" s="18" t="str">
        <f>_xlfn.IFNA(_xlfn.XLOOKUP(A9,'Study Information'!$D:$D,'Study Information'!$O:$O)-(_xlfn.XLOOKUP(A9,'Study Information'!$D:$D,'Study Information'!$L:$L)),"")</f>
        <v/>
      </c>
      <c r="E9" s="18"/>
      <c r="F9" s="18"/>
      <c r="K9" s="18"/>
      <c r="L9" s="19"/>
      <c r="M9" s="19"/>
      <c r="N9" s="19"/>
      <c r="O9" s="19"/>
      <c r="P9" s="21"/>
      <c r="Q9" s="21"/>
      <c r="R9" s="21"/>
    </row>
    <row r="10" spans="1:18" x14ac:dyDescent="0.25">
      <c r="A10" s="18" t="s">
        <v>86</v>
      </c>
      <c r="B10" s="21">
        <v>292</v>
      </c>
      <c r="C10" s="18" t="str" cm="1">
        <f t="array" ref="C10">IFERROR(_xlfn.LET(_xlpm.Country,$A10,_xlpm.MatchRow,_xlfn.XMATCH(_xlpm.Country,'Study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10" s="18" t="str">
        <f>_xlfn.IFNA(_xlfn.XLOOKUP(A10,'Study Information'!$D:$D,'Study Information'!$O:$O)-(_xlfn.XLOOKUP(A10,'Study Information'!$D:$D,'Study Information'!$L:$L)),"")</f>
        <v/>
      </c>
      <c r="E10" s="18"/>
      <c r="F10" s="18"/>
      <c r="K10" s="18"/>
      <c r="L10" s="19"/>
      <c r="M10" s="19"/>
      <c r="N10" s="19"/>
      <c r="O10" s="19"/>
      <c r="P10" s="21"/>
      <c r="Q10" s="21"/>
      <c r="R10" s="21"/>
    </row>
    <row r="11" spans="1:18" x14ac:dyDescent="0.25">
      <c r="A11" s="18" t="s">
        <v>30</v>
      </c>
      <c r="B11" s="21">
        <v>145.76923076923077</v>
      </c>
      <c r="C11" s="18" cm="1">
        <f t="array" ref="C11">IFERROR(_xlfn.LET(_xlpm.Country,$A11,_xlpm.MatchRow,_xlfn.XMATCH(_xlpm.Country,'Study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>150</v>
      </c>
      <c r="D11" s="18">
        <f>_xlfn.IFNA(_xlfn.XLOOKUP(A11,'Study Information'!$D:$D,'Study Information'!$O:$O)-(_xlfn.XLOOKUP(A11,'Study Information'!$D:$D,'Study Information'!$L:$L)),"")</f>
        <v>30</v>
      </c>
      <c r="E11" s="18"/>
      <c r="F11" s="18"/>
      <c r="K11" s="18"/>
      <c r="L11" s="19"/>
      <c r="M11" s="19"/>
      <c r="N11" s="19"/>
      <c r="O11" s="19"/>
      <c r="P11" s="21"/>
      <c r="Q11" s="21"/>
      <c r="R11" s="21"/>
    </row>
    <row r="12" spans="1:18" x14ac:dyDescent="0.25">
      <c r="A12" s="18" t="s">
        <v>41</v>
      </c>
      <c r="B12" s="21">
        <v>30.458333333333332</v>
      </c>
      <c r="C12" s="18" t="str" cm="1">
        <f t="array" ref="C12">IFERROR(_xlfn.LET(_xlpm.Country,$A12,_xlpm.MatchRow,_xlfn.XMATCH(_xlpm.Country,'Study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12" s="18" t="str">
        <f>_xlfn.IFNA(_xlfn.XLOOKUP(A12,'Study Information'!$D:$D,'Study Information'!$O:$O)-(_xlfn.XLOOKUP(A12,'Study Information'!$D:$D,'Study Information'!$L:$L)),"")</f>
        <v/>
      </c>
      <c r="E12" s="18"/>
      <c r="F12" s="18"/>
      <c r="K12" s="18"/>
      <c r="L12" s="19"/>
      <c r="M12" s="19"/>
      <c r="N12" s="19"/>
      <c r="O12" s="19"/>
      <c r="P12" s="21"/>
      <c r="Q12" s="21"/>
      <c r="R12" s="21"/>
    </row>
    <row r="13" spans="1:18" x14ac:dyDescent="0.25">
      <c r="A13" s="18" t="s">
        <v>87</v>
      </c>
      <c r="B13" s="21">
        <v>182.125</v>
      </c>
      <c r="C13" s="18" t="str" cm="1">
        <f t="array" ref="C13">IFERROR(_xlfn.LET(_xlpm.Country,$A13,_xlpm.MatchRow,_xlfn.XMATCH(_xlpm.Country,'Study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13" s="18" t="str">
        <f>_xlfn.IFNA(_xlfn.XLOOKUP(A13,'Study Information'!$D:$D,'Study Information'!$O:$O)-(_xlfn.XLOOKUP(A13,'Study Information'!$D:$D,'Study Information'!$L:$L)),"")</f>
        <v/>
      </c>
      <c r="E13" s="18"/>
      <c r="F13" s="18"/>
      <c r="K13" s="18"/>
      <c r="L13" s="19"/>
      <c r="M13" s="19"/>
      <c r="N13" s="19"/>
      <c r="O13" s="19"/>
      <c r="P13" s="21"/>
      <c r="Q13" s="21"/>
      <c r="R13" s="21"/>
    </row>
    <row r="14" spans="1:18" x14ac:dyDescent="0.25">
      <c r="A14" s="18" t="s">
        <v>4</v>
      </c>
      <c r="B14" s="21">
        <v>102.375</v>
      </c>
      <c r="C14" s="18" t="str" cm="1">
        <f t="array" ref="C14">IFERROR(_xlfn.LET(_xlpm.Country,$A14,_xlpm.MatchRow,_xlfn.XMATCH(_xlpm.Country,'Study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14" s="18" t="str">
        <f>_xlfn.IFNA(_xlfn.XLOOKUP(A14,'Study Information'!$D:$D,'Study Information'!$O:$O)-(_xlfn.XLOOKUP(A14,'Study Information'!$D:$D,'Study Information'!$L:$L)),"")</f>
        <v/>
      </c>
      <c r="E14" s="18"/>
      <c r="F14" s="18"/>
      <c r="K14" s="18"/>
      <c r="L14" s="19"/>
      <c r="M14" s="19"/>
      <c r="N14" s="19"/>
      <c r="O14" s="19"/>
      <c r="P14" s="21"/>
      <c r="Q14" s="21"/>
      <c r="R14" s="21"/>
    </row>
    <row r="15" spans="1:18" x14ac:dyDescent="0.25">
      <c r="A15" s="18" t="s">
        <v>32</v>
      </c>
      <c r="B15" s="21">
        <v>186.875</v>
      </c>
      <c r="C15" s="18" t="str" cm="1">
        <f t="array" ref="C15">IFERROR(_xlfn.LET(_xlpm.Country,$A15,_xlpm.MatchRow,_xlfn.XMATCH(_xlpm.Country,'Study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15" s="18" t="str">
        <f>_xlfn.IFNA(_xlfn.XLOOKUP(A15,'Study Information'!$D:$D,'Study Information'!$O:$O)-(_xlfn.XLOOKUP(A15,'Study Information'!$D:$D,'Study Information'!$L:$L)),"")</f>
        <v/>
      </c>
      <c r="E15" s="18"/>
      <c r="F15" s="18"/>
      <c r="K15" s="18"/>
      <c r="L15" s="19"/>
      <c r="M15" s="19"/>
      <c r="N15" s="19"/>
      <c r="O15" s="19"/>
      <c r="P15" s="21"/>
      <c r="Q15" s="21"/>
      <c r="R15" s="21"/>
    </row>
    <row r="16" spans="1:18" x14ac:dyDescent="0.25">
      <c r="A16" s="18" t="s">
        <v>35</v>
      </c>
      <c r="B16" s="21">
        <v>46.375</v>
      </c>
      <c r="C16" s="18" t="str" cm="1">
        <f t="array" ref="C16">IFERROR(_xlfn.LET(_xlpm.Country,$A16,_xlpm.MatchRow,_xlfn.XMATCH(_xlpm.Country,'Study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16" s="18" t="str">
        <f>_xlfn.IFNA(_xlfn.XLOOKUP(A16,'Study Information'!$D:$D,'Study Information'!$O:$O)-(_xlfn.XLOOKUP(A16,'Study Information'!$D:$D,'Study Information'!$L:$L)),"")</f>
        <v/>
      </c>
      <c r="E16" s="18"/>
      <c r="F16" s="18"/>
      <c r="K16" s="18"/>
      <c r="L16" s="19"/>
      <c r="M16" s="19"/>
      <c r="N16" s="19"/>
      <c r="O16" s="19"/>
      <c r="P16" s="21"/>
      <c r="Q16" s="21"/>
      <c r="R16" s="21"/>
    </row>
    <row r="17" spans="1:18" x14ac:dyDescent="0.25">
      <c r="A17" s="18" t="s">
        <v>37</v>
      </c>
      <c r="B17" s="21">
        <v>62.375</v>
      </c>
      <c r="C17" s="18" t="str" cm="1">
        <f t="array" ref="C17">IFERROR(_xlfn.LET(_xlpm.Country,$A17,_xlpm.MatchRow,_xlfn.XMATCH(_xlpm.Country,'Study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17" s="18" t="str">
        <f>_xlfn.IFNA(_xlfn.XLOOKUP(A17,'Study Information'!$D:$D,'Study Information'!$O:$O)-(_xlfn.XLOOKUP(A17,'Study Information'!$D:$D,'Study Information'!$L:$L)),"")</f>
        <v/>
      </c>
      <c r="E17" s="18"/>
      <c r="F17" s="18"/>
      <c r="K17" s="18"/>
      <c r="L17" s="19"/>
      <c r="M17" s="19"/>
      <c r="N17" s="19"/>
      <c r="O17" s="19"/>
      <c r="P17" s="21"/>
      <c r="Q17" s="21"/>
      <c r="R17" s="21"/>
    </row>
    <row r="18" spans="1:18" x14ac:dyDescent="0.25">
      <c r="A18" s="18" t="s">
        <v>38</v>
      </c>
      <c r="B18" s="21">
        <v>108.51111111111095</v>
      </c>
      <c r="C18" s="18" t="str" cm="1">
        <f t="array" ref="C18">IFERROR(_xlfn.LET(_xlpm.Country,$A18,_xlpm.MatchRow,_xlfn.XMATCH(_xlpm.Country,'Study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18" s="18" t="str">
        <f>_xlfn.IFNA(_xlfn.XLOOKUP(A18,'Study Information'!$D:$D,'Study Information'!$O:$O)-(_xlfn.XLOOKUP(A18,'Study Information'!$D:$D,'Study Information'!$L:$L)),"")</f>
        <v/>
      </c>
      <c r="E18" s="18"/>
      <c r="F18" s="18"/>
      <c r="K18" s="18"/>
      <c r="L18" s="19"/>
      <c r="M18" s="19"/>
      <c r="N18" s="19"/>
      <c r="O18" s="19"/>
      <c r="P18" s="21"/>
      <c r="Q18" s="21"/>
      <c r="R18" s="21"/>
    </row>
    <row r="19" spans="1:18" x14ac:dyDescent="0.25">
      <c r="A19" s="18" t="s">
        <v>39</v>
      </c>
      <c r="B19" s="21">
        <v>98</v>
      </c>
      <c r="C19" s="18" t="str" cm="1">
        <f t="array" ref="C19">IFERROR(_xlfn.LET(_xlpm.Country,$A19,_xlpm.MatchRow,_xlfn.XMATCH(_xlpm.Country,'Study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19" s="18" t="str">
        <f>_xlfn.IFNA(_xlfn.XLOOKUP(A19,'Study Information'!$D:$D,'Study Information'!$O:$O)-(_xlfn.XLOOKUP(A19,'Study Information'!$D:$D,'Study Information'!$L:$L)),"")</f>
        <v/>
      </c>
      <c r="E19" s="18"/>
      <c r="F19" s="18"/>
      <c r="K19" s="18"/>
      <c r="L19" s="19"/>
      <c r="M19" s="19"/>
      <c r="N19" s="19"/>
      <c r="O19" s="19"/>
      <c r="P19" s="21"/>
      <c r="Q19" s="21"/>
      <c r="R19" s="21"/>
    </row>
    <row r="20" spans="1:18" x14ac:dyDescent="0.25">
      <c r="A20" s="18" t="s">
        <v>88</v>
      </c>
      <c r="B20" s="21">
        <v>118.46590909090909</v>
      </c>
      <c r="C20" s="18" cm="1">
        <f t="array" ref="C20">IFERROR(_xlfn.LET(_xlpm.Country,$A20,_xlpm.MatchRow,_xlfn.XMATCH(_xlpm.Country,'Study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>900</v>
      </c>
      <c r="D20" s="18">
        <f>_xlfn.IFNA(_xlfn.XLOOKUP(A20,'Study Information'!$D:$D,'Study Information'!$O:$O)-(_xlfn.XLOOKUP(A20,'Study Information'!$D:$D,'Study Information'!$L:$L)),"")</f>
        <v>60</v>
      </c>
      <c r="E20" s="18"/>
      <c r="F20" s="18"/>
      <c r="K20" s="18"/>
      <c r="L20" s="19"/>
      <c r="M20" s="19"/>
      <c r="N20" s="19"/>
      <c r="O20" s="19"/>
      <c r="P20" s="21"/>
      <c r="Q20" s="21"/>
      <c r="R20" s="21"/>
    </row>
    <row r="21" spans="1:18" x14ac:dyDescent="0.25">
      <c r="A21" s="18" t="s">
        <v>89</v>
      </c>
      <c r="B21" s="21">
        <v>83.4</v>
      </c>
      <c r="C21" s="18" t="str" cm="1">
        <f t="array" ref="C21">IFERROR(_xlfn.LET(_xlpm.Country,$A21,_xlpm.MatchRow,_xlfn.XMATCH(_xlpm.Country,'Study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21" s="18" t="str">
        <f>_xlfn.IFNA(_xlfn.XLOOKUP(A21,'Study Information'!$D:$D,'Study Information'!$O:$O)-(_xlfn.XLOOKUP(A21,'Study Information'!$D:$D,'Study Information'!$L:$L)),"")</f>
        <v/>
      </c>
      <c r="E21" s="18"/>
      <c r="F21" s="18"/>
      <c r="K21" s="18"/>
      <c r="L21" s="19"/>
      <c r="M21" s="19"/>
      <c r="N21" s="19"/>
      <c r="O21" s="19"/>
      <c r="P21" s="21"/>
      <c r="Q21" s="21"/>
      <c r="R21" s="21"/>
    </row>
    <row r="22" spans="1:18" x14ac:dyDescent="0.25">
      <c r="A22" s="18" t="s">
        <v>40</v>
      </c>
      <c r="B22" s="21">
        <v>129.375</v>
      </c>
      <c r="C22" s="18" t="str" cm="1">
        <f t="array" ref="C22">IFERROR(_xlfn.LET(_xlpm.Country,$A22,_xlpm.MatchRow,_xlfn.XMATCH(_xlpm.Country,'Study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22" s="18" t="str">
        <f>_xlfn.IFNA(_xlfn.XLOOKUP(A22,'Study Information'!$D:$D,'Study Information'!$O:$O)-(_xlfn.XLOOKUP(A22,'Study Information'!$D:$D,'Study Information'!$L:$L)),"")</f>
        <v/>
      </c>
      <c r="E22" s="18"/>
      <c r="F22" s="18"/>
      <c r="K22" s="18"/>
      <c r="L22" s="19"/>
      <c r="M22" s="19"/>
      <c r="N22" s="19"/>
      <c r="O22" s="19"/>
      <c r="P22" s="21"/>
      <c r="Q22" s="21"/>
      <c r="R22" s="21"/>
    </row>
    <row r="23" spans="1:18" x14ac:dyDescent="0.25">
      <c r="A23" s="18" t="s">
        <v>90</v>
      </c>
      <c r="B23" s="21">
        <v>152.15277777777777</v>
      </c>
      <c r="C23" s="18" t="str" cm="1">
        <f t="array" ref="C23">IFERROR(_xlfn.LET(_xlpm.Country,$A23,_xlpm.MatchRow,_xlfn.XMATCH(_xlpm.Country,'Study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23" s="18" t="str">
        <f>_xlfn.IFNA(_xlfn.XLOOKUP(A23,'Study Information'!$D:$D,'Study Information'!$O:$O)-(_xlfn.XLOOKUP(A23,'Study Information'!$D:$D,'Study Information'!$L:$L)),"")</f>
        <v/>
      </c>
      <c r="E23" s="18"/>
      <c r="F23" s="18"/>
      <c r="K23" s="18"/>
      <c r="L23" s="19"/>
      <c r="M23" s="19"/>
      <c r="N23" s="19"/>
      <c r="O23" s="19"/>
      <c r="P23" s="21"/>
      <c r="Q23" s="21"/>
      <c r="R23" s="21"/>
    </row>
    <row r="24" spans="1:18" x14ac:dyDescent="0.25">
      <c r="A24" s="18" t="s">
        <v>46</v>
      </c>
      <c r="B24" s="21">
        <v>78.410714285714292</v>
      </c>
      <c r="C24" s="18" t="str" cm="1">
        <f t="array" ref="C24">IFERROR(_xlfn.LET(_xlpm.Country,$A24,_xlpm.MatchRow,_xlfn.XMATCH(_xlpm.Country,'Study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24" s="18" t="str">
        <f>_xlfn.IFNA(_xlfn.XLOOKUP(A24,'Study Information'!$D:$D,'Study Information'!$O:$O)-(_xlfn.XLOOKUP(A24,'Study Information'!$D:$D,'Study Information'!$L:$L)),"")</f>
        <v/>
      </c>
      <c r="E24" s="18"/>
      <c r="F24" s="18"/>
      <c r="K24" s="18"/>
      <c r="L24" s="19"/>
      <c r="M24" s="19"/>
      <c r="N24" s="19"/>
      <c r="O24" s="19"/>
      <c r="P24" s="21"/>
      <c r="Q24" s="21"/>
      <c r="R24" s="21"/>
    </row>
    <row r="25" spans="1:18" x14ac:dyDescent="0.25">
      <c r="A25" s="18" t="s">
        <v>45</v>
      </c>
      <c r="B25" s="21">
        <v>35.6875</v>
      </c>
      <c r="C25" s="18" t="str" cm="1">
        <f t="array" ref="C25">IFERROR(_xlfn.LET(_xlpm.Country,$A25,_xlpm.MatchRow,_xlfn.XMATCH(_xlpm.Country,'Study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/>
      </c>
      <c r="D25" s="18" t="str">
        <f>_xlfn.IFNA(_xlfn.XLOOKUP(A25,'Study Information'!$D:$D,'Study Information'!$O:$O)-(_xlfn.XLOOKUP(A25,'Study Information'!$D:$D,'Study Information'!$L:$L)),"")</f>
        <v/>
      </c>
      <c r="E25" s="18"/>
      <c r="F25" s="18"/>
      <c r="K25" s="18"/>
      <c r="L25" s="19"/>
      <c r="M25" s="19"/>
      <c r="N25" s="19"/>
      <c r="O25" s="19"/>
      <c r="P25" s="21"/>
      <c r="Q25" s="21"/>
      <c r="R25" s="21"/>
    </row>
    <row r="26" spans="1:18" x14ac:dyDescent="0.25">
      <c r="A26" s="18" t="s">
        <v>47</v>
      </c>
      <c r="B26" s="21">
        <v>60</v>
      </c>
      <c r="C26" s="18" cm="1">
        <f t="array" ref="C26">IFERROR(_xlfn.LET(_xlpm.Country,$A26,_xlpm.MatchRow,_xlfn.XMATCH(_xlpm.Country,'Study Information'!$D:$D,0),_xlpm.SiteCount,INDEX('Study Information'!$I:$I,_xlpm.MatchRow),_xlpm.FirstDate,INDEX('Study Information'!$O:$O,_xlpm.MatchRow),_xlpm.LastDate,INDEX('Study Information'!$O:$AH,_xlpm.MatchRow,_xlpm.SiteCount),_xlpm.LastDate-_xlpm.FirstDate),"")</f>
        <v>90</v>
      </c>
      <c r="D26" s="18">
        <f>_xlfn.IFNA(_xlfn.XLOOKUP(A26,'Study Information'!$D:$D,'Study Information'!$O:$O)-(_xlfn.XLOOKUP(A26,'Study Information'!$D:$D,'Study Information'!$L:$L)),"")</f>
        <v>30</v>
      </c>
      <c r="E26" s="18"/>
      <c r="F26" s="18"/>
      <c r="K26" s="18"/>
      <c r="L26" s="19"/>
      <c r="M26" s="19"/>
      <c r="N26" s="19"/>
      <c r="O26" s="19"/>
      <c r="P26" s="21"/>
      <c r="Q26" s="21"/>
      <c r="R26" s="21"/>
    </row>
    <row r="27" spans="1:18" x14ac:dyDescent="0.25">
      <c r="A27" s="18"/>
      <c r="B27" s="18"/>
      <c r="C27" s="18"/>
      <c r="D27" s="18"/>
      <c r="E27" s="18"/>
      <c r="F27" s="18"/>
      <c r="K27" s="18"/>
      <c r="L27" s="19"/>
      <c r="M27" s="19"/>
      <c r="N27" s="19"/>
      <c r="O27" s="19"/>
      <c r="P27" s="21"/>
      <c r="Q27" s="21"/>
      <c r="R27" s="21"/>
    </row>
    <row r="28" spans="1:18" x14ac:dyDescent="0.25">
      <c r="A28" s="18"/>
      <c r="B28" s="18"/>
      <c r="C28" s="18"/>
      <c r="D28" s="18"/>
      <c r="E28" s="18"/>
      <c r="F28" s="18"/>
      <c r="K28" s="18"/>
      <c r="L28" s="19"/>
      <c r="M28" s="19"/>
      <c r="N28" s="19"/>
      <c r="O28" s="19"/>
      <c r="P28" s="21"/>
      <c r="Q28" s="21"/>
      <c r="R28" s="21"/>
    </row>
    <row r="29" spans="1:18" x14ac:dyDescent="0.25">
      <c r="A29" s="18"/>
      <c r="B29" s="18"/>
      <c r="C29" s="18"/>
      <c r="D29" s="18"/>
      <c r="E29" s="18"/>
      <c r="F29" s="18"/>
    </row>
    <row r="30" spans="1:18" x14ac:dyDescent="0.25">
      <c r="A30" s="18"/>
      <c r="B30" s="18"/>
      <c r="C30" s="18"/>
      <c r="D30" s="18"/>
      <c r="E30" s="18"/>
      <c r="F30" s="18"/>
    </row>
    <row r="31" spans="1:18" x14ac:dyDescent="0.25">
      <c r="A31" s="18"/>
      <c r="B31" s="18"/>
      <c r="C31" s="18"/>
      <c r="D31" s="18"/>
      <c r="E31" s="18"/>
      <c r="F31" s="18"/>
    </row>
    <row r="32" spans="1:18" x14ac:dyDescent="0.25">
      <c r="A32" s="18"/>
      <c r="B32" s="18"/>
      <c r="C32" s="18"/>
      <c r="D32" s="18"/>
      <c r="E32" s="18"/>
      <c r="F32" s="18"/>
    </row>
    <row r="33" spans="1:6" x14ac:dyDescent="0.25">
      <c r="A33" s="18"/>
      <c r="B33" s="18"/>
      <c r="C33" s="18"/>
      <c r="D33" s="18"/>
      <c r="E33" s="18"/>
      <c r="F33" s="18"/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4692-8714-4715-B131-CE95EDA2DF81}">
  <sheetPr codeName="Sheet2"/>
  <dimension ref="A1:AC54"/>
  <sheetViews>
    <sheetView zoomScale="130" zoomScaleNormal="130" workbookViewId="0">
      <selection activeCell="B25" sqref="B25"/>
    </sheetView>
  </sheetViews>
  <sheetFormatPr defaultRowHeight="15" x14ac:dyDescent="0.25"/>
  <cols>
    <col min="1" max="2" width="21.140625" style="18" bestFit="1" customWidth="1"/>
    <col min="3" max="16384" width="9.140625" style="18"/>
  </cols>
  <sheetData>
    <row r="1" spans="1:29" x14ac:dyDescent="0.25">
      <c r="A1" s="18">
        <f>COUNTA(B6:B998)</f>
        <v>14</v>
      </c>
      <c r="B1" s="18" t="s">
        <v>8</v>
      </c>
      <c r="C1" s="21">
        <f ca="1">SUM(C6:INDEX(C:C,$A$1+7))</f>
        <v>0</v>
      </c>
      <c r="D1" s="21">
        <f ca="1">SUM(D6:INDEX(D:D,$A$1+7))</f>
        <v>0</v>
      </c>
      <c r="E1" s="21">
        <f ca="1">SUM(E6:INDEX(E:E,$A$1+7))</f>
        <v>0</v>
      </c>
      <c r="F1" s="21">
        <f ca="1">SUM(F6:INDEX(F:F,$A$1+7))</f>
        <v>0</v>
      </c>
      <c r="G1" s="21">
        <f ca="1">SUM(G6:INDEX(G:G,$A$1+7))</f>
        <v>0</v>
      </c>
      <c r="H1" s="21">
        <f ca="1">SUM(H6:INDEX(H:H,$A$1+7))</f>
        <v>0</v>
      </c>
      <c r="I1" s="21">
        <f ca="1">SUM(I6:INDEX(I:I,$A$1+7))</f>
        <v>0</v>
      </c>
      <c r="J1" s="21">
        <f ca="1">SUM(J6:INDEX(J:J,$A$1+7))</f>
        <v>18</v>
      </c>
      <c r="K1" s="21">
        <f ca="1">SUM(K6:INDEX(K:K,$A$1+7))</f>
        <v>15</v>
      </c>
      <c r="L1" s="21">
        <f ca="1">SUM(L6:INDEX(L:L,$A$1+7))</f>
        <v>12</v>
      </c>
      <c r="M1" s="21">
        <f ca="1">SUM(M6:INDEX(M:M,$A$1+7))</f>
        <v>12</v>
      </c>
      <c r="N1" s="21">
        <f ca="1">SUM(N6:INDEX(N:N,$A$1+7))</f>
        <v>13</v>
      </c>
      <c r="O1" s="21">
        <f ca="1">SUM(O6:INDEX(O:O,$A$1+7))</f>
        <v>14</v>
      </c>
      <c r="P1" s="21">
        <f ca="1">SUM(P6:INDEX(P:P,$A$1+7))</f>
        <v>6</v>
      </c>
      <c r="Q1" s="21">
        <f ca="1">SUM(Q6:INDEX(Q:Q,$A$1+7))</f>
        <v>5</v>
      </c>
      <c r="R1" s="21">
        <f ca="1">SUM(R6:INDEX(R:R,$A$1+7))</f>
        <v>4</v>
      </c>
      <c r="S1" s="21">
        <f ca="1">SUM(S6:INDEX(S:S,$A$1+7))</f>
        <v>2</v>
      </c>
      <c r="T1" s="21">
        <f ca="1">SUM(T6:INDEX(T:T,$A$1+7))</f>
        <v>0</v>
      </c>
      <c r="U1" s="21">
        <f ca="1">SUM(U6:INDEX(U:U,$A$1+7))</f>
        <v>0</v>
      </c>
      <c r="V1" s="21">
        <f ca="1">SUM(V6:INDEX(V:V,$A$1+7))</f>
        <v>0</v>
      </c>
      <c r="W1" s="21">
        <f ca="1">SUM(W6:INDEX(W:W,$A$1+7))</f>
        <v>0</v>
      </c>
      <c r="X1" s="21">
        <f ca="1">SUM(X6:INDEX(X:X,$A$1+7))</f>
        <v>0</v>
      </c>
      <c r="Y1" s="21">
        <f ca="1">SUM(Y6:INDEX(Y:Y,$A$1+7))</f>
        <v>0</v>
      </c>
      <c r="Z1" s="21">
        <f ca="1">SUM(Z6:INDEX(Z:Z,$A$1+7))</f>
        <v>0</v>
      </c>
      <c r="AA1" s="21">
        <f ca="1">SUM(AA6:INDEX(AA:AA,$A$1+7))</f>
        <v>0</v>
      </c>
      <c r="AB1" s="21">
        <f ca="1">SUM(AB6:INDEX(AB:AB,$A$1+7))</f>
        <v>0</v>
      </c>
      <c r="AC1" s="21">
        <f ca="1">SUM(AC6:INDEX(AC:AC,$A$1+7))</f>
        <v>0</v>
      </c>
    </row>
    <row r="2" spans="1:29" x14ac:dyDescent="0.25">
      <c r="A2" s="18" t="s">
        <v>11</v>
      </c>
      <c r="B2" s="18" t="s">
        <v>9</v>
      </c>
      <c r="C2" s="21">
        <f ca="1">C1</f>
        <v>0</v>
      </c>
      <c r="D2" s="21">
        <f ca="1">C2+D1</f>
        <v>0</v>
      </c>
      <c r="E2" s="21">
        <f t="shared" ref="E2:AC2" ca="1" si="0">D2+E1</f>
        <v>0</v>
      </c>
      <c r="F2" s="21">
        <f t="shared" ca="1" si="0"/>
        <v>0</v>
      </c>
      <c r="G2" s="21">
        <f t="shared" ca="1" si="0"/>
        <v>0</v>
      </c>
      <c r="H2" s="21">
        <f t="shared" ca="1" si="0"/>
        <v>0</v>
      </c>
      <c r="I2" s="21">
        <f t="shared" ca="1" si="0"/>
        <v>0</v>
      </c>
      <c r="J2" s="21">
        <f t="shared" ca="1" si="0"/>
        <v>18</v>
      </c>
      <c r="K2" s="21">
        <f t="shared" ca="1" si="0"/>
        <v>33</v>
      </c>
      <c r="L2" s="21">
        <f t="shared" ca="1" si="0"/>
        <v>45</v>
      </c>
      <c r="M2" s="21">
        <f t="shared" ca="1" si="0"/>
        <v>57</v>
      </c>
      <c r="N2" s="21">
        <f t="shared" ca="1" si="0"/>
        <v>70</v>
      </c>
      <c r="O2" s="21">
        <f t="shared" ca="1" si="0"/>
        <v>84</v>
      </c>
      <c r="P2" s="21">
        <f t="shared" ca="1" si="0"/>
        <v>90</v>
      </c>
      <c r="Q2" s="21">
        <f t="shared" ca="1" si="0"/>
        <v>95</v>
      </c>
      <c r="R2" s="21">
        <f t="shared" ca="1" si="0"/>
        <v>99</v>
      </c>
      <c r="S2" s="21">
        <f t="shared" ca="1" si="0"/>
        <v>101</v>
      </c>
      <c r="T2" s="21">
        <f t="shared" ca="1" si="0"/>
        <v>101</v>
      </c>
      <c r="U2" s="21">
        <f t="shared" ca="1" si="0"/>
        <v>101</v>
      </c>
      <c r="V2" s="21">
        <f t="shared" ca="1" si="0"/>
        <v>101</v>
      </c>
      <c r="W2" s="21">
        <f t="shared" ca="1" si="0"/>
        <v>101</v>
      </c>
      <c r="X2" s="21">
        <f t="shared" ca="1" si="0"/>
        <v>101</v>
      </c>
      <c r="Y2" s="21">
        <f t="shared" ca="1" si="0"/>
        <v>101</v>
      </c>
      <c r="Z2" s="21">
        <f t="shared" ca="1" si="0"/>
        <v>101</v>
      </c>
      <c r="AA2" s="21">
        <f t="shared" ca="1" si="0"/>
        <v>101</v>
      </c>
      <c r="AB2" s="21">
        <f t="shared" ca="1" si="0"/>
        <v>101</v>
      </c>
      <c r="AC2" s="21">
        <f t="shared" ca="1" si="0"/>
        <v>101</v>
      </c>
    </row>
    <row r="3" spans="1:29" x14ac:dyDescent="0.25">
      <c r="A3" s="26">
        <f>'Study Information'!$B$5</f>
        <v>46388</v>
      </c>
      <c r="B3" s="18" t="s">
        <v>10</v>
      </c>
      <c r="C3" s="21">
        <f>'Study Information'!$B$2</f>
        <v>100</v>
      </c>
      <c r="D3" s="21">
        <f>'Study Information'!$B$2</f>
        <v>100</v>
      </c>
      <c r="E3" s="21">
        <f>'Study Information'!$B$2</f>
        <v>100</v>
      </c>
      <c r="F3" s="21">
        <f>'Study Information'!$B$2</f>
        <v>100</v>
      </c>
      <c r="G3" s="21">
        <f>'Study Information'!$B$2</f>
        <v>100</v>
      </c>
      <c r="H3" s="21">
        <f>'Study Information'!$B$2</f>
        <v>100</v>
      </c>
      <c r="I3" s="21">
        <f>'Study Information'!$B$2</f>
        <v>100</v>
      </c>
      <c r="J3" s="21">
        <f>'Study Information'!$B$2</f>
        <v>100</v>
      </c>
      <c r="K3" s="21">
        <f>'Study Information'!$B$2</f>
        <v>100</v>
      </c>
      <c r="L3" s="21">
        <f>'Study Information'!$B$2</f>
        <v>100</v>
      </c>
      <c r="M3" s="21">
        <f>'Study Information'!$B$2</f>
        <v>100</v>
      </c>
      <c r="N3" s="21">
        <f>'Study Information'!$B$2</f>
        <v>100</v>
      </c>
      <c r="O3" s="21">
        <f>'Study Information'!$B$2</f>
        <v>100</v>
      </c>
      <c r="P3" s="21">
        <f>'Study Information'!$B$2</f>
        <v>100</v>
      </c>
      <c r="Q3" s="21">
        <f>'Study Information'!$B$2</f>
        <v>100</v>
      </c>
      <c r="R3" s="21">
        <f>'Study Information'!$B$2</f>
        <v>100</v>
      </c>
      <c r="S3" s="21">
        <f>'Study Information'!$B$2</f>
        <v>100</v>
      </c>
      <c r="T3" s="21">
        <f>'Study Information'!$B$2</f>
        <v>100</v>
      </c>
      <c r="U3" s="21">
        <f>'Study Information'!$B$2</f>
        <v>100</v>
      </c>
      <c r="V3" s="21">
        <f>'Study Information'!$B$2</f>
        <v>100</v>
      </c>
      <c r="W3" s="21">
        <f>'Study Information'!$B$2</f>
        <v>100</v>
      </c>
      <c r="X3" s="21">
        <f>'Study Information'!$B$2</f>
        <v>100</v>
      </c>
      <c r="Y3" s="21">
        <f>'Study Information'!$B$2</f>
        <v>100</v>
      </c>
      <c r="Z3" s="21">
        <f>'Study Information'!$B$2</f>
        <v>100</v>
      </c>
      <c r="AA3" s="21">
        <f>'Study Information'!$B$2</f>
        <v>100</v>
      </c>
      <c r="AB3" s="21">
        <f>'Study Information'!$B$2</f>
        <v>100</v>
      </c>
      <c r="AC3" s="21">
        <f>'Study Information'!$B$2</f>
        <v>100</v>
      </c>
    </row>
    <row r="4" spans="1:29" x14ac:dyDescent="0.25">
      <c r="A4" s="21">
        <v>0</v>
      </c>
      <c r="B4" s="18" t="s">
        <v>74</v>
      </c>
      <c r="C4" s="21">
        <f ca="1">C3-C2</f>
        <v>100</v>
      </c>
      <c r="D4" s="21">
        <f t="shared" ref="D4:AC4" ca="1" si="1">D3-D2</f>
        <v>100</v>
      </c>
      <c r="E4" s="21">
        <f t="shared" ca="1" si="1"/>
        <v>100</v>
      </c>
      <c r="F4" s="21">
        <f t="shared" ca="1" si="1"/>
        <v>100</v>
      </c>
      <c r="G4" s="21">
        <f t="shared" ca="1" si="1"/>
        <v>100</v>
      </c>
      <c r="H4" s="21">
        <f t="shared" ca="1" si="1"/>
        <v>100</v>
      </c>
      <c r="I4" s="21">
        <f t="shared" ca="1" si="1"/>
        <v>100</v>
      </c>
      <c r="J4" s="21">
        <f t="shared" ca="1" si="1"/>
        <v>82</v>
      </c>
      <c r="K4" s="21">
        <f t="shared" ca="1" si="1"/>
        <v>67</v>
      </c>
      <c r="L4" s="21">
        <f t="shared" ca="1" si="1"/>
        <v>55</v>
      </c>
      <c r="M4" s="21">
        <f t="shared" ca="1" si="1"/>
        <v>43</v>
      </c>
      <c r="N4" s="21">
        <f t="shared" ca="1" si="1"/>
        <v>30</v>
      </c>
      <c r="O4" s="21">
        <f t="shared" ca="1" si="1"/>
        <v>16</v>
      </c>
      <c r="P4" s="21">
        <f t="shared" ca="1" si="1"/>
        <v>10</v>
      </c>
      <c r="Q4" s="21">
        <f t="shared" ca="1" si="1"/>
        <v>5</v>
      </c>
      <c r="R4" s="21">
        <f t="shared" ca="1" si="1"/>
        <v>1</v>
      </c>
      <c r="S4" s="21">
        <f t="shared" ca="1" si="1"/>
        <v>-1</v>
      </c>
      <c r="T4" s="21">
        <f t="shared" ca="1" si="1"/>
        <v>-1</v>
      </c>
      <c r="U4" s="21">
        <f t="shared" ca="1" si="1"/>
        <v>-1</v>
      </c>
      <c r="V4" s="21">
        <f t="shared" ca="1" si="1"/>
        <v>-1</v>
      </c>
      <c r="W4" s="21">
        <f t="shared" ca="1" si="1"/>
        <v>-1</v>
      </c>
      <c r="X4" s="21">
        <f t="shared" ca="1" si="1"/>
        <v>-1</v>
      </c>
      <c r="Y4" s="21">
        <f t="shared" ca="1" si="1"/>
        <v>-1</v>
      </c>
      <c r="Z4" s="21">
        <f t="shared" ca="1" si="1"/>
        <v>-1</v>
      </c>
      <c r="AA4" s="21">
        <f t="shared" ca="1" si="1"/>
        <v>-1</v>
      </c>
      <c r="AB4" s="21">
        <f t="shared" ca="1" si="1"/>
        <v>-1</v>
      </c>
      <c r="AC4" s="21">
        <f t="shared" ca="1" si="1"/>
        <v>-1</v>
      </c>
    </row>
    <row r="5" spans="1:29" s="1" customFormat="1" x14ac:dyDescent="0.25">
      <c r="A5" s="1" t="s">
        <v>0</v>
      </c>
      <c r="B5" s="1" t="s">
        <v>1</v>
      </c>
      <c r="C5" s="2">
        <f>'Study Information'!$B$3</f>
        <v>46023</v>
      </c>
      <c r="D5" s="2">
        <f>EDATE(C5,1)</f>
        <v>46054</v>
      </c>
      <c r="E5" s="2">
        <f t="shared" ref="E5:AC5" si="2">EDATE(D5,1)</f>
        <v>46082</v>
      </c>
      <c r="F5" s="2">
        <f t="shared" si="2"/>
        <v>46113</v>
      </c>
      <c r="G5" s="2">
        <f t="shared" si="2"/>
        <v>46143</v>
      </c>
      <c r="H5" s="2">
        <f t="shared" si="2"/>
        <v>46174</v>
      </c>
      <c r="I5" s="2">
        <f t="shared" si="2"/>
        <v>46204</v>
      </c>
      <c r="J5" s="2">
        <f t="shared" si="2"/>
        <v>46235</v>
      </c>
      <c r="K5" s="2">
        <f t="shared" si="2"/>
        <v>46266</v>
      </c>
      <c r="L5" s="2">
        <f t="shared" si="2"/>
        <v>46296</v>
      </c>
      <c r="M5" s="2">
        <f t="shared" si="2"/>
        <v>46327</v>
      </c>
      <c r="N5" s="2">
        <f t="shared" si="2"/>
        <v>46357</v>
      </c>
      <c r="O5" s="2">
        <f t="shared" si="2"/>
        <v>46388</v>
      </c>
      <c r="P5" s="2">
        <f t="shared" si="2"/>
        <v>46419</v>
      </c>
      <c r="Q5" s="2">
        <f t="shared" si="2"/>
        <v>46447</v>
      </c>
      <c r="R5" s="2">
        <f t="shared" si="2"/>
        <v>46478</v>
      </c>
      <c r="S5" s="2">
        <f t="shared" si="2"/>
        <v>46508</v>
      </c>
      <c r="T5" s="2">
        <f t="shared" si="2"/>
        <v>46539</v>
      </c>
      <c r="U5" s="2">
        <f t="shared" si="2"/>
        <v>46569</v>
      </c>
      <c r="V5" s="2">
        <f t="shared" si="2"/>
        <v>46600</v>
      </c>
      <c r="W5" s="2">
        <f t="shared" si="2"/>
        <v>46631</v>
      </c>
      <c r="X5" s="2">
        <f t="shared" si="2"/>
        <v>46661</v>
      </c>
      <c r="Y5" s="2">
        <f t="shared" si="2"/>
        <v>46692</v>
      </c>
      <c r="Z5" s="2">
        <f t="shared" si="2"/>
        <v>46722</v>
      </c>
      <c r="AA5" s="2">
        <f t="shared" si="2"/>
        <v>46753</v>
      </c>
      <c r="AB5" s="2">
        <f t="shared" si="2"/>
        <v>46784</v>
      </c>
      <c r="AC5" s="2">
        <f t="shared" si="2"/>
        <v>46813</v>
      </c>
    </row>
    <row r="6" spans="1:29" x14ac:dyDescent="0.25">
      <c r="A6" s="20" t="str" cm="1">
        <f t="array" ref="A6:B19">_xlfn._xlws.SORT(_xlfn._xlws.FILTER(tblSites[[Country]:[Site]],tblSites[Include?]="Yes"))</f>
        <v>Canada</v>
      </c>
      <c r="B6" s="18" t="str">
        <v>Canada1</v>
      </c>
      <c r="C6" s="21" cm="1">
        <f t="array" aca="1" ref="C6" ca="1">IF(C$5&lt;=TODAY(),0,IF($B6="","",IFERROR(_xlfn.LET(_xlpm.Site,$B6,_xlpm.SiteCol,INDIRECT("tblSites[Site]"),_xlpm.ActCol,INDIRECT("tblSites[Site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" s="21" cm="1">
        <f t="array" aca="1" ref="D6" ca="1">IF(D$5&lt;=TODAY(),0,IF($B6="","",IFERROR(_xlfn.LET(_xlpm.Site,$B6,_xlpm.SiteCol,INDIRECT("tblSites[Site]"),_xlpm.ActCol,INDIRECT("tblSites[Site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6" s="21" cm="1">
        <f t="array" aca="1" ref="E6" ca="1">IF(E$5&lt;=TODAY(),0,IF($B6="","",IFERROR(_xlfn.LET(_xlpm.Site,$B6,_xlpm.SiteCol,INDIRECT("tblSites[Site]"),_xlpm.ActCol,INDIRECT("tblSites[Site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6" s="21" cm="1">
        <f t="array" aca="1" ref="F6" ca="1">IF(F$5&lt;=TODAY(),0,IF($B6="","",IFERROR(_xlfn.LET(_xlpm.Site,$B6,_xlpm.SiteCol,INDIRECT("tblSites[Site]"),_xlpm.ActCol,INDIRECT("tblSites[Site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6" s="21" cm="1">
        <f t="array" aca="1" ref="G6" ca="1">IF(G$5&lt;=TODAY(),0,IF($B6="","",IFERROR(_xlfn.LET(_xlpm.Site,$B6,_xlpm.SiteCol,INDIRECT("tblSites[Site]"),_xlpm.ActCol,INDIRECT("tblSites[Site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6" s="21" cm="1">
        <f t="array" aca="1" ref="H6" ca="1">IF(H$5&lt;=TODAY(),0,IF($B6="","",IFERROR(_xlfn.LET(_xlpm.Site,$B6,_xlpm.SiteCol,INDIRECT("tblSites[Site]"),_xlpm.ActCol,INDIRECT("tblSites[Site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6" s="21" cm="1">
        <f t="array" aca="1" ref="I6" ca="1">IF(I$5&lt;=TODAY(),0,IF($B6="","",IFERROR(_xlfn.LET(_xlpm.Site,$B6,_xlpm.SiteCol,INDIRECT("tblSites[Site]"),_xlpm.ActCol,INDIRECT("tblSites[Site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6" s="21" cm="1">
        <f t="array" aca="1" ref="J6" ca="1">IF(J$5&lt;=TODAY(),0,IF($B6="","",IFERROR(_xlfn.LET(_xlpm.Site,$B6,_xlpm.SiteCol,INDIRECT("tblSites[Site]"),_xlpm.ActCol,INDIRECT("tblSites[Site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6" s="21" cm="1">
        <f t="array" aca="1" ref="K6" ca="1">IF(K$5&lt;=TODAY(),0,IF($B6="","",IFERROR(_xlfn.LET(_xlpm.Site,$B6,_xlpm.SiteCol,INDIRECT("tblSites[Site]"),_xlpm.ActCol,INDIRECT("tblSites[Site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6" s="21" cm="1">
        <f t="array" aca="1" ref="L6" ca="1">IF(L$5&lt;=TODAY(),0,IF($B6="","",IFERROR(_xlfn.LET(_xlpm.Site,$B6,_xlpm.SiteCol,INDIRECT("tblSites[Site]"),_xlpm.ActCol,INDIRECT("tblSites[Site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6" s="21" cm="1">
        <f t="array" aca="1" ref="M6" ca="1">IF(M$5&lt;=TODAY(),0,IF($B6="","",IFERROR(_xlfn.LET(_xlpm.Site,$B6,_xlpm.SiteCol,INDIRECT("tblSites[Site]"),_xlpm.ActCol,INDIRECT("tblSites[Site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6" s="21" cm="1">
        <f t="array" aca="1" ref="N6" ca="1">IF(N$5&lt;=TODAY(),0,IF($B6="","",IFERROR(_xlfn.LET(_xlpm.Site,$B6,_xlpm.SiteCol,INDIRECT("tblSites[Site]"),_xlpm.ActCol,INDIRECT("tblSites[Site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6" s="21" cm="1">
        <f t="array" aca="1" ref="O6" ca="1">IF(O$5&lt;=TODAY(),0,IF($B6="","",IFERROR(_xlfn.LET(_xlpm.Site,$B6,_xlpm.SiteCol,INDIRECT("tblSites[Site]"),_xlpm.ActCol,INDIRECT("tblSites[Site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6" s="21" cm="1">
        <f t="array" aca="1" ref="P6" ca="1">IF(P$5&lt;=TODAY(),0,IF($B6="","",IFERROR(_xlfn.LET(_xlpm.Site,$B6,_xlpm.SiteCol,INDIRECT("tblSites[Site]"),_xlpm.ActCol,INDIRECT("tblSites[Site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6" s="21" cm="1">
        <f t="array" aca="1" ref="Q6" ca="1">IF(Q$5&lt;=TODAY(),0,IF($B6="","",IFERROR(_xlfn.LET(_xlpm.Site,$B6,_xlpm.SiteCol,INDIRECT("tblSites[Site]"),_xlpm.ActCol,INDIRECT("tblSites[Site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6" s="21" cm="1">
        <f t="array" aca="1" ref="R6" ca="1">IF(R$5&lt;=TODAY(),0,IF($B6="","",IFERROR(_xlfn.LET(_xlpm.Site,$B6,_xlpm.SiteCol,INDIRECT("tblSites[Site]"),_xlpm.ActCol,INDIRECT("tblSites[Site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1</v>
      </c>
      <c r="S6" s="21" cm="1">
        <f t="array" aca="1" ref="S6" ca="1">IF(S$5&lt;=TODAY(),0,IF($B6="","",IFERROR(_xlfn.LET(_xlpm.Site,$B6,_xlpm.SiteCol,INDIRECT("tblSites[Site]"),_xlpm.ActCol,INDIRECT("tblSites[Site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6" s="21" cm="1">
        <f t="array" aca="1" ref="T6" ca="1">IF(T$5&lt;=TODAY(),0,IF($B6="","",IFERROR(_xlfn.LET(_xlpm.Site,$B6,_xlpm.SiteCol,INDIRECT("tblSites[Site]"),_xlpm.ActCol,INDIRECT("tblSites[Site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6" s="21" cm="1">
        <f t="array" aca="1" ref="U6" ca="1">IF(U$5&lt;=TODAY(),0,IF($B6="","",IFERROR(_xlfn.LET(_xlpm.Site,$B6,_xlpm.SiteCol,INDIRECT("tblSites[Site]"),_xlpm.ActCol,INDIRECT("tblSites[Site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6" s="21" cm="1">
        <f t="array" aca="1" ref="V6" ca="1">IF(V$5&lt;=TODAY(),0,IF($B6="","",IFERROR(_xlfn.LET(_xlpm.Site,$B6,_xlpm.SiteCol,INDIRECT("tblSites[Site]"),_xlpm.ActCol,INDIRECT("tblSites[Site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6" s="21" cm="1">
        <f t="array" aca="1" ref="W6" ca="1">IF(W$5&lt;=TODAY(),0,IF($B6="","",IFERROR(_xlfn.LET(_xlpm.Site,$B6,_xlpm.SiteCol,INDIRECT("tblSites[Site]"),_xlpm.ActCol,INDIRECT("tblSites[Site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6" s="21" cm="1">
        <f t="array" aca="1" ref="X6" ca="1">IF(X$5&lt;=TODAY(),0,IF($B6="","",IFERROR(_xlfn.LET(_xlpm.Site,$B6,_xlpm.SiteCol,INDIRECT("tblSites[Site]"),_xlpm.ActCol,INDIRECT("tblSites[Site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6" s="21" cm="1">
        <f t="array" aca="1" ref="Y6" ca="1">IF(Y$5&lt;=TODAY(),0,IF($B6="","",IFERROR(_xlfn.LET(_xlpm.Site,$B6,_xlpm.SiteCol,INDIRECT("tblSites[Site]"),_xlpm.ActCol,INDIRECT("tblSites[Site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6" s="21" cm="1">
        <f t="array" aca="1" ref="Z6" ca="1">IF(Z$5&lt;=TODAY(),0,IF($B6="","",IFERROR(_xlfn.LET(_xlpm.Site,$B6,_xlpm.SiteCol,INDIRECT("tblSites[Site]"),_xlpm.ActCol,INDIRECT("tblSites[Site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6" s="21" cm="1">
        <f t="array" aca="1" ref="AA6" ca="1">IF(AA$5&lt;=TODAY(),0,IF($B6="","",IFERROR(_xlfn.LET(_xlpm.Site,$B6,_xlpm.SiteCol,INDIRECT("tblSites[Site]"),_xlpm.ActCol,INDIRECT("tblSites[Site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6" s="21" cm="1">
        <f t="array" aca="1" ref="AB6" ca="1">IF(AB$5&lt;=TODAY(),0,IF($B6="","",IFERROR(_xlfn.LET(_xlpm.Site,$B6,_xlpm.SiteCol,INDIRECT("tblSites[Site]"),_xlpm.ActCol,INDIRECT("tblSites[Site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6" s="21" cm="1">
        <f t="array" aca="1" ref="AC6" ca="1">IF(AC$5&lt;=TODAY(),0,IF($B6="","",IFERROR(_xlfn.LET(_xlpm.Site,$B6,_xlpm.SiteCol,INDIRECT("tblSites[Site]"),_xlpm.ActCol,INDIRECT("tblSites[Site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7" spans="1:29" x14ac:dyDescent="0.25">
      <c r="A7" s="18" t="str">
        <v>Canada</v>
      </c>
      <c r="B7" s="18" t="str">
        <v>Canada2</v>
      </c>
      <c r="C7" s="21" cm="1">
        <f t="array" aca="1" ref="C7" ca="1">IF(C$5&lt;=TODAY(),0,IF($B7="","",IFERROR(_xlfn.LET(_xlpm.Site,$B7,_xlpm.SiteCol,INDIRECT("tblSites[Site]"),_xlpm.ActCol,INDIRECT("tblSites[Site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" s="21" cm="1">
        <f t="array" aca="1" ref="D7" ca="1">IF(D$5&lt;=TODAY(),0,IF($B7="","",IFERROR(_xlfn.LET(_xlpm.Site,$B7,_xlpm.SiteCol,INDIRECT("tblSites[Site]"),_xlpm.ActCol,INDIRECT("tblSites[Site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7" s="21" cm="1">
        <f t="array" aca="1" ref="E7" ca="1">IF(E$5&lt;=TODAY(),0,IF($B7="","",IFERROR(_xlfn.LET(_xlpm.Site,$B7,_xlpm.SiteCol,INDIRECT("tblSites[Site]"),_xlpm.ActCol,INDIRECT("tblSites[Site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7" s="21" cm="1">
        <f t="array" aca="1" ref="F7" ca="1">IF(F$5&lt;=TODAY(),0,IF($B7="","",IFERROR(_xlfn.LET(_xlpm.Site,$B7,_xlpm.SiteCol,INDIRECT("tblSites[Site]"),_xlpm.ActCol,INDIRECT("tblSites[Site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7" s="21" cm="1">
        <f t="array" aca="1" ref="G7" ca="1">IF(G$5&lt;=TODAY(),0,IF($B7="","",IFERROR(_xlfn.LET(_xlpm.Site,$B7,_xlpm.SiteCol,INDIRECT("tblSites[Site]"),_xlpm.ActCol,INDIRECT("tblSites[Site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7" s="21" cm="1">
        <f t="array" aca="1" ref="H7" ca="1">IF(H$5&lt;=TODAY(),0,IF($B7="","",IFERROR(_xlfn.LET(_xlpm.Site,$B7,_xlpm.SiteCol,INDIRECT("tblSites[Site]"),_xlpm.ActCol,INDIRECT("tblSites[Site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7" s="21" cm="1">
        <f t="array" aca="1" ref="I7" ca="1">IF(I$5&lt;=TODAY(),0,IF($B7="","",IFERROR(_xlfn.LET(_xlpm.Site,$B7,_xlpm.SiteCol,INDIRECT("tblSites[Site]"),_xlpm.ActCol,INDIRECT("tblSites[Site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7" s="21" cm="1">
        <f t="array" aca="1" ref="J7" ca="1">IF(J$5&lt;=TODAY(),0,IF($B7="","",IFERROR(_xlfn.LET(_xlpm.Site,$B7,_xlpm.SiteCol,INDIRECT("tblSites[Site]"),_xlpm.ActCol,INDIRECT("tblSites[Site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7" s="21" cm="1">
        <f t="array" aca="1" ref="K7" ca="1">IF(K$5&lt;=TODAY(),0,IF($B7="","",IFERROR(_xlfn.LET(_xlpm.Site,$B7,_xlpm.SiteCol,INDIRECT("tblSites[Site]"),_xlpm.ActCol,INDIRECT("tblSites[Site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7" s="21" cm="1">
        <f t="array" aca="1" ref="L7" ca="1">IF(L$5&lt;=TODAY(),0,IF($B7="","",IFERROR(_xlfn.LET(_xlpm.Site,$B7,_xlpm.SiteCol,INDIRECT("tblSites[Site]"),_xlpm.ActCol,INDIRECT("tblSites[Site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7" s="21" cm="1">
        <f t="array" aca="1" ref="M7" ca="1">IF(M$5&lt;=TODAY(),0,IF($B7="","",IFERROR(_xlfn.LET(_xlpm.Site,$B7,_xlpm.SiteCol,INDIRECT("tblSites[Site]"),_xlpm.ActCol,INDIRECT("tblSites[Site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7" s="21" cm="1">
        <f t="array" aca="1" ref="N7" ca="1">IF(N$5&lt;=TODAY(),0,IF($B7="","",IFERROR(_xlfn.LET(_xlpm.Site,$B7,_xlpm.SiteCol,INDIRECT("tblSites[Site]"),_xlpm.ActCol,INDIRECT("tblSites[Site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7" s="21" cm="1">
        <f t="array" aca="1" ref="O7" ca="1">IF(O$5&lt;=TODAY(),0,IF($B7="","",IFERROR(_xlfn.LET(_xlpm.Site,$B7,_xlpm.SiteCol,INDIRECT("tblSites[Site]"),_xlpm.ActCol,INDIRECT("tblSites[Site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7" s="21" cm="1">
        <f t="array" aca="1" ref="P7" ca="1">IF(P$5&lt;=TODAY(),0,IF($B7="","",IFERROR(_xlfn.LET(_xlpm.Site,$B7,_xlpm.SiteCol,INDIRECT("tblSites[Site]"),_xlpm.ActCol,INDIRECT("tblSites[Site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7" s="21" cm="1">
        <f t="array" aca="1" ref="Q7" ca="1">IF(Q$5&lt;=TODAY(),0,IF($B7="","",IFERROR(_xlfn.LET(_xlpm.Site,$B7,_xlpm.SiteCol,INDIRECT("tblSites[Site]"),_xlpm.ActCol,INDIRECT("tblSites[Site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7" s="21" cm="1">
        <f t="array" aca="1" ref="R7" ca="1">IF(R$5&lt;=TODAY(),0,IF($B7="","",IFERROR(_xlfn.LET(_xlpm.Site,$B7,_xlpm.SiteCol,INDIRECT("tblSites[Site]"),_xlpm.ActCol,INDIRECT("tblSites[Site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7" s="21" cm="1">
        <f t="array" aca="1" ref="S7" ca="1">IF(S$5&lt;=TODAY(),0,IF($B7="","",IFERROR(_xlfn.LET(_xlpm.Site,$B7,_xlpm.SiteCol,INDIRECT("tblSites[Site]"),_xlpm.ActCol,INDIRECT("tblSites[Site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7" s="21" cm="1">
        <f t="array" aca="1" ref="T7" ca="1">IF(T$5&lt;=TODAY(),0,IF($B7="","",IFERROR(_xlfn.LET(_xlpm.Site,$B7,_xlpm.SiteCol,INDIRECT("tblSites[Site]"),_xlpm.ActCol,INDIRECT("tblSites[Site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7" s="21" cm="1">
        <f t="array" aca="1" ref="U7" ca="1">IF(U$5&lt;=TODAY(),0,IF($B7="","",IFERROR(_xlfn.LET(_xlpm.Site,$B7,_xlpm.SiteCol,INDIRECT("tblSites[Site]"),_xlpm.ActCol,INDIRECT("tblSites[Site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7" s="21" cm="1">
        <f t="array" aca="1" ref="V7" ca="1">IF(V$5&lt;=TODAY(),0,IF($B7="","",IFERROR(_xlfn.LET(_xlpm.Site,$B7,_xlpm.SiteCol,INDIRECT("tblSites[Site]"),_xlpm.ActCol,INDIRECT("tblSites[Site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7" s="21" cm="1">
        <f t="array" aca="1" ref="W7" ca="1">IF(W$5&lt;=TODAY(),0,IF($B7="","",IFERROR(_xlfn.LET(_xlpm.Site,$B7,_xlpm.SiteCol,INDIRECT("tblSites[Site]"),_xlpm.ActCol,INDIRECT("tblSites[Site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7" s="21" cm="1">
        <f t="array" aca="1" ref="X7" ca="1">IF(X$5&lt;=TODAY(),0,IF($B7="","",IFERROR(_xlfn.LET(_xlpm.Site,$B7,_xlpm.SiteCol,INDIRECT("tblSites[Site]"),_xlpm.ActCol,INDIRECT("tblSites[Site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7" s="21" cm="1">
        <f t="array" aca="1" ref="Y7" ca="1">IF(Y$5&lt;=TODAY(),0,IF($B7="","",IFERROR(_xlfn.LET(_xlpm.Site,$B7,_xlpm.SiteCol,INDIRECT("tblSites[Site]"),_xlpm.ActCol,INDIRECT("tblSites[Site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7" s="21" cm="1">
        <f t="array" aca="1" ref="Z7" ca="1">IF(Z$5&lt;=TODAY(),0,IF($B7="","",IFERROR(_xlfn.LET(_xlpm.Site,$B7,_xlpm.SiteCol,INDIRECT("tblSites[Site]"),_xlpm.ActCol,INDIRECT("tblSites[Site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7" s="21" cm="1">
        <f t="array" aca="1" ref="AA7" ca="1">IF(AA$5&lt;=TODAY(),0,IF($B7="","",IFERROR(_xlfn.LET(_xlpm.Site,$B7,_xlpm.SiteCol,INDIRECT("tblSites[Site]"),_xlpm.ActCol,INDIRECT("tblSites[Site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7" s="21" cm="1">
        <f t="array" aca="1" ref="AB7" ca="1">IF(AB$5&lt;=TODAY(),0,IF($B7="","",IFERROR(_xlfn.LET(_xlpm.Site,$B7,_xlpm.SiteCol,INDIRECT("tblSites[Site]"),_xlpm.ActCol,INDIRECT("tblSites[Site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7" s="21" cm="1">
        <f t="array" aca="1" ref="AC7" ca="1">IF(AC$5&lt;=TODAY(),0,IF($B7="","",IFERROR(_xlfn.LET(_xlpm.Site,$B7,_xlpm.SiteCol,INDIRECT("tblSites[Site]"),_xlpm.ActCol,INDIRECT("tblSites[Site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8" spans="1:29" x14ac:dyDescent="0.25">
      <c r="A8" s="18" t="str">
        <v>Germany</v>
      </c>
      <c r="B8" s="18" t="str">
        <v>Germany1</v>
      </c>
      <c r="C8" s="21" cm="1">
        <f t="array" aca="1" ref="C8" ca="1">IF(C$5&lt;=TODAY(),0,IF($B8="","",IFERROR(_xlfn.LET(_xlpm.Site,$B8,_xlpm.SiteCol,INDIRECT("tblSites[Site]"),_xlpm.ActCol,INDIRECT("tblSites[Site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" s="21" cm="1">
        <f t="array" aca="1" ref="D8" ca="1">IF(D$5&lt;=TODAY(),0,IF($B8="","",IFERROR(_xlfn.LET(_xlpm.Site,$B8,_xlpm.SiteCol,INDIRECT("tblSites[Site]"),_xlpm.ActCol,INDIRECT("tblSites[Site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8" s="21" cm="1">
        <f t="array" aca="1" ref="E8" ca="1">IF(E$5&lt;=TODAY(),0,IF($B8="","",IFERROR(_xlfn.LET(_xlpm.Site,$B8,_xlpm.SiteCol,INDIRECT("tblSites[Site]"),_xlpm.ActCol,INDIRECT("tblSites[Site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8" s="21" cm="1">
        <f t="array" aca="1" ref="F8" ca="1">IF(F$5&lt;=TODAY(),0,IF($B8="","",IFERROR(_xlfn.LET(_xlpm.Site,$B8,_xlpm.SiteCol,INDIRECT("tblSites[Site]"),_xlpm.ActCol,INDIRECT("tblSites[Site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8" s="21" cm="1">
        <f t="array" aca="1" ref="G8" ca="1">IF(G$5&lt;=TODAY(),0,IF($B8="","",IFERROR(_xlfn.LET(_xlpm.Site,$B8,_xlpm.SiteCol,INDIRECT("tblSites[Site]"),_xlpm.ActCol,INDIRECT("tblSites[Site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8" s="21" cm="1">
        <f t="array" aca="1" ref="H8" ca="1">IF(H$5&lt;=TODAY(),0,IF($B8="","",IFERROR(_xlfn.LET(_xlpm.Site,$B8,_xlpm.SiteCol,INDIRECT("tblSites[Site]"),_xlpm.ActCol,INDIRECT("tblSites[Site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8" s="21" cm="1">
        <f t="array" aca="1" ref="I8" ca="1">IF(I$5&lt;=TODAY(),0,IF($B8="","",IFERROR(_xlfn.LET(_xlpm.Site,$B8,_xlpm.SiteCol,INDIRECT("tblSites[Site]"),_xlpm.ActCol,INDIRECT("tblSites[Site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8" s="21" cm="1">
        <f t="array" aca="1" ref="J8" ca="1">IF(J$5&lt;=TODAY(),0,IF($B8="","",IFERROR(_xlfn.LET(_xlpm.Site,$B8,_xlpm.SiteCol,INDIRECT("tblSites[Site]"),_xlpm.ActCol,INDIRECT("tblSites[Site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8" s="21" cm="1">
        <f t="array" aca="1" ref="K8" ca="1">IF(K$5&lt;=TODAY(),0,IF($B8="","",IFERROR(_xlfn.LET(_xlpm.Site,$B8,_xlpm.SiteCol,INDIRECT("tblSites[Site]"),_xlpm.ActCol,INDIRECT("tblSites[Site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8" s="21" cm="1">
        <f t="array" aca="1" ref="L8" ca="1">IF(L$5&lt;=TODAY(),0,IF($B8="","",IFERROR(_xlfn.LET(_xlpm.Site,$B8,_xlpm.SiteCol,INDIRECT("tblSites[Site]"),_xlpm.ActCol,INDIRECT("tblSites[Site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8" s="21" cm="1">
        <f t="array" aca="1" ref="M8" ca="1">IF(M$5&lt;=TODAY(),0,IF($B8="","",IFERROR(_xlfn.LET(_xlpm.Site,$B8,_xlpm.SiteCol,INDIRECT("tblSites[Site]"),_xlpm.ActCol,INDIRECT("tblSites[Site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8" s="21" cm="1">
        <f t="array" aca="1" ref="N8" ca="1">IF(N$5&lt;=TODAY(),0,IF($B8="","",IFERROR(_xlfn.LET(_xlpm.Site,$B8,_xlpm.SiteCol,INDIRECT("tblSites[Site]"),_xlpm.ActCol,INDIRECT("tblSites[Site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8" s="21" cm="1">
        <f t="array" aca="1" ref="O8" ca="1">IF(O$5&lt;=TODAY(),0,IF($B8="","",IFERROR(_xlfn.LET(_xlpm.Site,$B8,_xlpm.SiteCol,INDIRECT("tblSites[Site]"),_xlpm.ActCol,INDIRECT("tblSites[Site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8" s="21" cm="1">
        <f t="array" aca="1" ref="P8" ca="1">IF(P$5&lt;=TODAY(),0,IF($B8="","",IFERROR(_xlfn.LET(_xlpm.Site,$B8,_xlpm.SiteCol,INDIRECT("tblSites[Site]"),_xlpm.ActCol,INDIRECT("tblSites[Site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8" s="21" cm="1">
        <f t="array" aca="1" ref="Q8" ca="1">IF(Q$5&lt;=TODAY(),0,IF($B8="","",IFERROR(_xlfn.LET(_xlpm.Site,$B8,_xlpm.SiteCol,INDIRECT("tblSites[Site]"),_xlpm.ActCol,INDIRECT("tblSites[Site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8" s="21" cm="1">
        <f t="array" aca="1" ref="R8" ca="1">IF(R$5&lt;=TODAY(),0,IF($B8="","",IFERROR(_xlfn.LET(_xlpm.Site,$B8,_xlpm.SiteCol,INDIRECT("tblSites[Site]"),_xlpm.ActCol,INDIRECT("tblSites[Site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8" s="21" cm="1">
        <f t="array" aca="1" ref="S8" ca="1">IF(S$5&lt;=TODAY(),0,IF($B8="","",IFERROR(_xlfn.LET(_xlpm.Site,$B8,_xlpm.SiteCol,INDIRECT("tblSites[Site]"),_xlpm.ActCol,INDIRECT("tblSites[Site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8" s="21" cm="1">
        <f t="array" aca="1" ref="T8" ca="1">IF(T$5&lt;=TODAY(),0,IF($B8="","",IFERROR(_xlfn.LET(_xlpm.Site,$B8,_xlpm.SiteCol,INDIRECT("tblSites[Site]"),_xlpm.ActCol,INDIRECT("tblSites[Site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8" s="21" cm="1">
        <f t="array" aca="1" ref="U8" ca="1">IF(U$5&lt;=TODAY(),0,IF($B8="","",IFERROR(_xlfn.LET(_xlpm.Site,$B8,_xlpm.SiteCol,INDIRECT("tblSites[Site]"),_xlpm.ActCol,INDIRECT("tblSites[Site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8" s="21" cm="1">
        <f t="array" aca="1" ref="V8" ca="1">IF(V$5&lt;=TODAY(),0,IF($B8="","",IFERROR(_xlfn.LET(_xlpm.Site,$B8,_xlpm.SiteCol,INDIRECT("tblSites[Site]"),_xlpm.ActCol,INDIRECT("tblSites[Site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8" s="21" cm="1">
        <f t="array" aca="1" ref="W8" ca="1">IF(W$5&lt;=TODAY(),0,IF($B8="","",IFERROR(_xlfn.LET(_xlpm.Site,$B8,_xlpm.SiteCol,INDIRECT("tblSites[Site]"),_xlpm.ActCol,INDIRECT("tblSites[Site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8" s="21" cm="1">
        <f t="array" aca="1" ref="X8" ca="1">IF(X$5&lt;=TODAY(),0,IF($B8="","",IFERROR(_xlfn.LET(_xlpm.Site,$B8,_xlpm.SiteCol,INDIRECT("tblSites[Site]"),_xlpm.ActCol,INDIRECT("tblSites[Site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8" s="21" cm="1">
        <f t="array" aca="1" ref="Y8" ca="1">IF(Y$5&lt;=TODAY(),0,IF($B8="","",IFERROR(_xlfn.LET(_xlpm.Site,$B8,_xlpm.SiteCol,INDIRECT("tblSites[Site]"),_xlpm.ActCol,INDIRECT("tblSites[Site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8" s="21" cm="1">
        <f t="array" aca="1" ref="Z8" ca="1">IF(Z$5&lt;=TODAY(),0,IF($B8="","",IFERROR(_xlfn.LET(_xlpm.Site,$B8,_xlpm.SiteCol,INDIRECT("tblSites[Site]"),_xlpm.ActCol,INDIRECT("tblSites[Site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8" s="21" cm="1">
        <f t="array" aca="1" ref="AA8" ca="1">IF(AA$5&lt;=TODAY(),0,IF($B8="","",IFERROR(_xlfn.LET(_xlpm.Site,$B8,_xlpm.SiteCol,INDIRECT("tblSites[Site]"),_xlpm.ActCol,INDIRECT("tblSites[Site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8" s="21" cm="1">
        <f t="array" aca="1" ref="AB8" ca="1">IF(AB$5&lt;=TODAY(),0,IF($B8="","",IFERROR(_xlfn.LET(_xlpm.Site,$B8,_xlpm.SiteCol,INDIRECT("tblSites[Site]"),_xlpm.ActCol,INDIRECT("tblSites[Site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8" s="21" cm="1">
        <f t="array" aca="1" ref="AC8" ca="1">IF(AC$5&lt;=TODAY(),0,IF($B8="","",IFERROR(_xlfn.LET(_xlpm.Site,$B8,_xlpm.SiteCol,INDIRECT("tblSites[Site]"),_xlpm.ActCol,INDIRECT("tblSites[Site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9" spans="1:29" x14ac:dyDescent="0.25">
      <c r="A9" s="18" t="str">
        <v>Germany</v>
      </c>
      <c r="B9" s="18" t="str">
        <v>Germany2</v>
      </c>
      <c r="C9" s="21" cm="1">
        <f t="array" aca="1" ref="C9" ca="1">IF(C$5&lt;=TODAY(),0,IF($B9="","",IFERROR(_xlfn.LET(_xlpm.Site,$B9,_xlpm.SiteCol,INDIRECT("tblSites[Site]"),_xlpm.ActCol,INDIRECT("tblSites[Site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9" s="21" cm="1">
        <f t="array" aca="1" ref="D9" ca="1">IF(D$5&lt;=TODAY(),0,IF($B9="","",IFERROR(_xlfn.LET(_xlpm.Site,$B9,_xlpm.SiteCol,INDIRECT("tblSites[Site]"),_xlpm.ActCol,INDIRECT("tblSites[Site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9" s="21" cm="1">
        <f t="array" aca="1" ref="E9" ca="1">IF(E$5&lt;=TODAY(),0,IF($B9="","",IFERROR(_xlfn.LET(_xlpm.Site,$B9,_xlpm.SiteCol,INDIRECT("tblSites[Site]"),_xlpm.ActCol,INDIRECT("tblSites[Site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9" s="21" cm="1">
        <f t="array" aca="1" ref="F9" ca="1">IF(F$5&lt;=TODAY(),0,IF($B9="","",IFERROR(_xlfn.LET(_xlpm.Site,$B9,_xlpm.SiteCol,INDIRECT("tblSites[Site]"),_xlpm.ActCol,INDIRECT("tblSites[Site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9" s="21" cm="1">
        <f t="array" aca="1" ref="G9" ca="1">IF(G$5&lt;=TODAY(),0,IF($B9="","",IFERROR(_xlfn.LET(_xlpm.Site,$B9,_xlpm.SiteCol,INDIRECT("tblSites[Site]"),_xlpm.ActCol,INDIRECT("tblSites[Site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9" s="21" cm="1">
        <f t="array" aca="1" ref="H9" ca="1">IF(H$5&lt;=TODAY(),0,IF($B9="","",IFERROR(_xlfn.LET(_xlpm.Site,$B9,_xlpm.SiteCol,INDIRECT("tblSites[Site]"),_xlpm.ActCol,INDIRECT("tblSites[Site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9" s="21" cm="1">
        <f t="array" aca="1" ref="I9" ca="1">IF(I$5&lt;=TODAY(),0,IF($B9="","",IFERROR(_xlfn.LET(_xlpm.Site,$B9,_xlpm.SiteCol,INDIRECT("tblSites[Site]"),_xlpm.ActCol,INDIRECT("tblSites[Site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9" s="21" cm="1">
        <f t="array" aca="1" ref="J9" ca="1">IF(J$5&lt;=TODAY(),0,IF($B9="","",IFERROR(_xlfn.LET(_xlpm.Site,$B9,_xlpm.SiteCol,INDIRECT("tblSites[Site]"),_xlpm.ActCol,INDIRECT("tblSites[Site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9" s="21" cm="1">
        <f t="array" aca="1" ref="K9" ca="1">IF(K$5&lt;=TODAY(),0,IF($B9="","",IFERROR(_xlfn.LET(_xlpm.Site,$B9,_xlpm.SiteCol,INDIRECT("tblSites[Site]"),_xlpm.ActCol,INDIRECT("tblSites[Site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9" s="21" cm="1">
        <f t="array" aca="1" ref="L9" ca="1">IF(L$5&lt;=TODAY(),0,IF($B9="","",IFERROR(_xlfn.LET(_xlpm.Site,$B9,_xlpm.SiteCol,INDIRECT("tblSites[Site]"),_xlpm.ActCol,INDIRECT("tblSites[Site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9" s="21" cm="1">
        <f t="array" aca="1" ref="M9" ca="1">IF(M$5&lt;=TODAY(),0,IF($B9="","",IFERROR(_xlfn.LET(_xlpm.Site,$B9,_xlpm.SiteCol,INDIRECT("tblSites[Site]"),_xlpm.ActCol,INDIRECT("tblSites[Site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9" s="21" cm="1">
        <f t="array" aca="1" ref="N9" ca="1">IF(N$5&lt;=TODAY(),0,IF($B9="","",IFERROR(_xlfn.LET(_xlpm.Site,$B9,_xlpm.SiteCol,INDIRECT("tblSites[Site]"),_xlpm.ActCol,INDIRECT("tblSites[Site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9" s="21" cm="1">
        <f t="array" aca="1" ref="O9" ca="1">IF(O$5&lt;=TODAY(),0,IF($B9="","",IFERROR(_xlfn.LET(_xlpm.Site,$B9,_xlpm.SiteCol,INDIRECT("tblSites[Site]"),_xlpm.ActCol,INDIRECT("tblSites[Site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9" s="21" cm="1">
        <f t="array" aca="1" ref="P9" ca="1">IF(P$5&lt;=TODAY(),0,IF($B9="","",IFERROR(_xlfn.LET(_xlpm.Site,$B9,_xlpm.SiteCol,INDIRECT("tblSites[Site]"),_xlpm.ActCol,INDIRECT("tblSites[Site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9" s="21" cm="1">
        <f t="array" aca="1" ref="Q9" ca="1">IF(Q$5&lt;=TODAY(),0,IF($B9="","",IFERROR(_xlfn.LET(_xlpm.Site,$B9,_xlpm.SiteCol,INDIRECT("tblSites[Site]"),_xlpm.ActCol,INDIRECT("tblSites[Site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9" s="21" cm="1">
        <f t="array" aca="1" ref="R9" ca="1">IF(R$5&lt;=TODAY(),0,IF($B9="","",IFERROR(_xlfn.LET(_xlpm.Site,$B9,_xlpm.SiteCol,INDIRECT("tblSites[Site]"),_xlpm.ActCol,INDIRECT("tblSites[Site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9" s="21" cm="1">
        <f t="array" aca="1" ref="S9" ca="1">IF(S$5&lt;=TODAY(),0,IF($B9="","",IFERROR(_xlfn.LET(_xlpm.Site,$B9,_xlpm.SiteCol,INDIRECT("tblSites[Site]"),_xlpm.ActCol,INDIRECT("tblSites[Site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9" s="21" cm="1">
        <f t="array" aca="1" ref="T9" ca="1">IF(T$5&lt;=TODAY(),0,IF($B9="","",IFERROR(_xlfn.LET(_xlpm.Site,$B9,_xlpm.SiteCol,INDIRECT("tblSites[Site]"),_xlpm.ActCol,INDIRECT("tblSites[Site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9" s="21" cm="1">
        <f t="array" aca="1" ref="U9" ca="1">IF(U$5&lt;=TODAY(),0,IF($B9="","",IFERROR(_xlfn.LET(_xlpm.Site,$B9,_xlpm.SiteCol,INDIRECT("tblSites[Site]"),_xlpm.ActCol,INDIRECT("tblSites[Site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9" s="21" cm="1">
        <f t="array" aca="1" ref="V9" ca="1">IF(V$5&lt;=TODAY(),0,IF($B9="","",IFERROR(_xlfn.LET(_xlpm.Site,$B9,_xlpm.SiteCol,INDIRECT("tblSites[Site]"),_xlpm.ActCol,INDIRECT("tblSites[Site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9" s="21" cm="1">
        <f t="array" aca="1" ref="W9" ca="1">IF(W$5&lt;=TODAY(),0,IF($B9="","",IFERROR(_xlfn.LET(_xlpm.Site,$B9,_xlpm.SiteCol,INDIRECT("tblSites[Site]"),_xlpm.ActCol,INDIRECT("tblSites[Site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9" s="21" cm="1">
        <f t="array" aca="1" ref="X9" ca="1">IF(X$5&lt;=TODAY(),0,IF($B9="","",IFERROR(_xlfn.LET(_xlpm.Site,$B9,_xlpm.SiteCol,INDIRECT("tblSites[Site]"),_xlpm.ActCol,INDIRECT("tblSites[Site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9" s="21" cm="1">
        <f t="array" aca="1" ref="Y9" ca="1">IF(Y$5&lt;=TODAY(),0,IF($B9="","",IFERROR(_xlfn.LET(_xlpm.Site,$B9,_xlpm.SiteCol,INDIRECT("tblSites[Site]"),_xlpm.ActCol,INDIRECT("tblSites[Site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9" s="21" cm="1">
        <f t="array" aca="1" ref="Z9" ca="1">IF(Z$5&lt;=TODAY(),0,IF($B9="","",IFERROR(_xlfn.LET(_xlpm.Site,$B9,_xlpm.SiteCol,INDIRECT("tblSites[Site]"),_xlpm.ActCol,INDIRECT("tblSites[Site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9" s="21" cm="1">
        <f t="array" aca="1" ref="AA9" ca="1">IF(AA$5&lt;=TODAY(),0,IF($B9="","",IFERROR(_xlfn.LET(_xlpm.Site,$B9,_xlpm.SiteCol,INDIRECT("tblSites[Site]"),_xlpm.ActCol,INDIRECT("tblSites[Site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9" s="21" cm="1">
        <f t="array" aca="1" ref="AB9" ca="1">IF(AB$5&lt;=TODAY(),0,IF($B9="","",IFERROR(_xlfn.LET(_xlpm.Site,$B9,_xlpm.SiteCol,INDIRECT("tblSites[Site]"),_xlpm.ActCol,INDIRECT("tblSites[Site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9" s="21" cm="1">
        <f t="array" aca="1" ref="AC9" ca="1">IF(AC$5&lt;=TODAY(),0,IF($B9="","",IFERROR(_xlfn.LET(_xlpm.Site,$B9,_xlpm.SiteCol,INDIRECT("tblSites[Site]"),_xlpm.ActCol,INDIRECT("tblSites[Site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0" spans="1:29" x14ac:dyDescent="0.25">
      <c r="A10" s="18" t="str">
        <v>Germany</v>
      </c>
      <c r="B10" s="18" t="str">
        <v>Germany3</v>
      </c>
      <c r="C10" s="21" cm="1">
        <f t="array" aca="1" ref="C10" ca="1">IF(C$5&lt;=TODAY(),0,IF($B10="","",IFERROR(_xlfn.LET(_xlpm.Site,$B10,_xlpm.SiteCol,INDIRECT("tblSites[Site]"),_xlpm.ActCol,INDIRECT("tblSites[Site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0" s="21" cm="1">
        <f t="array" aca="1" ref="D10" ca="1">IF(D$5&lt;=TODAY(),0,IF($B10="","",IFERROR(_xlfn.LET(_xlpm.Site,$B10,_xlpm.SiteCol,INDIRECT("tblSites[Site]"),_xlpm.ActCol,INDIRECT("tblSites[Site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0" s="21" cm="1">
        <f t="array" aca="1" ref="E10" ca="1">IF(E$5&lt;=TODAY(),0,IF($B10="","",IFERROR(_xlfn.LET(_xlpm.Site,$B10,_xlpm.SiteCol,INDIRECT("tblSites[Site]"),_xlpm.ActCol,INDIRECT("tblSites[Site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0" s="21" cm="1">
        <f t="array" aca="1" ref="F10" ca="1">IF(F$5&lt;=TODAY(),0,IF($B10="","",IFERROR(_xlfn.LET(_xlpm.Site,$B10,_xlpm.SiteCol,INDIRECT("tblSites[Site]"),_xlpm.ActCol,INDIRECT("tblSites[Site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0" s="21" cm="1">
        <f t="array" aca="1" ref="G10" ca="1">IF(G$5&lt;=TODAY(),0,IF($B10="","",IFERROR(_xlfn.LET(_xlpm.Site,$B10,_xlpm.SiteCol,INDIRECT("tblSites[Site]"),_xlpm.ActCol,INDIRECT("tblSites[Site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0" s="21" cm="1">
        <f t="array" aca="1" ref="H10" ca="1">IF(H$5&lt;=TODAY(),0,IF($B10="","",IFERROR(_xlfn.LET(_xlpm.Site,$B10,_xlpm.SiteCol,INDIRECT("tblSites[Site]"),_xlpm.ActCol,INDIRECT("tblSites[Site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0" s="21" cm="1">
        <f t="array" aca="1" ref="I10" ca="1">IF(I$5&lt;=TODAY(),0,IF($B10="","",IFERROR(_xlfn.LET(_xlpm.Site,$B10,_xlpm.SiteCol,INDIRECT("tblSites[Site]"),_xlpm.ActCol,INDIRECT("tblSites[Site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0" s="21" cm="1">
        <f t="array" aca="1" ref="J10" ca="1">IF(J$5&lt;=TODAY(),0,IF($B10="","",IFERROR(_xlfn.LET(_xlpm.Site,$B10,_xlpm.SiteCol,INDIRECT("tblSites[Site]"),_xlpm.ActCol,INDIRECT("tblSites[Site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10" s="21" cm="1">
        <f t="array" aca="1" ref="K10" ca="1">IF(K$5&lt;=TODAY(),0,IF($B10="","",IFERROR(_xlfn.LET(_xlpm.Site,$B10,_xlpm.SiteCol,INDIRECT("tblSites[Site]"),_xlpm.ActCol,INDIRECT("tblSites[Site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0" s="21" cm="1">
        <f t="array" aca="1" ref="L10" ca="1">IF(L$5&lt;=TODAY(),0,IF($B10="","",IFERROR(_xlfn.LET(_xlpm.Site,$B10,_xlpm.SiteCol,INDIRECT("tblSites[Site]"),_xlpm.ActCol,INDIRECT("tblSites[Site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0" s="21" cm="1">
        <f t="array" aca="1" ref="M10" ca="1">IF(M$5&lt;=TODAY(),0,IF($B10="","",IFERROR(_xlfn.LET(_xlpm.Site,$B10,_xlpm.SiteCol,INDIRECT("tblSites[Site]"),_xlpm.ActCol,INDIRECT("tblSites[Site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0" s="21" cm="1">
        <f t="array" aca="1" ref="N10" ca="1">IF(N$5&lt;=TODAY(),0,IF($B10="","",IFERROR(_xlfn.LET(_xlpm.Site,$B10,_xlpm.SiteCol,INDIRECT("tblSites[Site]"),_xlpm.ActCol,INDIRECT("tblSites[Site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0" s="21" cm="1">
        <f t="array" aca="1" ref="O10" ca="1">IF(O$5&lt;=TODAY(),0,IF($B10="","",IFERROR(_xlfn.LET(_xlpm.Site,$B10,_xlpm.SiteCol,INDIRECT("tblSites[Site]"),_xlpm.ActCol,INDIRECT("tblSites[Site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0" s="21" cm="1">
        <f t="array" aca="1" ref="P10" ca="1">IF(P$5&lt;=TODAY(),0,IF($B10="","",IFERROR(_xlfn.LET(_xlpm.Site,$B10,_xlpm.SiteCol,INDIRECT("tblSites[Site]"),_xlpm.ActCol,INDIRECT("tblSites[Site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0" s="21" cm="1">
        <f t="array" aca="1" ref="Q10" ca="1">IF(Q$5&lt;=TODAY(),0,IF($B10="","",IFERROR(_xlfn.LET(_xlpm.Site,$B10,_xlpm.SiteCol,INDIRECT("tblSites[Site]"),_xlpm.ActCol,INDIRECT("tblSites[Site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0" s="21" cm="1">
        <f t="array" aca="1" ref="R10" ca="1">IF(R$5&lt;=TODAY(),0,IF($B10="","",IFERROR(_xlfn.LET(_xlpm.Site,$B10,_xlpm.SiteCol,INDIRECT("tblSites[Site]"),_xlpm.ActCol,INDIRECT("tblSites[Site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0" s="21" cm="1">
        <f t="array" aca="1" ref="S10" ca="1">IF(S$5&lt;=TODAY(),0,IF($B10="","",IFERROR(_xlfn.LET(_xlpm.Site,$B10,_xlpm.SiteCol,INDIRECT("tblSites[Site]"),_xlpm.ActCol,INDIRECT("tblSites[Site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0" s="21" cm="1">
        <f t="array" aca="1" ref="T10" ca="1">IF(T$5&lt;=TODAY(),0,IF($B10="","",IFERROR(_xlfn.LET(_xlpm.Site,$B10,_xlpm.SiteCol,INDIRECT("tblSites[Site]"),_xlpm.ActCol,INDIRECT("tblSites[Site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0" s="21" cm="1">
        <f t="array" aca="1" ref="U10" ca="1">IF(U$5&lt;=TODAY(),0,IF($B10="","",IFERROR(_xlfn.LET(_xlpm.Site,$B10,_xlpm.SiteCol,INDIRECT("tblSites[Site]"),_xlpm.ActCol,INDIRECT("tblSites[Site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0" s="21" cm="1">
        <f t="array" aca="1" ref="V10" ca="1">IF(V$5&lt;=TODAY(),0,IF($B10="","",IFERROR(_xlfn.LET(_xlpm.Site,$B10,_xlpm.SiteCol,INDIRECT("tblSites[Site]"),_xlpm.ActCol,INDIRECT("tblSites[Site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0" s="21" cm="1">
        <f t="array" aca="1" ref="W10" ca="1">IF(W$5&lt;=TODAY(),0,IF($B10="","",IFERROR(_xlfn.LET(_xlpm.Site,$B10,_xlpm.SiteCol,INDIRECT("tblSites[Site]"),_xlpm.ActCol,INDIRECT("tblSites[Site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0" s="21" cm="1">
        <f t="array" aca="1" ref="X10" ca="1">IF(X$5&lt;=TODAY(),0,IF($B10="","",IFERROR(_xlfn.LET(_xlpm.Site,$B10,_xlpm.SiteCol,INDIRECT("tblSites[Site]"),_xlpm.ActCol,INDIRECT("tblSites[Site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0" s="21" cm="1">
        <f t="array" aca="1" ref="Y10" ca="1">IF(Y$5&lt;=TODAY(),0,IF($B10="","",IFERROR(_xlfn.LET(_xlpm.Site,$B10,_xlpm.SiteCol,INDIRECT("tblSites[Site]"),_xlpm.ActCol,INDIRECT("tblSites[Site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0" s="21" cm="1">
        <f t="array" aca="1" ref="Z10" ca="1">IF(Z$5&lt;=TODAY(),0,IF($B10="","",IFERROR(_xlfn.LET(_xlpm.Site,$B10,_xlpm.SiteCol,INDIRECT("tblSites[Site]"),_xlpm.ActCol,INDIRECT("tblSites[Site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0" s="21" cm="1">
        <f t="array" aca="1" ref="AA10" ca="1">IF(AA$5&lt;=TODAY(),0,IF($B10="","",IFERROR(_xlfn.LET(_xlpm.Site,$B10,_xlpm.SiteCol,INDIRECT("tblSites[Site]"),_xlpm.ActCol,INDIRECT("tblSites[Site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0" s="21" cm="1">
        <f t="array" aca="1" ref="AB10" ca="1">IF(AB$5&lt;=TODAY(),0,IF($B10="","",IFERROR(_xlfn.LET(_xlpm.Site,$B10,_xlpm.SiteCol,INDIRECT("tblSites[Site]"),_xlpm.ActCol,INDIRECT("tblSites[Site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0" s="21" cm="1">
        <f t="array" aca="1" ref="AC10" ca="1">IF(AC$5&lt;=TODAY(),0,IF($B10="","",IFERROR(_xlfn.LET(_xlpm.Site,$B10,_xlpm.SiteCol,INDIRECT("tblSites[Site]"),_xlpm.ActCol,INDIRECT("tblSites[Site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1" spans="1:29" x14ac:dyDescent="0.25">
      <c r="A11" s="18" t="str">
        <v>Germany</v>
      </c>
      <c r="B11" s="18" t="str">
        <v>Germany4</v>
      </c>
      <c r="C11" s="21" cm="1">
        <f t="array" aca="1" ref="C11" ca="1">IF(C$5&lt;=TODAY(),0,IF($B11="","",IFERROR(_xlfn.LET(_xlpm.Site,$B11,_xlpm.SiteCol,INDIRECT("tblSites[Site]"),_xlpm.ActCol,INDIRECT("tblSites[Site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1" s="21" cm="1">
        <f t="array" aca="1" ref="D11" ca="1">IF(D$5&lt;=TODAY(),0,IF($B11="","",IFERROR(_xlfn.LET(_xlpm.Site,$B11,_xlpm.SiteCol,INDIRECT("tblSites[Site]"),_xlpm.ActCol,INDIRECT("tblSites[Site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1" s="21" cm="1">
        <f t="array" aca="1" ref="E11" ca="1">IF(E$5&lt;=TODAY(),0,IF($B11="","",IFERROR(_xlfn.LET(_xlpm.Site,$B11,_xlpm.SiteCol,INDIRECT("tblSites[Site]"),_xlpm.ActCol,INDIRECT("tblSites[Site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1" s="21" cm="1">
        <f t="array" aca="1" ref="F11" ca="1">IF(F$5&lt;=TODAY(),0,IF($B11="","",IFERROR(_xlfn.LET(_xlpm.Site,$B11,_xlpm.SiteCol,INDIRECT("tblSites[Site]"),_xlpm.ActCol,INDIRECT("tblSites[Site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1" s="21" cm="1">
        <f t="array" aca="1" ref="G11" ca="1">IF(G$5&lt;=TODAY(),0,IF($B11="","",IFERROR(_xlfn.LET(_xlpm.Site,$B11,_xlpm.SiteCol,INDIRECT("tblSites[Site]"),_xlpm.ActCol,INDIRECT("tblSites[Site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1" s="21" cm="1">
        <f t="array" aca="1" ref="H11" ca="1">IF(H$5&lt;=TODAY(),0,IF($B11="","",IFERROR(_xlfn.LET(_xlpm.Site,$B11,_xlpm.SiteCol,INDIRECT("tblSites[Site]"),_xlpm.ActCol,INDIRECT("tblSites[Site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1" s="21" cm="1">
        <f t="array" aca="1" ref="I11" ca="1">IF(I$5&lt;=TODAY(),0,IF($B11="","",IFERROR(_xlfn.LET(_xlpm.Site,$B11,_xlpm.SiteCol,INDIRECT("tblSites[Site]"),_xlpm.ActCol,INDIRECT("tblSites[Site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1" s="21" cm="1">
        <f t="array" aca="1" ref="J11" ca="1">IF(J$5&lt;=TODAY(),0,IF($B11="","",IFERROR(_xlfn.LET(_xlpm.Site,$B11,_xlpm.SiteCol,INDIRECT("tblSites[Site]"),_xlpm.ActCol,INDIRECT("tblSites[Site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11" s="21" cm="1">
        <f t="array" aca="1" ref="K11" ca="1">IF(K$5&lt;=TODAY(),0,IF($B11="","",IFERROR(_xlfn.LET(_xlpm.Site,$B11,_xlpm.SiteCol,INDIRECT("tblSites[Site]"),_xlpm.ActCol,INDIRECT("tblSites[Site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1" s="21" cm="1">
        <f t="array" aca="1" ref="L11" ca="1">IF(L$5&lt;=TODAY(),0,IF($B11="","",IFERROR(_xlfn.LET(_xlpm.Site,$B11,_xlpm.SiteCol,INDIRECT("tblSites[Site]"),_xlpm.ActCol,INDIRECT("tblSites[Site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1" s="21" cm="1">
        <f t="array" aca="1" ref="M11" ca="1">IF(M$5&lt;=TODAY(),0,IF($B11="","",IFERROR(_xlfn.LET(_xlpm.Site,$B11,_xlpm.SiteCol,INDIRECT("tblSites[Site]"),_xlpm.ActCol,INDIRECT("tblSites[Site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1" s="21" cm="1">
        <f t="array" aca="1" ref="N11" ca="1">IF(N$5&lt;=TODAY(),0,IF($B11="","",IFERROR(_xlfn.LET(_xlpm.Site,$B11,_xlpm.SiteCol,INDIRECT("tblSites[Site]"),_xlpm.ActCol,INDIRECT("tblSites[Site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1" s="21" cm="1">
        <f t="array" aca="1" ref="O11" ca="1">IF(O$5&lt;=TODAY(),0,IF($B11="","",IFERROR(_xlfn.LET(_xlpm.Site,$B11,_xlpm.SiteCol,INDIRECT("tblSites[Site]"),_xlpm.ActCol,INDIRECT("tblSites[Site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1" s="21" cm="1">
        <f t="array" aca="1" ref="P11" ca="1">IF(P$5&lt;=TODAY(),0,IF($B11="","",IFERROR(_xlfn.LET(_xlpm.Site,$B11,_xlpm.SiteCol,INDIRECT("tblSites[Site]"),_xlpm.ActCol,INDIRECT("tblSites[Site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1" s="21" cm="1">
        <f t="array" aca="1" ref="Q11" ca="1">IF(Q$5&lt;=TODAY(),0,IF($B11="","",IFERROR(_xlfn.LET(_xlpm.Site,$B11,_xlpm.SiteCol,INDIRECT("tblSites[Site]"),_xlpm.ActCol,INDIRECT("tblSites[Site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1" s="21" cm="1">
        <f t="array" aca="1" ref="R11" ca="1">IF(R$5&lt;=TODAY(),0,IF($B11="","",IFERROR(_xlfn.LET(_xlpm.Site,$B11,_xlpm.SiteCol,INDIRECT("tblSites[Site]"),_xlpm.ActCol,INDIRECT("tblSites[Site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1" s="21" cm="1">
        <f t="array" aca="1" ref="S11" ca="1">IF(S$5&lt;=TODAY(),0,IF($B11="","",IFERROR(_xlfn.LET(_xlpm.Site,$B11,_xlpm.SiteCol,INDIRECT("tblSites[Site]"),_xlpm.ActCol,INDIRECT("tblSites[Site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1" s="21" cm="1">
        <f t="array" aca="1" ref="T11" ca="1">IF(T$5&lt;=TODAY(),0,IF($B11="","",IFERROR(_xlfn.LET(_xlpm.Site,$B11,_xlpm.SiteCol,INDIRECT("tblSites[Site]"),_xlpm.ActCol,INDIRECT("tblSites[Site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1" s="21" cm="1">
        <f t="array" aca="1" ref="U11" ca="1">IF(U$5&lt;=TODAY(),0,IF($B11="","",IFERROR(_xlfn.LET(_xlpm.Site,$B11,_xlpm.SiteCol,INDIRECT("tblSites[Site]"),_xlpm.ActCol,INDIRECT("tblSites[Site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1" s="21" cm="1">
        <f t="array" aca="1" ref="V11" ca="1">IF(V$5&lt;=TODAY(),0,IF($B11="","",IFERROR(_xlfn.LET(_xlpm.Site,$B11,_xlpm.SiteCol,INDIRECT("tblSites[Site]"),_xlpm.ActCol,INDIRECT("tblSites[Site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1" s="21" cm="1">
        <f t="array" aca="1" ref="W11" ca="1">IF(W$5&lt;=TODAY(),0,IF($B11="","",IFERROR(_xlfn.LET(_xlpm.Site,$B11,_xlpm.SiteCol,INDIRECT("tblSites[Site]"),_xlpm.ActCol,INDIRECT("tblSites[Site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1" s="21" cm="1">
        <f t="array" aca="1" ref="X11" ca="1">IF(X$5&lt;=TODAY(),0,IF($B11="","",IFERROR(_xlfn.LET(_xlpm.Site,$B11,_xlpm.SiteCol,INDIRECT("tblSites[Site]"),_xlpm.ActCol,INDIRECT("tblSites[Site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1" s="21" cm="1">
        <f t="array" aca="1" ref="Y11" ca="1">IF(Y$5&lt;=TODAY(),0,IF($B11="","",IFERROR(_xlfn.LET(_xlpm.Site,$B11,_xlpm.SiteCol,INDIRECT("tblSites[Site]"),_xlpm.ActCol,INDIRECT("tblSites[Site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1" s="21" cm="1">
        <f t="array" aca="1" ref="Z11" ca="1">IF(Z$5&lt;=TODAY(),0,IF($B11="","",IFERROR(_xlfn.LET(_xlpm.Site,$B11,_xlpm.SiteCol,INDIRECT("tblSites[Site]"),_xlpm.ActCol,INDIRECT("tblSites[Site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1" s="21" cm="1">
        <f t="array" aca="1" ref="AA11" ca="1">IF(AA$5&lt;=TODAY(),0,IF($B11="","",IFERROR(_xlfn.LET(_xlpm.Site,$B11,_xlpm.SiteCol,INDIRECT("tblSites[Site]"),_xlpm.ActCol,INDIRECT("tblSites[Site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1" s="21" cm="1">
        <f t="array" aca="1" ref="AB11" ca="1">IF(AB$5&lt;=TODAY(),0,IF($B11="","",IFERROR(_xlfn.LET(_xlpm.Site,$B11,_xlpm.SiteCol,INDIRECT("tblSites[Site]"),_xlpm.ActCol,INDIRECT("tblSites[Site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1" s="21" cm="1">
        <f t="array" aca="1" ref="AC11" ca="1">IF(AC$5&lt;=TODAY(),0,IF($B11="","",IFERROR(_xlfn.LET(_xlpm.Site,$B11,_xlpm.SiteCol,INDIRECT("tblSites[Site]"),_xlpm.ActCol,INDIRECT("tblSites[Site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2" spans="1:29" x14ac:dyDescent="0.25">
      <c r="A12" s="18" t="str">
        <v>Germany</v>
      </c>
      <c r="B12" s="18" t="str">
        <v>Germany5</v>
      </c>
      <c r="C12" s="21" cm="1">
        <f t="array" aca="1" ref="C12" ca="1">IF(C$5&lt;=TODAY(),0,IF($B12="","",IFERROR(_xlfn.LET(_xlpm.Site,$B12,_xlpm.SiteCol,INDIRECT("tblSites[Site]"),_xlpm.ActCol,INDIRECT("tblSites[Site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2" s="21" cm="1">
        <f t="array" aca="1" ref="D12" ca="1">IF(D$5&lt;=TODAY(),0,IF($B12="","",IFERROR(_xlfn.LET(_xlpm.Site,$B12,_xlpm.SiteCol,INDIRECT("tblSites[Site]"),_xlpm.ActCol,INDIRECT("tblSites[Site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2" s="21" cm="1">
        <f t="array" aca="1" ref="E12" ca="1">IF(E$5&lt;=TODAY(),0,IF($B12="","",IFERROR(_xlfn.LET(_xlpm.Site,$B12,_xlpm.SiteCol,INDIRECT("tblSites[Site]"),_xlpm.ActCol,INDIRECT("tblSites[Site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2" s="21" cm="1">
        <f t="array" aca="1" ref="F12" ca="1">IF(F$5&lt;=TODAY(),0,IF($B12="","",IFERROR(_xlfn.LET(_xlpm.Site,$B12,_xlpm.SiteCol,INDIRECT("tblSites[Site]"),_xlpm.ActCol,INDIRECT("tblSites[Site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2" s="21" cm="1">
        <f t="array" aca="1" ref="G12" ca="1">IF(G$5&lt;=TODAY(),0,IF($B12="","",IFERROR(_xlfn.LET(_xlpm.Site,$B12,_xlpm.SiteCol,INDIRECT("tblSites[Site]"),_xlpm.ActCol,INDIRECT("tblSites[Site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2" s="21" cm="1">
        <f t="array" aca="1" ref="H12" ca="1">IF(H$5&lt;=TODAY(),0,IF($B12="","",IFERROR(_xlfn.LET(_xlpm.Site,$B12,_xlpm.SiteCol,INDIRECT("tblSites[Site]"),_xlpm.ActCol,INDIRECT("tblSites[Site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2" s="21" cm="1">
        <f t="array" aca="1" ref="I12" ca="1">IF(I$5&lt;=TODAY(),0,IF($B12="","",IFERROR(_xlfn.LET(_xlpm.Site,$B12,_xlpm.SiteCol,INDIRECT("tblSites[Site]"),_xlpm.ActCol,INDIRECT("tblSites[Site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2" s="21" cm="1">
        <f t="array" aca="1" ref="J12" ca="1">IF(J$5&lt;=TODAY(),0,IF($B12="","",IFERROR(_xlfn.LET(_xlpm.Site,$B12,_xlpm.SiteCol,INDIRECT("tblSites[Site]"),_xlpm.ActCol,INDIRECT("tblSites[Site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12" s="21" cm="1">
        <f t="array" aca="1" ref="K12" ca="1">IF(K$5&lt;=TODAY(),0,IF($B12="","",IFERROR(_xlfn.LET(_xlpm.Site,$B12,_xlpm.SiteCol,INDIRECT("tblSites[Site]"),_xlpm.ActCol,INDIRECT("tblSites[Site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2" s="21" cm="1">
        <f t="array" aca="1" ref="L12" ca="1">IF(L$5&lt;=TODAY(),0,IF($B12="","",IFERROR(_xlfn.LET(_xlpm.Site,$B12,_xlpm.SiteCol,INDIRECT("tblSites[Site]"),_xlpm.ActCol,INDIRECT("tblSites[Site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2" s="21" cm="1">
        <f t="array" aca="1" ref="M12" ca="1">IF(M$5&lt;=TODAY(),0,IF($B12="","",IFERROR(_xlfn.LET(_xlpm.Site,$B12,_xlpm.SiteCol,INDIRECT("tblSites[Site]"),_xlpm.ActCol,INDIRECT("tblSites[Site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2" s="21" cm="1">
        <f t="array" aca="1" ref="N12" ca="1">IF(N$5&lt;=TODAY(),0,IF($B12="","",IFERROR(_xlfn.LET(_xlpm.Site,$B12,_xlpm.SiteCol,INDIRECT("tblSites[Site]"),_xlpm.ActCol,INDIRECT("tblSites[Site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2" s="21" cm="1">
        <f t="array" aca="1" ref="O12" ca="1">IF(O$5&lt;=TODAY(),0,IF($B12="","",IFERROR(_xlfn.LET(_xlpm.Site,$B12,_xlpm.SiteCol,INDIRECT("tblSites[Site]"),_xlpm.ActCol,INDIRECT("tblSites[Site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2" s="21" cm="1">
        <f t="array" aca="1" ref="P12" ca="1">IF(P$5&lt;=TODAY(),0,IF($B12="","",IFERROR(_xlfn.LET(_xlpm.Site,$B12,_xlpm.SiteCol,INDIRECT("tblSites[Site]"),_xlpm.ActCol,INDIRECT("tblSites[Site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12" s="21" cm="1">
        <f t="array" aca="1" ref="Q12" ca="1">IF(Q$5&lt;=TODAY(),0,IF($B12="","",IFERROR(_xlfn.LET(_xlpm.Site,$B12,_xlpm.SiteCol,INDIRECT("tblSites[Site]"),_xlpm.ActCol,INDIRECT("tblSites[Site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2" s="21" cm="1">
        <f t="array" aca="1" ref="R12" ca="1">IF(R$5&lt;=TODAY(),0,IF($B12="","",IFERROR(_xlfn.LET(_xlpm.Site,$B12,_xlpm.SiteCol,INDIRECT("tblSites[Site]"),_xlpm.ActCol,INDIRECT("tblSites[Site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2" s="21" cm="1">
        <f t="array" aca="1" ref="S12" ca="1">IF(S$5&lt;=TODAY(),0,IF($B12="","",IFERROR(_xlfn.LET(_xlpm.Site,$B12,_xlpm.SiteCol,INDIRECT("tblSites[Site]"),_xlpm.ActCol,INDIRECT("tblSites[Site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2" s="21" cm="1">
        <f t="array" aca="1" ref="T12" ca="1">IF(T$5&lt;=TODAY(),0,IF($B12="","",IFERROR(_xlfn.LET(_xlpm.Site,$B12,_xlpm.SiteCol,INDIRECT("tblSites[Site]"),_xlpm.ActCol,INDIRECT("tblSites[Site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2" s="21" cm="1">
        <f t="array" aca="1" ref="U12" ca="1">IF(U$5&lt;=TODAY(),0,IF($B12="","",IFERROR(_xlfn.LET(_xlpm.Site,$B12,_xlpm.SiteCol,INDIRECT("tblSites[Site]"),_xlpm.ActCol,INDIRECT("tblSites[Site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2" s="21" cm="1">
        <f t="array" aca="1" ref="V12" ca="1">IF(V$5&lt;=TODAY(),0,IF($B12="","",IFERROR(_xlfn.LET(_xlpm.Site,$B12,_xlpm.SiteCol,INDIRECT("tblSites[Site]"),_xlpm.ActCol,INDIRECT("tblSites[Site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2" s="21" cm="1">
        <f t="array" aca="1" ref="W12" ca="1">IF(W$5&lt;=TODAY(),0,IF($B12="","",IFERROR(_xlfn.LET(_xlpm.Site,$B12,_xlpm.SiteCol,INDIRECT("tblSites[Site]"),_xlpm.ActCol,INDIRECT("tblSites[Site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2" s="21" cm="1">
        <f t="array" aca="1" ref="X12" ca="1">IF(X$5&lt;=TODAY(),0,IF($B12="","",IFERROR(_xlfn.LET(_xlpm.Site,$B12,_xlpm.SiteCol,INDIRECT("tblSites[Site]"),_xlpm.ActCol,INDIRECT("tblSites[Site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2" s="21" cm="1">
        <f t="array" aca="1" ref="Y12" ca="1">IF(Y$5&lt;=TODAY(),0,IF($B12="","",IFERROR(_xlfn.LET(_xlpm.Site,$B12,_xlpm.SiteCol,INDIRECT("tblSites[Site]"),_xlpm.ActCol,INDIRECT("tblSites[Site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2" s="21" cm="1">
        <f t="array" aca="1" ref="Z12" ca="1">IF(Z$5&lt;=TODAY(),0,IF($B12="","",IFERROR(_xlfn.LET(_xlpm.Site,$B12,_xlpm.SiteCol,INDIRECT("tblSites[Site]"),_xlpm.ActCol,INDIRECT("tblSites[Site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2" s="21" cm="1">
        <f t="array" aca="1" ref="AA12" ca="1">IF(AA$5&lt;=TODAY(),0,IF($B12="","",IFERROR(_xlfn.LET(_xlpm.Site,$B12,_xlpm.SiteCol,INDIRECT("tblSites[Site]"),_xlpm.ActCol,INDIRECT("tblSites[Site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2" s="21" cm="1">
        <f t="array" aca="1" ref="AB12" ca="1">IF(AB$5&lt;=TODAY(),0,IF($B12="","",IFERROR(_xlfn.LET(_xlpm.Site,$B12,_xlpm.SiteCol,INDIRECT("tblSites[Site]"),_xlpm.ActCol,INDIRECT("tblSites[Site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2" s="21" cm="1">
        <f t="array" aca="1" ref="AC12" ca="1">IF(AC$5&lt;=TODAY(),0,IF($B12="","",IFERROR(_xlfn.LET(_xlpm.Site,$B12,_xlpm.SiteCol,INDIRECT("tblSites[Site]"),_xlpm.ActCol,INDIRECT("tblSites[Site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3" spans="1:29" x14ac:dyDescent="0.25">
      <c r="A13" s="18" t="str">
        <v>Germany</v>
      </c>
      <c r="B13" s="18" t="str">
        <v>Germany6</v>
      </c>
      <c r="C13" s="21" cm="1">
        <f t="array" aca="1" ref="C13" ca="1">IF(C$5&lt;=TODAY(),0,IF($B13="","",IFERROR(_xlfn.LET(_xlpm.Site,$B13,_xlpm.SiteCol,INDIRECT("tblSites[Site]"),_xlpm.ActCol,INDIRECT("tblSites[Site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3" s="21" cm="1">
        <f t="array" aca="1" ref="D13" ca="1">IF(D$5&lt;=TODAY(),0,IF($B13="","",IFERROR(_xlfn.LET(_xlpm.Site,$B13,_xlpm.SiteCol,INDIRECT("tblSites[Site]"),_xlpm.ActCol,INDIRECT("tblSites[Site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3" s="21" cm="1">
        <f t="array" aca="1" ref="E13" ca="1">IF(E$5&lt;=TODAY(),0,IF($B13="","",IFERROR(_xlfn.LET(_xlpm.Site,$B13,_xlpm.SiteCol,INDIRECT("tblSites[Site]"),_xlpm.ActCol,INDIRECT("tblSites[Site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3" s="21" cm="1">
        <f t="array" aca="1" ref="F13" ca="1">IF(F$5&lt;=TODAY(),0,IF($B13="","",IFERROR(_xlfn.LET(_xlpm.Site,$B13,_xlpm.SiteCol,INDIRECT("tblSites[Site]"),_xlpm.ActCol,INDIRECT("tblSites[Site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3" s="21" cm="1">
        <f t="array" aca="1" ref="G13" ca="1">IF(G$5&lt;=TODAY(),0,IF($B13="","",IFERROR(_xlfn.LET(_xlpm.Site,$B13,_xlpm.SiteCol,INDIRECT("tblSites[Site]"),_xlpm.ActCol,INDIRECT("tblSites[Site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3" s="21" cm="1">
        <f t="array" aca="1" ref="H13" ca="1">IF(H$5&lt;=TODAY(),0,IF($B13="","",IFERROR(_xlfn.LET(_xlpm.Site,$B13,_xlpm.SiteCol,INDIRECT("tblSites[Site]"),_xlpm.ActCol,INDIRECT("tblSites[Site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3" s="21" cm="1">
        <f t="array" aca="1" ref="I13" ca="1">IF(I$5&lt;=TODAY(),0,IF($B13="","",IFERROR(_xlfn.LET(_xlpm.Site,$B13,_xlpm.SiteCol,INDIRECT("tblSites[Site]"),_xlpm.ActCol,INDIRECT("tblSites[Site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3" s="21" cm="1">
        <f t="array" aca="1" ref="J13" ca="1">IF(J$5&lt;=TODAY(),0,IF($B13="","",IFERROR(_xlfn.LET(_xlpm.Site,$B13,_xlpm.SiteCol,INDIRECT("tblSites[Site]"),_xlpm.ActCol,INDIRECT("tblSites[Site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13" s="21" cm="1">
        <f t="array" aca="1" ref="K13" ca="1">IF(K$5&lt;=TODAY(),0,IF($B13="","",IFERROR(_xlfn.LET(_xlpm.Site,$B13,_xlpm.SiteCol,INDIRECT("tblSites[Site]"),_xlpm.ActCol,INDIRECT("tblSites[Site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0</v>
      </c>
      <c r="L13" s="21" cm="1">
        <f t="array" aca="1" ref="L13" ca="1">IF(L$5&lt;=TODAY(),0,IF($B13="","",IFERROR(_xlfn.LET(_xlpm.Site,$B13,_xlpm.SiteCol,INDIRECT("tblSites[Site]"),_xlpm.ActCol,INDIRECT("tblSites[Site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0</v>
      </c>
      <c r="M13" s="21" cm="1">
        <f t="array" aca="1" ref="M13" ca="1">IF(M$5&lt;=TODAY(),0,IF($B13="","",IFERROR(_xlfn.LET(_xlpm.Site,$B13,_xlpm.SiteCol,INDIRECT("tblSites[Site]"),_xlpm.ActCol,INDIRECT("tblSites[Site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3" s="21" cm="1">
        <f t="array" aca="1" ref="N13" ca="1">IF(N$5&lt;=TODAY(),0,IF($B13="","",IFERROR(_xlfn.LET(_xlpm.Site,$B13,_xlpm.SiteCol,INDIRECT("tblSites[Site]"),_xlpm.ActCol,INDIRECT("tblSites[Site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3" s="21" cm="1">
        <f t="array" aca="1" ref="O13" ca="1">IF(O$5&lt;=TODAY(),0,IF($B13="","",IFERROR(_xlfn.LET(_xlpm.Site,$B13,_xlpm.SiteCol,INDIRECT("tblSites[Site]"),_xlpm.ActCol,INDIRECT("tblSites[Site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3" s="21" cm="1">
        <f t="array" aca="1" ref="P13" ca="1">IF(P$5&lt;=TODAY(),0,IF($B13="","",IFERROR(_xlfn.LET(_xlpm.Site,$B13,_xlpm.SiteCol,INDIRECT("tblSites[Site]"),_xlpm.ActCol,INDIRECT("tblSites[Site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13" s="21" cm="1">
        <f t="array" aca="1" ref="Q13" ca="1">IF(Q$5&lt;=TODAY(),0,IF($B13="","",IFERROR(_xlfn.LET(_xlpm.Site,$B13,_xlpm.SiteCol,INDIRECT("tblSites[Site]"),_xlpm.ActCol,INDIRECT("tblSites[Site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13" s="21" cm="1">
        <f t="array" aca="1" ref="R13" ca="1">IF(R$5&lt;=TODAY(),0,IF($B13="","",IFERROR(_xlfn.LET(_xlpm.Site,$B13,_xlpm.SiteCol,INDIRECT("tblSites[Site]"),_xlpm.ActCol,INDIRECT("tblSites[Site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1</v>
      </c>
      <c r="S13" s="21" cm="1">
        <f t="array" aca="1" ref="S13" ca="1">IF(S$5&lt;=TODAY(),0,IF($B13="","",IFERROR(_xlfn.LET(_xlpm.Site,$B13,_xlpm.SiteCol,INDIRECT("tblSites[Site]"),_xlpm.ActCol,INDIRECT("tblSites[Site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3" s="21" cm="1">
        <f t="array" aca="1" ref="T13" ca="1">IF(T$5&lt;=TODAY(),0,IF($B13="","",IFERROR(_xlfn.LET(_xlpm.Site,$B13,_xlpm.SiteCol,INDIRECT("tblSites[Site]"),_xlpm.ActCol,INDIRECT("tblSites[Site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3" s="21" cm="1">
        <f t="array" aca="1" ref="U13" ca="1">IF(U$5&lt;=TODAY(),0,IF($B13="","",IFERROR(_xlfn.LET(_xlpm.Site,$B13,_xlpm.SiteCol,INDIRECT("tblSites[Site]"),_xlpm.ActCol,INDIRECT("tblSites[Site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3" s="21" cm="1">
        <f t="array" aca="1" ref="V13" ca="1">IF(V$5&lt;=TODAY(),0,IF($B13="","",IFERROR(_xlfn.LET(_xlpm.Site,$B13,_xlpm.SiteCol,INDIRECT("tblSites[Site]"),_xlpm.ActCol,INDIRECT("tblSites[Site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3" s="21" cm="1">
        <f t="array" aca="1" ref="W13" ca="1">IF(W$5&lt;=TODAY(),0,IF($B13="","",IFERROR(_xlfn.LET(_xlpm.Site,$B13,_xlpm.SiteCol,INDIRECT("tblSites[Site]"),_xlpm.ActCol,INDIRECT("tblSites[Site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3" s="21" cm="1">
        <f t="array" aca="1" ref="X13" ca="1">IF(X$5&lt;=TODAY(),0,IF($B13="","",IFERROR(_xlfn.LET(_xlpm.Site,$B13,_xlpm.SiteCol,INDIRECT("tblSites[Site]"),_xlpm.ActCol,INDIRECT("tblSites[Site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3" s="21" cm="1">
        <f t="array" aca="1" ref="Y13" ca="1">IF(Y$5&lt;=TODAY(),0,IF($B13="","",IFERROR(_xlfn.LET(_xlpm.Site,$B13,_xlpm.SiteCol,INDIRECT("tblSites[Site]"),_xlpm.ActCol,INDIRECT("tblSites[Site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3" s="21" cm="1">
        <f t="array" aca="1" ref="Z13" ca="1">IF(Z$5&lt;=TODAY(),0,IF($B13="","",IFERROR(_xlfn.LET(_xlpm.Site,$B13,_xlpm.SiteCol,INDIRECT("tblSites[Site]"),_xlpm.ActCol,INDIRECT("tblSites[Site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3" s="21" cm="1">
        <f t="array" aca="1" ref="AA13" ca="1">IF(AA$5&lt;=TODAY(),0,IF($B13="","",IFERROR(_xlfn.LET(_xlpm.Site,$B13,_xlpm.SiteCol,INDIRECT("tblSites[Site]"),_xlpm.ActCol,INDIRECT("tblSites[Site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3" s="21" cm="1">
        <f t="array" aca="1" ref="AB13" ca="1">IF(AB$5&lt;=TODAY(),0,IF($B13="","",IFERROR(_xlfn.LET(_xlpm.Site,$B13,_xlpm.SiteCol,INDIRECT("tblSites[Site]"),_xlpm.ActCol,INDIRECT("tblSites[Site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3" s="21" cm="1">
        <f t="array" aca="1" ref="AC13" ca="1">IF(AC$5&lt;=TODAY(),0,IF($B13="","",IFERROR(_xlfn.LET(_xlpm.Site,$B13,_xlpm.SiteCol,INDIRECT("tblSites[Site]"),_xlpm.ActCol,INDIRECT("tblSites[Site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4" spans="1:29" x14ac:dyDescent="0.25">
      <c r="A14" s="18" t="str">
        <v>Germany</v>
      </c>
      <c r="B14" s="18" t="str">
        <v>Germany7</v>
      </c>
      <c r="C14" s="21" cm="1">
        <f t="array" aca="1" ref="C14" ca="1">IF(C$5&lt;=TODAY(),0,IF($B14="","",IFERROR(_xlfn.LET(_xlpm.Site,$B14,_xlpm.SiteCol,INDIRECT("tblSites[Site]"),_xlpm.ActCol,INDIRECT("tblSites[Site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4" s="21" cm="1">
        <f t="array" aca="1" ref="D14" ca="1">IF(D$5&lt;=TODAY(),0,IF($B14="","",IFERROR(_xlfn.LET(_xlpm.Site,$B14,_xlpm.SiteCol,INDIRECT("tblSites[Site]"),_xlpm.ActCol,INDIRECT("tblSites[Site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4" s="21" cm="1">
        <f t="array" aca="1" ref="E14" ca="1">IF(E$5&lt;=TODAY(),0,IF($B14="","",IFERROR(_xlfn.LET(_xlpm.Site,$B14,_xlpm.SiteCol,INDIRECT("tblSites[Site]"),_xlpm.ActCol,INDIRECT("tblSites[Site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4" s="21" cm="1">
        <f t="array" aca="1" ref="F14" ca="1">IF(F$5&lt;=TODAY(),0,IF($B14="","",IFERROR(_xlfn.LET(_xlpm.Site,$B14,_xlpm.SiteCol,INDIRECT("tblSites[Site]"),_xlpm.ActCol,INDIRECT("tblSites[Site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4" s="21" cm="1">
        <f t="array" aca="1" ref="G14" ca="1">IF(G$5&lt;=TODAY(),0,IF($B14="","",IFERROR(_xlfn.LET(_xlpm.Site,$B14,_xlpm.SiteCol,INDIRECT("tblSites[Site]"),_xlpm.ActCol,INDIRECT("tblSites[Site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4" s="21" cm="1">
        <f t="array" aca="1" ref="H14" ca="1">IF(H$5&lt;=TODAY(),0,IF($B14="","",IFERROR(_xlfn.LET(_xlpm.Site,$B14,_xlpm.SiteCol,INDIRECT("tblSites[Site]"),_xlpm.ActCol,INDIRECT("tblSites[Site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4" s="21" cm="1">
        <f t="array" aca="1" ref="I14" ca="1">IF(I$5&lt;=TODAY(),0,IF($B14="","",IFERROR(_xlfn.LET(_xlpm.Site,$B14,_xlpm.SiteCol,INDIRECT("tblSites[Site]"),_xlpm.ActCol,INDIRECT("tblSites[Site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4" s="21" cm="1">
        <f t="array" aca="1" ref="J14" ca="1">IF(J$5&lt;=TODAY(),0,IF($B14="","",IFERROR(_xlfn.LET(_xlpm.Site,$B14,_xlpm.SiteCol,INDIRECT("tblSites[Site]"),_xlpm.ActCol,INDIRECT("tblSites[Site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14" s="21" cm="1">
        <f t="array" aca="1" ref="K14" ca="1">IF(K$5&lt;=TODAY(),0,IF($B14="","",IFERROR(_xlfn.LET(_xlpm.Site,$B14,_xlpm.SiteCol,INDIRECT("tblSites[Site]"),_xlpm.ActCol,INDIRECT("tblSites[Site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0</v>
      </c>
      <c r="L14" s="21" cm="1">
        <f t="array" aca="1" ref="L14" ca="1">IF(L$5&lt;=TODAY(),0,IF($B14="","",IFERROR(_xlfn.LET(_xlpm.Site,$B14,_xlpm.SiteCol,INDIRECT("tblSites[Site]"),_xlpm.ActCol,INDIRECT("tblSites[Site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0</v>
      </c>
      <c r="M14" s="21" cm="1">
        <f t="array" aca="1" ref="M14" ca="1">IF(M$5&lt;=TODAY(),0,IF($B14="","",IFERROR(_xlfn.LET(_xlpm.Site,$B14,_xlpm.SiteCol,INDIRECT("tblSites[Site]"),_xlpm.ActCol,INDIRECT("tblSites[Site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0</v>
      </c>
      <c r="N14" s="21" cm="1">
        <f t="array" aca="1" ref="N14" ca="1">IF(N$5&lt;=TODAY(),0,IF($B14="","",IFERROR(_xlfn.LET(_xlpm.Site,$B14,_xlpm.SiteCol,INDIRECT("tblSites[Site]"),_xlpm.ActCol,INDIRECT("tblSites[Site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4" s="21" cm="1">
        <f t="array" aca="1" ref="O14" ca="1">IF(O$5&lt;=TODAY(),0,IF($B14="","",IFERROR(_xlfn.LET(_xlpm.Site,$B14,_xlpm.SiteCol,INDIRECT("tblSites[Site]"),_xlpm.ActCol,INDIRECT("tblSites[Site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4" s="21" cm="1">
        <f t="array" aca="1" ref="P14" ca="1">IF(P$5&lt;=TODAY(),0,IF($B14="","",IFERROR(_xlfn.LET(_xlpm.Site,$B14,_xlpm.SiteCol,INDIRECT("tblSites[Site]"),_xlpm.ActCol,INDIRECT("tblSites[Site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14" s="21" cm="1">
        <f t="array" aca="1" ref="Q14" ca="1">IF(Q$5&lt;=TODAY(),0,IF($B14="","",IFERROR(_xlfn.LET(_xlpm.Site,$B14,_xlpm.SiteCol,INDIRECT("tblSites[Site]"),_xlpm.ActCol,INDIRECT("tblSites[Site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14" s="21" cm="1">
        <f t="array" aca="1" ref="R14" ca="1">IF(R$5&lt;=TODAY(),0,IF($B14="","",IFERROR(_xlfn.LET(_xlpm.Site,$B14,_xlpm.SiteCol,INDIRECT("tblSites[Site]"),_xlpm.ActCol,INDIRECT("tblSites[Site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1</v>
      </c>
      <c r="S14" s="21" cm="1">
        <f t="array" aca="1" ref="S14" ca="1">IF(S$5&lt;=TODAY(),0,IF($B14="","",IFERROR(_xlfn.LET(_xlpm.Site,$B14,_xlpm.SiteCol,INDIRECT("tblSites[Site]"),_xlpm.ActCol,INDIRECT("tblSites[Site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1</v>
      </c>
      <c r="T14" s="21" cm="1">
        <f t="array" aca="1" ref="T14" ca="1">IF(T$5&lt;=TODAY(),0,IF($B14="","",IFERROR(_xlfn.LET(_xlpm.Site,$B14,_xlpm.SiteCol,INDIRECT("tblSites[Site]"),_xlpm.ActCol,INDIRECT("tblSites[Site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4" s="21" cm="1">
        <f t="array" aca="1" ref="U14" ca="1">IF(U$5&lt;=TODAY(),0,IF($B14="","",IFERROR(_xlfn.LET(_xlpm.Site,$B14,_xlpm.SiteCol,INDIRECT("tblSites[Site]"),_xlpm.ActCol,INDIRECT("tblSites[Site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4" s="21" cm="1">
        <f t="array" aca="1" ref="V14" ca="1">IF(V$5&lt;=TODAY(),0,IF($B14="","",IFERROR(_xlfn.LET(_xlpm.Site,$B14,_xlpm.SiteCol,INDIRECT("tblSites[Site]"),_xlpm.ActCol,INDIRECT("tblSites[Site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4" s="21" cm="1">
        <f t="array" aca="1" ref="W14" ca="1">IF(W$5&lt;=TODAY(),0,IF($B14="","",IFERROR(_xlfn.LET(_xlpm.Site,$B14,_xlpm.SiteCol,INDIRECT("tblSites[Site]"),_xlpm.ActCol,INDIRECT("tblSites[Site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4" s="21" cm="1">
        <f t="array" aca="1" ref="X14" ca="1">IF(X$5&lt;=TODAY(),0,IF($B14="","",IFERROR(_xlfn.LET(_xlpm.Site,$B14,_xlpm.SiteCol,INDIRECT("tblSites[Site]"),_xlpm.ActCol,INDIRECT("tblSites[Site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4" s="21" cm="1">
        <f t="array" aca="1" ref="Y14" ca="1">IF(Y$5&lt;=TODAY(),0,IF($B14="","",IFERROR(_xlfn.LET(_xlpm.Site,$B14,_xlpm.SiteCol,INDIRECT("tblSites[Site]"),_xlpm.ActCol,INDIRECT("tblSites[Site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4" s="21" cm="1">
        <f t="array" aca="1" ref="Z14" ca="1">IF(Z$5&lt;=TODAY(),0,IF($B14="","",IFERROR(_xlfn.LET(_xlpm.Site,$B14,_xlpm.SiteCol,INDIRECT("tblSites[Site]"),_xlpm.ActCol,INDIRECT("tblSites[Site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4" s="21" cm="1">
        <f t="array" aca="1" ref="AA14" ca="1">IF(AA$5&lt;=TODAY(),0,IF($B14="","",IFERROR(_xlfn.LET(_xlpm.Site,$B14,_xlpm.SiteCol,INDIRECT("tblSites[Site]"),_xlpm.ActCol,INDIRECT("tblSites[Site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4" s="21" cm="1">
        <f t="array" aca="1" ref="AB14" ca="1">IF(AB$5&lt;=TODAY(),0,IF($B14="","",IFERROR(_xlfn.LET(_xlpm.Site,$B14,_xlpm.SiteCol,INDIRECT("tblSites[Site]"),_xlpm.ActCol,INDIRECT("tblSites[Site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4" s="21" cm="1">
        <f t="array" aca="1" ref="AC14" ca="1">IF(AC$5&lt;=TODAY(),0,IF($B14="","",IFERROR(_xlfn.LET(_xlpm.Site,$B14,_xlpm.SiteCol,INDIRECT("tblSites[Site]"),_xlpm.ActCol,INDIRECT("tblSites[Site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5" spans="1:29" x14ac:dyDescent="0.25">
      <c r="A15" s="18" t="str">
        <v>Germany</v>
      </c>
      <c r="B15" s="18" t="str">
        <v>Germany8</v>
      </c>
      <c r="C15" s="21" cm="1">
        <f t="array" aca="1" ref="C15" ca="1">IF(C$5&lt;=TODAY(),0,IF($B15="","",IFERROR(_xlfn.LET(_xlpm.Site,$B15,_xlpm.SiteCol,INDIRECT("tblSites[Site]"),_xlpm.ActCol,INDIRECT("tblSites[Site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5" s="21" cm="1">
        <f t="array" aca="1" ref="D15" ca="1">IF(D$5&lt;=TODAY(),0,IF($B15="","",IFERROR(_xlfn.LET(_xlpm.Site,$B15,_xlpm.SiteCol,INDIRECT("tblSites[Site]"),_xlpm.ActCol,INDIRECT("tblSites[Site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5" s="21" cm="1">
        <f t="array" aca="1" ref="E15" ca="1">IF(E$5&lt;=TODAY(),0,IF($B15="","",IFERROR(_xlfn.LET(_xlpm.Site,$B15,_xlpm.SiteCol,INDIRECT("tblSites[Site]"),_xlpm.ActCol,INDIRECT("tblSites[Site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5" s="21" cm="1">
        <f t="array" aca="1" ref="F15" ca="1">IF(F$5&lt;=TODAY(),0,IF($B15="","",IFERROR(_xlfn.LET(_xlpm.Site,$B15,_xlpm.SiteCol,INDIRECT("tblSites[Site]"),_xlpm.ActCol,INDIRECT("tblSites[Site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5" s="21" cm="1">
        <f t="array" aca="1" ref="G15" ca="1">IF(G$5&lt;=TODAY(),0,IF($B15="","",IFERROR(_xlfn.LET(_xlpm.Site,$B15,_xlpm.SiteCol,INDIRECT("tblSites[Site]"),_xlpm.ActCol,INDIRECT("tblSites[Site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5" s="21" cm="1">
        <f t="array" aca="1" ref="H15" ca="1">IF(H$5&lt;=TODAY(),0,IF($B15="","",IFERROR(_xlfn.LET(_xlpm.Site,$B15,_xlpm.SiteCol,INDIRECT("tblSites[Site]"),_xlpm.ActCol,INDIRECT("tblSites[Site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5" s="21" cm="1">
        <f t="array" aca="1" ref="I15" ca="1">IF(I$5&lt;=TODAY(),0,IF($B15="","",IFERROR(_xlfn.LET(_xlpm.Site,$B15,_xlpm.SiteCol,INDIRECT("tblSites[Site]"),_xlpm.ActCol,INDIRECT("tblSites[Site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5" s="21" cm="1">
        <f t="array" aca="1" ref="J15" ca="1">IF(J$5&lt;=TODAY(),0,IF($B15="","",IFERROR(_xlfn.LET(_xlpm.Site,$B15,_xlpm.SiteCol,INDIRECT("tblSites[Site]"),_xlpm.ActCol,INDIRECT("tblSites[Site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15" s="21" cm="1">
        <f t="array" aca="1" ref="K15" ca="1">IF(K$5&lt;=TODAY(),0,IF($B15="","",IFERROR(_xlfn.LET(_xlpm.Site,$B15,_xlpm.SiteCol,INDIRECT("tblSites[Site]"),_xlpm.ActCol,INDIRECT("tblSites[Site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0</v>
      </c>
      <c r="L15" s="21" cm="1">
        <f t="array" aca="1" ref="L15" ca="1">IF(L$5&lt;=TODAY(),0,IF($B15="","",IFERROR(_xlfn.LET(_xlpm.Site,$B15,_xlpm.SiteCol,INDIRECT("tblSites[Site]"),_xlpm.ActCol,INDIRECT("tblSites[Site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0</v>
      </c>
      <c r="M15" s="21" cm="1">
        <f t="array" aca="1" ref="M15" ca="1">IF(M$5&lt;=TODAY(),0,IF($B15="","",IFERROR(_xlfn.LET(_xlpm.Site,$B15,_xlpm.SiteCol,INDIRECT("tblSites[Site]"),_xlpm.ActCol,INDIRECT("tblSites[Site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0</v>
      </c>
      <c r="N15" s="21" cm="1">
        <f t="array" aca="1" ref="N15" ca="1">IF(N$5&lt;=TODAY(),0,IF($B15="","",IFERROR(_xlfn.LET(_xlpm.Site,$B15,_xlpm.SiteCol,INDIRECT("tblSites[Site]"),_xlpm.ActCol,INDIRECT("tblSites[Site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0</v>
      </c>
      <c r="O15" s="21" cm="1">
        <f t="array" aca="1" ref="O15" ca="1">IF(O$5&lt;=TODAY(),0,IF($B15="","",IFERROR(_xlfn.LET(_xlpm.Site,$B15,_xlpm.SiteCol,INDIRECT("tblSites[Site]"),_xlpm.ActCol,INDIRECT("tblSites[Site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5" s="21" cm="1">
        <f t="array" aca="1" ref="P15" ca="1">IF(P$5&lt;=TODAY(),0,IF($B15="","",IFERROR(_xlfn.LET(_xlpm.Site,$B15,_xlpm.SiteCol,INDIRECT("tblSites[Site]"),_xlpm.ActCol,INDIRECT("tblSites[Site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15" s="21" cm="1">
        <f t="array" aca="1" ref="Q15" ca="1">IF(Q$5&lt;=TODAY(),0,IF($B15="","",IFERROR(_xlfn.LET(_xlpm.Site,$B15,_xlpm.SiteCol,INDIRECT("tblSites[Site]"),_xlpm.ActCol,INDIRECT("tblSites[Site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15" s="21" cm="1">
        <f t="array" aca="1" ref="R15" ca="1">IF(R$5&lt;=TODAY(),0,IF($B15="","",IFERROR(_xlfn.LET(_xlpm.Site,$B15,_xlpm.SiteCol,INDIRECT("tblSites[Site]"),_xlpm.ActCol,INDIRECT("tblSites[Site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1</v>
      </c>
      <c r="S15" s="21" cm="1">
        <f t="array" aca="1" ref="S15" ca="1">IF(S$5&lt;=TODAY(),0,IF($B15="","",IFERROR(_xlfn.LET(_xlpm.Site,$B15,_xlpm.SiteCol,INDIRECT("tblSites[Site]"),_xlpm.ActCol,INDIRECT("tblSites[Site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1</v>
      </c>
      <c r="T15" s="21" cm="1">
        <f t="array" aca="1" ref="T15" ca="1">IF(T$5&lt;=TODAY(),0,IF($B15="","",IFERROR(_xlfn.LET(_xlpm.Site,$B15,_xlpm.SiteCol,INDIRECT("tblSites[Site]"),_xlpm.ActCol,INDIRECT("tblSites[Site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5" s="21" cm="1">
        <f t="array" aca="1" ref="U15" ca="1">IF(U$5&lt;=TODAY(),0,IF($B15="","",IFERROR(_xlfn.LET(_xlpm.Site,$B15,_xlpm.SiteCol,INDIRECT("tblSites[Site]"),_xlpm.ActCol,INDIRECT("tblSites[Site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5" s="21" cm="1">
        <f t="array" aca="1" ref="V15" ca="1">IF(V$5&lt;=TODAY(),0,IF($B15="","",IFERROR(_xlfn.LET(_xlpm.Site,$B15,_xlpm.SiteCol,INDIRECT("tblSites[Site]"),_xlpm.ActCol,INDIRECT("tblSites[Site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5" s="21" cm="1">
        <f t="array" aca="1" ref="W15" ca="1">IF(W$5&lt;=TODAY(),0,IF($B15="","",IFERROR(_xlfn.LET(_xlpm.Site,$B15,_xlpm.SiteCol,INDIRECT("tblSites[Site]"),_xlpm.ActCol,INDIRECT("tblSites[Site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5" s="21" cm="1">
        <f t="array" aca="1" ref="X15" ca="1">IF(X$5&lt;=TODAY(),0,IF($B15="","",IFERROR(_xlfn.LET(_xlpm.Site,$B15,_xlpm.SiteCol,INDIRECT("tblSites[Site]"),_xlpm.ActCol,INDIRECT("tblSites[Site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5" s="21" cm="1">
        <f t="array" aca="1" ref="Y15" ca="1">IF(Y$5&lt;=TODAY(),0,IF($B15="","",IFERROR(_xlfn.LET(_xlpm.Site,$B15,_xlpm.SiteCol,INDIRECT("tblSites[Site]"),_xlpm.ActCol,INDIRECT("tblSites[Site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5" s="21" cm="1">
        <f t="array" aca="1" ref="Z15" ca="1">IF(Z$5&lt;=TODAY(),0,IF($B15="","",IFERROR(_xlfn.LET(_xlpm.Site,$B15,_xlpm.SiteCol,INDIRECT("tblSites[Site]"),_xlpm.ActCol,INDIRECT("tblSites[Site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5" s="21" cm="1">
        <f t="array" aca="1" ref="AA15" ca="1">IF(AA$5&lt;=TODAY(),0,IF($B15="","",IFERROR(_xlfn.LET(_xlpm.Site,$B15,_xlpm.SiteCol,INDIRECT("tblSites[Site]"),_xlpm.ActCol,INDIRECT("tblSites[Site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5" s="21" cm="1">
        <f t="array" aca="1" ref="AB15" ca="1">IF(AB$5&lt;=TODAY(),0,IF($B15="","",IFERROR(_xlfn.LET(_xlpm.Site,$B15,_xlpm.SiteCol,INDIRECT("tblSites[Site]"),_xlpm.ActCol,INDIRECT("tblSites[Site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5" s="21" cm="1">
        <f t="array" aca="1" ref="AC15" ca="1">IF(AC$5&lt;=TODAY(),0,IF($B15="","",IFERROR(_xlfn.LET(_xlpm.Site,$B15,_xlpm.SiteCol,INDIRECT("tblSites[Site]"),_xlpm.ActCol,INDIRECT("tblSites[Site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6" spans="1:29" x14ac:dyDescent="0.25">
      <c r="A16" s="18" t="str">
        <v>United States</v>
      </c>
      <c r="B16" s="18" t="str">
        <v>United States1</v>
      </c>
      <c r="C16" s="21" cm="1">
        <f t="array" aca="1" ref="C16" ca="1">IF(C$5&lt;=TODAY(),0,IF($B16="","",IFERROR(_xlfn.LET(_xlpm.Site,$B16,_xlpm.SiteCol,INDIRECT("tblSites[Site]"),_xlpm.ActCol,INDIRECT("tblSites[Site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6" s="21" cm="1">
        <f t="array" aca="1" ref="D16" ca="1">IF(D$5&lt;=TODAY(),0,IF($B16="","",IFERROR(_xlfn.LET(_xlpm.Site,$B16,_xlpm.SiteCol,INDIRECT("tblSites[Site]"),_xlpm.ActCol,INDIRECT("tblSites[Site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6" s="21" cm="1">
        <f t="array" aca="1" ref="E16" ca="1">IF(E$5&lt;=TODAY(),0,IF($B16="","",IFERROR(_xlfn.LET(_xlpm.Site,$B16,_xlpm.SiteCol,INDIRECT("tblSites[Site]"),_xlpm.ActCol,INDIRECT("tblSites[Site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6" s="21" cm="1">
        <f t="array" aca="1" ref="F16" ca="1">IF(F$5&lt;=TODAY(),0,IF($B16="","",IFERROR(_xlfn.LET(_xlpm.Site,$B16,_xlpm.SiteCol,INDIRECT("tblSites[Site]"),_xlpm.ActCol,INDIRECT("tblSites[Site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6" s="21" cm="1">
        <f t="array" aca="1" ref="G16" ca="1">IF(G$5&lt;=TODAY(),0,IF($B16="","",IFERROR(_xlfn.LET(_xlpm.Site,$B16,_xlpm.SiteCol,INDIRECT("tblSites[Site]"),_xlpm.ActCol,INDIRECT("tblSites[Site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6" s="21" cm="1">
        <f t="array" aca="1" ref="H16" ca="1">IF(H$5&lt;=TODAY(),0,IF($B16="","",IFERROR(_xlfn.LET(_xlpm.Site,$B16,_xlpm.SiteCol,INDIRECT("tblSites[Site]"),_xlpm.ActCol,INDIRECT("tblSites[Site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6" s="21" cm="1">
        <f t="array" aca="1" ref="I16" ca="1">IF(I$5&lt;=TODAY(),0,IF($B16="","",IFERROR(_xlfn.LET(_xlpm.Site,$B16,_xlpm.SiteCol,INDIRECT("tblSites[Site]"),_xlpm.ActCol,INDIRECT("tblSites[Site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6" s="21" cm="1">
        <f t="array" aca="1" ref="J16" ca="1">IF(J$5&lt;=TODAY(),0,IF($B16="","",IFERROR(_xlfn.LET(_xlpm.Site,$B16,_xlpm.SiteCol,INDIRECT("tblSites[Site]"),_xlpm.ActCol,INDIRECT("tblSites[Site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3</v>
      </c>
      <c r="K16" s="21" cm="1">
        <f t="array" aca="1" ref="K16" ca="1">IF(K$5&lt;=TODAY(),0,IF($B16="","",IFERROR(_xlfn.LET(_xlpm.Site,$B16,_xlpm.SiteCol,INDIRECT("tblSites[Site]"),_xlpm.ActCol,INDIRECT("tblSites[Site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2</v>
      </c>
      <c r="L16" s="21" cm="1">
        <f t="array" aca="1" ref="L16" ca="1">IF(L$5&lt;=TODAY(),0,IF($B16="","",IFERROR(_xlfn.LET(_xlpm.Site,$B16,_xlpm.SiteCol,INDIRECT("tblSites[Site]"),_xlpm.ActCol,INDIRECT("tblSites[Site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2</v>
      </c>
      <c r="M16" s="21" cm="1">
        <f t="array" aca="1" ref="M16" ca="1">IF(M$5&lt;=TODAY(),0,IF($B16="","",IFERROR(_xlfn.LET(_xlpm.Site,$B16,_xlpm.SiteCol,INDIRECT("tblSites[Site]"),_xlpm.ActCol,INDIRECT("tblSites[Site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6" s="21" cm="1">
        <f t="array" aca="1" ref="N16" ca="1">IF(N$5&lt;=TODAY(),0,IF($B16="","",IFERROR(_xlfn.LET(_xlpm.Site,$B16,_xlpm.SiteCol,INDIRECT("tblSites[Site]"),_xlpm.ActCol,INDIRECT("tblSites[Site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6" s="21" cm="1">
        <f t="array" aca="1" ref="O16" ca="1">IF(O$5&lt;=TODAY(),0,IF($B16="","",IFERROR(_xlfn.LET(_xlpm.Site,$B16,_xlpm.SiteCol,INDIRECT("tblSites[Site]"),_xlpm.ActCol,INDIRECT("tblSites[Site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6" s="21" cm="1">
        <f t="array" aca="1" ref="P16" ca="1">IF(P$5&lt;=TODAY(),0,IF($B16="","",IFERROR(_xlfn.LET(_xlpm.Site,$B16,_xlpm.SiteCol,INDIRECT("tblSites[Site]"),_xlpm.ActCol,INDIRECT("tblSites[Site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6" s="21" cm="1">
        <f t="array" aca="1" ref="Q16" ca="1">IF(Q$5&lt;=TODAY(),0,IF($B16="","",IFERROR(_xlfn.LET(_xlpm.Site,$B16,_xlpm.SiteCol,INDIRECT("tblSites[Site]"),_xlpm.ActCol,INDIRECT("tblSites[Site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6" s="21" cm="1">
        <f t="array" aca="1" ref="R16" ca="1">IF(R$5&lt;=TODAY(),0,IF($B16="","",IFERROR(_xlfn.LET(_xlpm.Site,$B16,_xlpm.SiteCol,INDIRECT("tblSites[Site]"),_xlpm.ActCol,INDIRECT("tblSites[Site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6" s="21" cm="1">
        <f t="array" aca="1" ref="S16" ca="1">IF(S$5&lt;=TODAY(),0,IF($B16="","",IFERROR(_xlfn.LET(_xlpm.Site,$B16,_xlpm.SiteCol,INDIRECT("tblSites[Site]"),_xlpm.ActCol,INDIRECT("tblSites[Site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6" s="21" cm="1">
        <f t="array" aca="1" ref="T16" ca="1">IF(T$5&lt;=TODAY(),0,IF($B16="","",IFERROR(_xlfn.LET(_xlpm.Site,$B16,_xlpm.SiteCol,INDIRECT("tblSites[Site]"),_xlpm.ActCol,INDIRECT("tblSites[Site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6" s="21" cm="1">
        <f t="array" aca="1" ref="U16" ca="1">IF(U$5&lt;=TODAY(),0,IF($B16="","",IFERROR(_xlfn.LET(_xlpm.Site,$B16,_xlpm.SiteCol,INDIRECT("tblSites[Site]"),_xlpm.ActCol,INDIRECT("tblSites[Site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6" s="21" cm="1">
        <f t="array" aca="1" ref="V16" ca="1">IF(V$5&lt;=TODAY(),0,IF($B16="","",IFERROR(_xlfn.LET(_xlpm.Site,$B16,_xlpm.SiteCol,INDIRECT("tblSites[Site]"),_xlpm.ActCol,INDIRECT("tblSites[Site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6" s="21" cm="1">
        <f t="array" aca="1" ref="W16" ca="1">IF(W$5&lt;=TODAY(),0,IF($B16="","",IFERROR(_xlfn.LET(_xlpm.Site,$B16,_xlpm.SiteCol,INDIRECT("tblSites[Site]"),_xlpm.ActCol,INDIRECT("tblSites[Site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6" s="21" cm="1">
        <f t="array" aca="1" ref="X16" ca="1">IF(X$5&lt;=TODAY(),0,IF($B16="","",IFERROR(_xlfn.LET(_xlpm.Site,$B16,_xlpm.SiteCol,INDIRECT("tblSites[Site]"),_xlpm.ActCol,INDIRECT("tblSites[Site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6" s="21" cm="1">
        <f t="array" aca="1" ref="Y16" ca="1">IF(Y$5&lt;=TODAY(),0,IF($B16="","",IFERROR(_xlfn.LET(_xlpm.Site,$B16,_xlpm.SiteCol,INDIRECT("tblSites[Site]"),_xlpm.ActCol,INDIRECT("tblSites[Site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6" s="21" cm="1">
        <f t="array" aca="1" ref="Z16" ca="1">IF(Z$5&lt;=TODAY(),0,IF($B16="","",IFERROR(_xlfn.LET(_xlpm.Site,$B16,_xlpm.SiteCol,INDIRECT("tblSites[Site]"),_xlpm.ActCol,INDIRECT("tblSites[Site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6" s="21" cm="1">
        <f t="array" aca="1" ref="AA16" ca="1">IF(AA$5&lt;=TODAY(),0,IF($B16="","",IFERROR(_xlfn.LET(_xlpm.Site,$B16,_xlpm.SiteCol,INDIRECT("tblSites[Site]"),_xlpm.ActCol,INDIRECT("tblSites[Site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6" s="21" cm="1">
        <f t="array" aca="1" ref="AB16" ca="1">IF(AB$5&lt;=TODAY(),0,IF($B16="","",IFERROR(_xlfn.LET(_xlpm.Site,$B16,_xlpm.SiteCol,INDIRECT("tblSites[Site]"),_xlpm.ActCol,INDIRECT("tblSites[Site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6" s="21" cm="1">
        <f t="array" aca="1" ref="AC16" ca="1">IF(AC$5&lt;=TODAY(),0,IF($B16="","",IFERROR(_xlfn.LET(_xlpm.Site,$B16,_xlpm.SiteCol,INDIRECT("tblSites[Site]"),_xlpm.ActCol,INDIRECT("tblSites[Site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7" spans="1:29" x14ac:dyDescent="0.25">
      <c r="A17" s="18" t="str">
        <v>United States</v>
      </c>
      <c r="B17" s="18" t="str">
        <v>United States2</v>
      </c>
      <c r="C17" s="21" cm="1">
        <f t="array" aca="1" ref="C17" ca="1">IF(C$5&lt;=TODAY(),0,IF($B17="","",IFERROR(_xlfn.LET(_xlpm.Site,$B17,_xlpm.SiteCol,INDIRECT("tblSites[Site]"),_xlpm.ActCol,INDIRECT("tblSites[Site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7" s="21" cm="1">
        <f t="array" aca="1" ref="D17" ca="1">IF(D$5&lt;=TODAY(),0,IF($B17="","",IFERROR(_xlfn.LET(_xlpm.Site,$B17,_xlpm.SiteCol,INDIRECT("tblSites[Site]"),_xlpm.ActCol,INDIRECT("tblSites[Site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7" s="21" cm="1">
        <f t="array" aca="1" ref="E17" ca="1">IF(E$5&lt;=TODAY(),0,IF($B17="","",IFERROR(_xlfn.LET(_xlpm.Site,$B17,_xlpm.SiteCol,INDIRECT("tblSites[Site]"),_xlpm.ActCol,INDIRECT("tblSites[Site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7" s="21" cm="1">
        <f t="array" aca="1" ref="F17" ca="1">IF(F$5&lt;=TODAY(),0,IF($B17="","",IFERROR(_xlfn.LET(_xlpm.Site,$B17,_xlpm.SiteCol,INDIRECT("tblSites[Site]"),_xlpm.ActCol,INDIRECT("tblSites[Site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7" s="21" cm="1">
        <f t="array" aca="1" ref="G17" ca="1">IF(G$5&lt;=TODAY(),0,IF($B17="","",IFERROR(_xlfn.LET(_xlpm.Site,$B17,_xlpm.SiteCol,INDIRECT("tblSites[Site]"),_xlpm.ActCol,INDIRECT("tblSites[Site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7" s="21" cm="1">
        <f t="array" aca="1" ref="H17" ca="1">IF(H$5&lt;=TODAY(),0,IF($B17="","",IFERROR(_xlfn.LET(_xlpm.Site,$B17,_xlpm.SiteCol,INDIRECT("tblSites[Site]"),_xlpm.ActCol,INDIRECT("tblSites[Site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7" s="21" cm="1">
        <f t="array" aca="1" ref="I17" ca="1">IF(I$5&lt;=TODAY(),0,IF($B17="","",IFERROR(_xlfn.LET(_xlpm.Site,$B17,_xlpm.SiteCol,INDIRECT("tblSites[Site]"),_xlpm.ActCol,INDIRECT("tblSites[Site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7" s="21" cm="1">
        <f t="array" aca="1" ref="J17" ca="1">IF(J$5&lt;=TODAY(),0,IF($B17="","",IFERROR(_xlfn.LET(_xlpm.Site,$B17,_xlpm.SiteCol,INDIRECT("tblSites[Site]"),_xlpm.ActCol,INDIRECT("tblSites[Site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3</v>
      </c>
      <c r="K17" s="21" cm="1">
        <f t="array" aca="1" ref="K17" ca="1">IF(K$5&lt;=TODAY(),0,IF($B17="","",IFERROR(_xlfn.LET(_xlpm.Site,$B17,_xlpm.SiteCol,INDIRECT("tblSites[Site]"),_xlpm.ActCol,INDIRECT("tblSites[Site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2</v>
      </c>
      <c r="L17" s="21" cm="1">
        <f t="array" aca="1" ref="L17" ca="1">IF(L$5&lt;=TODAY(),0,IF($B17="","",IFERROR(_xlfn.LET(_xlpm.Site,$B17,_xlpm.SiteCol,INDIRECT("tblSites[Site]"),_xlpm.ActCol,INDIRECT("tblSites[Site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7" s="21" cm="1">
        <f t="array" aca="1" ref="M17" ca="1">IF(M$5&lt;=TODAY(),0,IF($B17="","",IFERROR(_xlfn.LET(_xlpm.Site,$B17,_xlpm.SiteCol,INDIRECT("tblSites[Site]"),_xlpm.ActCol,INDIRECT("tblSites[Site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7" s="21" cm="1">
        <f t="array" aca="1" ref="N17" ca="1">IF(N$5&lt;=TODAY(),0,IF($B17="","",IFERROR(_xlfn.LET(_xlpm.Site,$B17,_xlpm.SiteCol,INDIRECT("tblSites[Site]"),_xlpm.ActCol,INDIRECT("tblSites[Site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7" s="21" cm="1">
        <f t="array" aca="1" ref="O17" ca="1">IF(O$5&lt;=TODAY(),0,IF($B17="","",IFERROR(_xlfn.LET(_xlpm.Site,$B17,_xlpm.SiteCol,INDIRECT("tblSites[Site]"),_xlpm.ActCol,INDIRECT("tblSites[Site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7" s="21" cm="1">
        <f t="array" aca="1" ref="P17" ca="1">IF(P$5&lt;=TODAY(),0,IF($B17="","",IFERROR(_xlfn.LET(_xlpm.Site,$B17,_xlpm.SiteCol,INDIRECT("tblSites[Site]"),_xlpm.ActCol,INDIRECT("tblSites[Site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7" s="21" cm="1">
        <f t="array" aca="1" ref="Q17" ca="1">IF(Q$5&lt;=TODAY(),0,IF($B17="","",IFERROR(_xlfn.LET(_xlpm.Site,$B17,_xlpm.SiteCol,INDIRECT("tblSites[Site]"),_xlpm.ActCol,INDIRECT("tblSites[Site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7" s="21" cm="1">
        <f t="array" aca="1" ref="R17" ca="1">IF(R$5&lt;=TODAY(),0,IF($B17="","",IFERROR(_xlfn.LET(_xlpm.Site,$B17,_xlpm.SiteCol,INDIRECT("tblSites[Site]"),_xlpm.ActCol,INDIRECT("tblSites[Site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7" s="21" cm="1">
        <f t="array" aca="1" ref="S17" ca="1">IF(S$5&lt;=TODAY(),0,IF($B17="","",IFERROR(_xlfn.LET(_xlpm.Site,$B17,_xlpm.SiteCol,INDIRECT("tblSites[Site]"),_xlpm.ActCol,INDIRECT("tblSites[Site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7" s="21" cm="1">
        <f t="array" aca="1" ref="T17" ca="1">IF(T$5&lt;=TODAY(),0,IF($B17="","",IFERROR(_xlfn.LET(_xlpm.Site,$B17,_xlpm.SiteCol,INDIRECT("tblSites[Site]"),_xlpm.ActCol,INDIRECT("tblSites[Site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7" s="21" cm="1">
        <f t="array" aca="1" ref="U17" ca="1">IF(U$5&lt;=TODAY(),0,IF($B17="","",IFERROR(_xlfn.LET(_xlpm.Site,$B17,_xlpm.SiteCol,INDIRECT("tblSites[Site]"),_xlpm.ActCol,INDIRECT("tblSites[Site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7" s="21" cm="1">
        <f t="array" aca="1" ref="V17" ca="1">IF(V$5&lt;=TODAY(),0,IF($B17="","",IFERROR(_xlfn.LET(_xlpm.Site,$B17,_xlpm.SiteCol,INDIRECT("tblSites[Site]"),_xlpm.ActCol,INDIRECT("tblSites[Site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7" s="21" cm="1">
        <f t="array" aca="1" ref="W17" ca="1">IF(W$5&lt;=TODAY(),0,IF($B17="","",IFERROR(_xlfn.LET(_xlpm.Site,$B17,_xlpm.SiteCol,INDIRECT("tblSites[Site]"),_xlpm.ActCol,INDIRECT("tblSites[Site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7" s="21" cm="1">
        <f t="array" aca="1" ref="X17" ca="1">IF(X$5&lt;=TODAY(),0,IF($B17="","",IFERROR(_xlfn.LET(_xlpm.Site,$B17,_xlpm.SiteCol,INDIRECT("tblSites[Site]"),_xlpm.ActCol,INDIRECT("tblSites[Site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7" s="21" cm="1">
        <f t="array" aca="1" ref="Y17" ca="1">IF(Y$5&lt;=TODAY(),0,IF($B17="","",IFERROR(_xlfn.LET(_xlpm.Site,$B17,_xlpm.SiteCol,INDIRECT("tblSites[Site]"),_xlpm.ActCol,INDIRECT("tblSites[Site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7" s="21" cm="1">
        <f t="array" aca="1" ref="Z17" ca="1">IF(Z$5&lt;=TODAY(),0,IF($B17="","",IFERROR(_xlfn.LET(_xlpm.Site,$B17,_xlpm.SiteCol,INDIRECT("tblSites[Site]"),_xlpm.ActCol,INDIRECT("tblSites[Site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7" s="21" cm="1">
        <f t="array" aca="1" ref="AA17" ca="1">IF(AA$5&lt;=TODAY(),0,IF($B17="","",IFERROR(_xlfn.LET(_xlpm.Site,$B17,_xlpm.SiteCol,INDIRECT("tblSites[Site]"),_xlpm.ActCol,INDIRECT("tblSites[Site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7" s="21" cm="1">
        <f t="array" aca="1" ref="AB17" ca="1">IF(AB$5&lt;=TODAY(),0,IF($B17="","",IFERROR(_xlfn.LET(_xlpm.Site,$B17,_xlpm.SiteCol,INDIRECT("tblSites[Site]"),_xlpm.ActCol,INDIRECT("tblSites[Site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7" s="21" cm="1">
        <f t="array" aca="1" ref="AC17" ca="1">IF(AC$5&lt;=TODAY(),0,IF($B17="","",IFERROR(_xlfn.LET(_xlpm.Site,$B17,_xlpm.SiteCol,INDIRECT("tblSites[Site]"),_xlpm.ActCol,INDIRECT("tblSites[Site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8" spans="1:29" x14ac:dyDescent="0.25">
      <c r="A18" s="18" t="str">
        <v>United States</v>
      </c>
      <c r="B18" s="18" t="str">
        <v>United States3</v>
      </c>
      <c r="C18" s="21" cm="1">
        <f t="array" aca="1" ref="C18" ca="1">IF(C$5&lt;=TODAY(),0,IF($B18="","",IFERROR(_xlfn.LET(_xlpm.Site,$B18,_xlpm.SiteCol,INDIRECT("tblSites[Site]"),_xlpm.ActCol,INDIRECT("tblSites[Site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8" s="21" cm="1">
        <f t="array" aca="1" ref="D18" ca="1">IF(D$5&lt;=TODAY(),0,IF($B18="","",IFERROR(_xlfn.LET(_xlpm.Site,$B18,_xlpm.SiteCol,INDIRECT("tblSites[Site]"),_xlpm.ActCol,INDIRECT("tblSites[Site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8" s="21" cm="1">
        <f t="array" aca="1" ref="E18" ca="1">IF(E$5&lt;=TODAY(),0,IF($B18="","",IFERROR(_xlfn.LET(_xlpm.Site,$B18,_xlpm.SiteCol,INDIRECT("tblSites[Site]"),_xlpm.ActCol,INDIRECT("tblSites[Site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8" s="21" cm="1">
        <f t="array" aca="1" ref="F18" ca="1">IF(F$5&lt;=TODAY(),0,IF($B18="","",IFERROR(_xlfn.LET(_xlpm.Site,$B18,_xlpm.SiteCol,INDIRECT("tblSites[Site]"),_xlpm.ActCol,INDIRECT("tblSites[Site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8" s="21" cm="1">
        <f t="array" aca="1" ref="G18" ca="1">IF(G$5&lt;=TODAY(),0,IF($B18="","",IFERROR(_xlfn.LET(_xlpm.Site,$B18,_xlpm.SiteCol,INDIRECT("tblSites[Site]"),_xlpm.ActCol,INDIRECT("tblSites[Site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8" s="21" cm="1">
        <f t="array" aca="1" ref="H18" ca="1">IF(H$5&lt;=TODAY(),0,IF($B18="","",IFERROR(_xlfn.LET(_xlpm.Site,$B18,_xlpm.SiteCol,INDIRECT("tblSites[Site]"),_xlpm.ActCol,INDIRECT("tblSites[Site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8" s="21" cm="1">
        <f t="array" aca="1" ref="I18" ca="1">IF(I$5&lt;=TODAY(),0,IF($B18="","",IFERROR(_xlfn.LET(_xlpm.Site,$B18,_xlpm.SiteCol,INDIRECT("tblSites[Site]"),_xlpm.ActCol,INDIRECT("tblSites[Site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8" s="21" cm="1">
        <f t="array" aca="1" ref="J18" ca="1">IF(J$5&lt;=TODAY(),0,IF($B18="","",IFERROR(_xlfn.LET(_xlpm.Site,$B18,_xlpm.SiteCol,INDIRECT("tblSites[Site]"),_xlpm.ActCol,INDIRECT("tblSites[Site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3</v>
      </c>
      <c r="K18" s="21" cm="1">
        <f t="array" aca="1" ref="K18" ca="1">IF(K$5&lt;=TODAY(),0,IF($B18="","",IFERROR(_xlfn.LET(_xlpm.Site,$B18,_xlpm.SiteCol,INDIRECT("tblSites[Site]"),_xlpm.ActCol,INDIRECT("tblSites[Site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2</v>
      </c>
      <c r="L18" s="21" cm="1">
        <f t="array" aca="1" ref="L18" ca="1">IF(L$5&lt;=TODAY(),0,IF($B18="","",IFERROR(_xlfn.LET(_xlpm.Site,$B18,_xlpm.SiteCol,INDIRECT("tblSites[Site]"),_xlpm.ActCol,INDIRECT("tblSites[Site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8" s="21" cm="1">
        <f t="array" aca="1" ref="M18" ca="1">IF(M$5&lt;=TODAY(),0,IF($B18="","",IFERROR(_xlfn.LET(_xlpm.Site,$B18,_xlpm.SiteCol,INDIRECT("tblSites[Site]"),_xlpm.ActCol,INDIRECT("tblSites[Site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8" s="21" cm="1">
        <f t="array" aca="1" ref="N18" ca="1">IF(N$5&lt;=TODAY(),0,IF($B18="","",IFERROR(_xlfn.LET(_xlpm.Site,$B18,_xlpm.SiteCol,INDIRECT("tblSites[Site]"),_xlpm.ActCol,INDIRECT("tblSites[Site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8" s="21" cm="1">
        <f t="array" aca="1" ref="O18" ca="1">IF(O$5&lt;=TODAY(),0,IF($B18="","",IFERROR(_xlfn.LET(_xlpm.Site,$B18,_xlpm.SiteCol,INDIRECT("tblSites[Site]"),_xlpm.ActCol,INDIRECT("tblSites[Site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8" s="21" cm="1">
        <f t="array" aca="1" ref="P18" ca="1">IF(P$5&lt;=TODAY(),0,IF($B18="","",IFERROR(_xlfn.LET(_xlpm.Site,$B18,_xlpm.SiteCol,INDIRECT("tblSites[Site]"),_xlpm.ActCol,INDIRECT("tblSites[Site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8" s="21" cm="1">
        <f t="array" aca="1" ref="Q18" ca="1">IF(Q$5&lt;=TODAY(),0,IF($B18="","",IFERROR(_xlfn.LET(_xlpm.Site,$B18,_xlpm.SiteCol,INDIRECT("tblSites[Site]"),_xlpm.ActCol,INDIRECT("tblSites[Site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8" s="21" cm="1">
        <f t="array" aca="1" ref="R18" ca="1">IF(R$5&lt;=TODAY(),0,IF($B18="","",IFERROR(_xlfn.LET(_xlpm.Site,$B18,_xlpm.SiteCol,INDIRECT("tblSites[Site]"),_xlpm.ActCol,INDIRECT("tblSites[Site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8" s="21" cm="1">
        <f t="array" aca="1" ref="S18" ca="1">IF(S$5&lt;=TODAY(),0,IF($B18="","",IFERROR(_xlfn.LET(_xlpm.Site,$B18,_xlpm.SiteCol,INDIRECT("tblSites[Site]"),_xlpm.ActCol,INDIRECT("tblSites[Site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8" s="21" cm="1">
        <f t="array" aca="1" ref="T18" ca="1">IF(T$5&lt;=TODAY(),0,IF($B18="","",IFERROR(_xlfn.LET(_xlpm.Site,$B18,_xlpm.SiteCol,INDIRECT("tblSites[Site]"),_xlpm.ActCol,INDIRECT("tblSites[Site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8" s="21" cm="1">
        <f t="array" aca="1" ref="U18" ca="1">IF(U$5&lt;=TODAY(),0,IF($B18="","",IFERROR(_xlfn.LET(_xlpm.Site,$B18,_xlpm.SiteCol,INDIRECT("tblSites[Site]"),_xlpm.ActCol,INDIRECT("tblSites[Site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8" s="21" cm="1">
        <f t="array" aca="1" ref="V18" ca="1">IF(V$5&lt;=TODAY(),0,IF($B18="","",IFERROR(_xlfn.LET(_xlpm.Site,$B18,_xlpm.SiteCol,INDIRECT("tblSites[Site]"),_xlpm.ActCol,INDIRECT("tblSites[Site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8" s="21" cm="1">
        <f t="array" aca="1" ref="W18" ca="1">IF(W$5&lt;=TODAY(),0,IF($B18="","",IFERROR(_xlfn.LET(_xlpm.Site,$B18,_xlpm.SiteCol,INDIRECT("tblSites[Site]"),_xlpm.ActCol,INDIRECT("tblSites[Site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8" s="21" cm="1">
        <f t="array" aca="1" ref="X18" ca="1">IF(X$5&lt;=TODAY(),0,IF($B18="","",IFERROR(_xlfn.LET(_xlpm.Site,$B18,_xlpm.SiteCol,INDIRECT("tblSites[Site]"),_xlpm.ActCol,INDIRECT("tblSites[Site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8" s="21" cm="1">
        <f t="array" aca="1" ref="Y18" ca="1">IF(Y$5&lt;=TODAY(),0,IF($B18="","",IFERROR(_xlfn.LET(_xlpm.Site,$B18,_xlpm.SiteCol,INDIRECT("tblSites[Site]"),_xlpm.ActCol,INDIRECT("tblSites[Site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8" s="21" cm="1">
        <f t="array" aca="1" ref="Z18" ca="1">IF(Z$5&lt;=TODAY(),0,IF($B18="","",IFERROR(_xlfn.LET(_xlpm.Site,$B18,_xlpm.SiteCol,INDIRECT("tblSites[Site]"),_xlpm.ActCol,INDIRECT("tblSites[Site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8" s="21" cm="1">
        <f t="array" aca="1" ref="AA18" ca="1">IF(AA$5&lt;=TODAY(),0,IF($B18="","",IFERROR(_xlfn.LET(_xlpm.Site,$B18,_xlpm.SiteCol,INDIRECT("tblSites[Site]"),_xlpm.ActCol,INDIRECT("tblSites[Site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8" s="21" cm="1">
        <f t="array" aca="1" ref="AB18" ca="1">IF(AB$5&lt;=TODAY(),0,IF($B18="","",IFERROR(_xlfn.LET(_xlpm.Site,$B18,_xlpm.SiteCol,INDIRECT("tblSites[Site]"),_xlpm.ActCol,INDIRECT("tblSites[Site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8" s="21" cm="1">
        <f t="array" aca="1" ref="AC18" ca="1">IF(AC$5&lt;=TODAY(),0,IF($B18="","",IFERROR(_xlfn.LET(_xlpm.Site,$B18,_xlpm.SiteCol,INDIRECT("tblSites[Site]"),_xlpm.ActCol,INDIRECT("tblSites[Site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9" spans="1:29" x14ac:dyDescent="0.25">
      <c r="A19" s="18" t="str">
        <v>United States</v>
      </c>
      <c r="B19" s="18" t="str">
        <v>United States4</v>
      </c>
      <c r="C19" s="21" cm="1">
        <f t="array" aca="1" ref="C19" ca="1">IF(C$5&lt;=TODAY(),0,IF($B19="","",IFERROR(_xlfn.LET(_xlpm.Site,$B19,_xlpm.SiteCol,INDIRECT("tblSites[Site]"),_xlpm.ActCol,INDIRECT("tblSites[Site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9" s="21" cm="1">
        <f t="array" aca="1" ref="D19" ca="1">IF(D$5&lt;=TODAY(),0,IF($B19="","",IFERROR(_xlfn.LET(_xlpm.Site,$B19,_xlpm.SiteCol,INDIRECT("tblSites[Site]"),_xlpm.ActCol,INDIRECT("tblSites[Site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9" s="21" cm="1">
        <f t="array" aca="1" ref="E19" ca="1">IF(E$5&lt;=TODAY(),0,IF($B19="","",IFERROR(_xlfn.LET(_xlpm.Site,$B19,_xlpm.SiteCol,INDIRECT("tblSites[Site]"),_xlpm.ActCol,INDIRECT("tblSites[Site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9" s="21" cm="1">
        <f t="array" aca="1" ref="F19" ca="1">IF(F$5&lt;=TODAY(),0,IF($B19="","",IFERROR(_xlfn.LET(_xlpm.Site,$B19,_xlpm.SiteCol,INDIRECT("tblSites[Site]"),_xlpm.ActCol,INDIRECT("tblSites[Site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9" s="21" cm="1">
        <f t="array" aca="1" ref="G19" ca="1">IF(G$5&lt;=TODAY(),0,IF($B19="","",IFERROR(_xlfn.LET(_xlpm.Site,$B19,_xlpm.SiteCol,INDIRECT("tblSites[Site]"),_xlpm.ActCol,INDIRECT("tblSites[Site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9" s="21" cm="1">
        <f t="array" aca="1" ref="H19" ca="1">IF(H$5&lt;=TODAY(),0,IF($B19="","",IFERROR(_xlfn.LET(_xlpm.Site,$B19,_xlpm.SiteCol,INDIRECT("tblSites[Site]"),_xlpm.ActCol,INDIRECT("tblSites[Site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9" s="21" cm="1">
        <f t="array" aca="1" ref="I19" ca="1">IF(I$5&lt;=TODAY(),0,IF($B19="","",IFERROR(_xlfn.LET(_xlpm.Site,$B19,_xlpm.SiteCol,INDIRECT("tblSites[Site]"),_xlpm.ActCol,INDIRECT("tblSites[Site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9" s="21" cm="1">
        <f t="array" aca="1" ref="J19" ca="1">IF(J$5&lt;=TODAY(),0,IF($B19="","",IFERROR(_xlfn.LET(_xlpm.Site,$B19,_xlpm.SiteCol,INDIRECT("tblSites[Site]"),_xlpm.ActCol,INDIRECT("tblSites[Site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3</v>
      </c>
      <c r="K19" s="21" cm="1">
        <f t="array" aca="1" ref="K19" ca="1">IF(K$5&lt;=TODAY(),0,IF($B19="","",IFERROR(_xlfn.LET(_xlpm.Site,$B19,_xlpm.SiteCol,INDIRECT("tblSites[Site]"),_xlpm.ActCol,INDIRECT("tblSites[Site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2</v>
      </c>
      <c r="L19" s="21" cm="1">
        <f t="array" aca="1" ref="L19" ca="1">IF(L$5&lt;=TODAY(),0,IF($B19="","",IFERROR(_xlfn.LET(_xlpm.Site,$B19,_xlpm.SiteCol,INDIRECT("tblSites[Site]"),_xlpm.ActCol,INDIRECT("tblSites[Site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9" s="21" cm="1">
        <f t="array" aca="1" ref="M19" ca="1">IF(M$5&lt;=TODAY(),0,IF($B19="","",IFERROR(_xlfn.LET(_xlpm.Site,$B19,_xlpm.SiteCol,INDIRECT("tblSites[Site]"),_xlpm.ActCol,INDIRECT("tblSites[Site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9" s="21" cm="1">
        <f t="array" aca="1" ref="N19" ca="1">IF(N$5&lt;=TODAY(),0,IF($B19="","",IFERROR(_xlfn.LET(_xlpm.Site,$B19,_xlpm.SiteCol,INDIRECT("tblSites[Site]"),_xlpm.ActCol,INDIRECT("tblSites[Site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9" s="21" cm="1">
        <f t="array" aca="1" ref="O19" ca="1">IF(O$5&lt;=TODAY(),0,IF($B19="","",IFERROR(_xlfn.LET(_xlpm.Site,$B19,_xlpm.SiteCol,INDIRECT("tblSites[Site]"),_xlpm.ActCol,INDIRECT("tblSites[Site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9" s="21" cm="1">
        <f t="array" aca="1" ref="P19" ca="1">IF(P$5&lt;=TODAY(),0,IF($B19="","",IFERROR(_xlfn.LET(_xlpm.Site,$B19,_xlpm.SiteCol,INDIRECT("tblSites[Site]"),_xlpm.ActCol,INDIRECT("tblSites[Site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9" s="21" cm="1">
        <f t="array" aca="1" ref="Q19" ca="1">IF(Q$5&lt;=TODAY(),0,IF($B19="","",IFERROR(_xlfn.LET(_xlpm.Site,$B19,_xlpm.SiteCol,INDIRECT("tblSites[Site]"),_xlpm.ActCol,INDIRECT("tblSites[Site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9" s="21" cm="1">
        <f t="array" aca="1" ref="R19" ca="1">IF(R$5&lt;=TODAY(),0,IF($B19="","",IFERROR(_xlfn.LET(_xlpm.Site,$B19,_xlpm.SiteCol,INDIRECT("tblSites[Site]"),_xlpm.ActCol,INDIRECT("tblSites[Site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9" s="21" cm="1">
        <f t="array" aca="1" ref="S19" ca="1">IF(S$5&lt;=TODAY(),0,IF($B19="","",IFERROR(_xlfn.LET(_xlpm.Site,$B19,_xlpm.SiteCol,INDIRECT("tblSites[Site]"),_xlpm.ActCol,INDIRECT("tblSites[Site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9" s="21" cm="1">
        <f t="array" aca="1" ref="T19" ca="1">IF(T$5&lt;=TODAY(),0,IF($B19="","",IFERROR(_xlfn.LET(_xlpm.Site,$B19,_xlpm.SiteCol,INDIRECT("tblSites[Site]"),_xlpm.ActCol,INDIRECT("tblSites[Site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9" s="21" cm="1">
        <f t="array" aca="1" ref="U19" ca="1">IF(U$5&lt;=TODAY(),0,IF($B19="","",IFERROR(_xlfn.LET(_xlpm.Site,$B19,_xlpm.SiteCol,INDIRECT("tblSites[Site]"),_xlpm.ActCol,INDIRECT("tblSites[Site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9" s="21" cm="1">
        <f t="array" aca="1" ref="V19" ca="1">IF(V$5&lt;=TODAY(),0,IF($B19="","",IFERROR(_xlfn.LET(_xlpm.Site,$B19,_xlpm.SiteCol,INDIRECT("tblSites[Site]"),_xlpm.ActCol,INDIRECT("tblSites[Site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9" s="21" cm="1">
        <f t="array" aca="1" ref="W19" ca="1">IF(W$5&lt;=TODAY(),0,IF($B19="","",IFERROR(_xlfn.LET(_xlpm.Site,$B19,_xlpm.SiteCol,INDIRECT("tblSites[Site]"),_xlpm.ActCol,INDIRECT("tblSites[Site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9" s="21" cm="1">
        <f t="array" aca="1" ref="X19" ca="1">IF(X$5&lt;=TODAY(),0,IF($B19="","",IFERROR(_xlfn.LET(_xlpm.Site,$B19,_xlpm.SiteCol,INDIRECT("tblSites[Site]"),_xlpm.ActCol,INDIRECT("tblSites[Site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9" s="21" cm="1">
        <f t="array" aca="1" ref="Y19" ca="1">IF(Y$5&lt;=TODAY(),0,IF($B19="","",IFERROR(_xlfn.LET(_xlpm.Site,$B19,_xlpm.SiteCol,INDIRECT("tblSites[Site]"),_xlpm.ActCol,INDIRECT("tblSites[Site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9" s="21" cm="1">
        <f t="array" aca="1" ref="Z19" ca="1">IF(Z$5&lt;=TODAY(),0,IF($B19="","",IFERROR(_xlfn.LET(_xlpm.Site,$B19,_xlpm.SiteCol,INDIRECT("tblSites[Site]"),_xlpm.ActCol,INDIRECT("tblSites[Site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9" s="21" cm="1">
        <f t="array" aca="1" ref="AA19" ca="1">IF(AA$5&lt;=TODAY(),0,IF($B19="","",IFERROR(_xlfn.LET(_xlpm.Site,$B19,_xlpm.SiteCol,INDIRECT("tblSites[Site]"),_xlpm.ActCol,INDIRECT("tblSites[Site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9" s="21" cm="1">
        <f t="array" aca="1" ref="AB19" ca="1">IF(AB$5&lt;=TODAY(),0,IF($B19="","",IFERROR(_xlfn.LET(_xlpm.Site,$B19,_xlpm.SiteCol,INDIRECT("tblSites[Site]"),_xlpm.ActCol,INDIRECT("tblSites[Site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9" s="21" cm="1">
        <f t="array" aca="1" ref="AC19" ca="1">IF(AC$5&lt;=TODAY(),0,IF($B19="","",IFERROR(_xlfn.LET(_xlpm.Site,$B19,_xlpm.SiteCol,INDIRECT("tblSites[Site]"),_xlpm.ActCol,INDIRECT("tblSites[Site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20" spans="1:29" x14ac:dyDescent="0.25">
      <c r="C20" s="21" cm="1">
        <f t="array" aca="1" ref="C20" ca="1">IF(C$5&lt;=TODAY(),0,IF($B20="","",IFERROR(_xlfn.LET(_xlpm.Site,$B20,_xlpm.SiteCol,INDIRECT("tblSites[Site]"),_xlpm.ActCol,INDIRECT("tblSites[Site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0" s="21" cm="1">
        <f t="array" aca="1" ref="D20" ca="1">IF(D$5&lt;=TODAY(),0,IF($B20="","",IFERROR(_xlfn.LET(_xlpm.Site,$B20,_xlpm.SiteCol,INDIRECT("tblSites[Site]"),_xlpm.ActCol,INDIRECT("tblSites[Site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0" s="21" cm="1">
        <f t="array" aca="1" ref="E20" ca="1">IF(E$5&lt;=TODAY(),0,IF($B20="","",IFERROR(_xlfn.LET(_xlpm.Site,$B20,_xlpm.SiteCol,INDIRECT("tblSites[Site]"),_xlpm.ActCol,INDIRECT("tblSites[Site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0" s="21" cm="1">
        <f t="array" aca="1" ref="F20" ca="1">IF(F$5&lt;=TODAY(),0,IF($B20="","",IFERROR(_xlfn.LET(_xlpm.Site,$B20,_xlpm.SiteCol,INDIRECT("tblSites[Site]"),_xlpm.ActCol,INDIRECT("tblSites[Site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0" s="21" cm="1">
        <f t="array" aca="1" ref="G20" ca="1">IF(G$5&lt;=TODAY(),0,IF($B20="","",IFERROR(_xlfn.LET(_xlpm.Site,$B20,_xlpm.SiteCol,INDIRECT("tblSites[Site]"),_xlpm.ActCol,INDIRECT("tblSites[Site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0" s="21" cm="1">
        <f t="array" aca="1" ref="H20" ca="1">IF(H$5&lt;=TODAY(),0,IF($B20="","",IFERROR(_xlfn.LET(_xlpm.Site,$B20,_xlpm.SiteCol,INDIRECT("tblSites[Site]"),_xlpm.ActCol,INDIRECT("tblSites[Site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0" s="21" cm="1">
        <f t="array" aca="1" ref="I20" ca="1">IF(I$5&lt;=TODAY(),0,IF($B20="","",IFERROR(_xlfn.LET(_xlpm.Site,$B20,_xlpm.SiteCol,INDIRECT("tblSites[Site]"),_xlpm.ActCol,INDIRECT("tblSites[Site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0" s="21" t="str" cm="1">
        <f t="array" aca="1" ref="J20" ca="1">IF(J$5&lt;=TODAY(),0,IF($B20="","",IFERROR(_xlfn.LET(_xlpm.Site,$B20,_xlpm.SiteCol,INDIRECT("tblSites[Site]"),_xlpm.ActCol,INDIRECT("tblSites[Site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0" s="21" t="str" cm="1">
        <f t="array" aca="1" ref="K20" ca="1">IF(K$5&lt;=TODAY(),0,IF($B20="","",IFERROR(_xlfn.LET(_xlpm.Site,$B20,_xlpm.SiteCol,INDIRECT("tblSites[Site]"),_xlpm.ActCol,INDIRECT("tblSites[Site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0" s="21" t="str" cm="1">
        <f t="array" aca="1" ref="L20" ca="1">IF(L$5&lt;=TODAY(),0,IF($B20="","",IFERROR(_xlfn.LET(_xlpm.Site,$B20,_xlpm.SiteCol,INDIRECT("tblSites[Site]"),_xlpm.ActCol,INDIRECT("tblSites[Site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0" s="21" t="str" cm="1">
        <f t="array" aca="1" ref="M20" ca="1">IF(M$5&lt;=TODAY(),0,IF($B20="","",IFERROR(_xlfn.LET(_xlpm.Site,$B20,_xlpm.SiteCol,INDIRECT("tblSites[Site]"),_xlpm.ActCol,INDIRECT("tblSites[Site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0" s="21" t="str" cm="1">
        <f t="array" aca="1" ref="N20" ca="1">IF(N$5&lt;=TODAY(),0,IF($B20="","",IFERROR(_xlfn.LET(_xlpm.Site,$B20,_xlpm.SiteCol,INDIRECT("tblSites[Site]"),_xlpm.ActCol,INDIRECT("tblSites[Site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0" s="21" t="str" cm="1">
        <f t="array" aca="1" ref="O20" ca="1">IF(O$5&lt;=TODAY(),0,IF($B20="","",IFERROR(_xlfn.LET(_xlpm.Site,$B20,_xlpm.SiteCol,INDIRECT("tblSites[Site]"),_xlpm.ActCol,INDIRECT("tblSites[Site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0" s="21" t="str" cm="1">
        <f t="array" aca="1" ref="P20" ca="1">IF(P$5&lt;=TODAY(),0,IF($B20="","",IFERROR(_xlfn.LET(_xlpm.Site,$B20,_xlpm.SiteCol,INDIRECT("tblSites[Site]"),_xlpm.ActCol,INDIRECT("tblSites[Site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0" s="21" t="str" cm="1">
        <f t="array" aca="1" ref="Q20" ca="1">IF(Q$5&lt;=TODAY(),0,IF($B20="","",IFERROR(_xlfn.LET(_xlpm.Site,$B20,_xlpm.SiteCol,INDIRECT("tblSites[Site]"),_xlpm.ActCol,INDIRECT("tblSites[Site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0" s="21" t="str" cm="1">
        <f t="array" aca="1" ref="R20" ca="1">IF(R$5&lt;=TODAY(),0,IF($B20="","",IFERROR(_xlfn.LET(_xlpm.Site,$B20,_xlpm.SiteCol,INDIRECT("tblSites[Site]"),_xlpm.ActCol,INDIRECT("tblSites[Site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0" s="21" t="str" cm="1">
        <f t="array" aca="1" ref="S20" ca="1">IF(S$5&lt;=TODAY(),0,IF($B20="","",IFERROR(_xlfn.LET(_xlpm.Site,$B20,_xlpm.SiteCol,INDIRECT("tblSites[Site]"),_xlpm.ActCol,INDIRECT("tblSites[Site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0" s="21" t="str" cm="1">
        <f t="array" aca="1" ref="T20" ca="1">IF(T$5&lt;=TODAY(),0,IF($B20="","",IFERROR(_xlfn.LET(_xlpm.Site,$B20,_xlpm.SiteCol,INDIRECT("tblSites[Site]"),_xlpm.ActCol,INDIRECT("tblSites[Site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0" s="21" t="str" cm="1">
        <f t="array" aca="1" ref="U20" ca="1">IF(U$5&lt;=TODAY(),0,IF($B20="","",IFERROR(_xlfn.LET(_xlpm.Site,$B20,_xlpm.SiteCol,INDIRECT("tblSites[Site]"),_xlpm.ActCol,INDIRECT("tblSites[Site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0" s="21" t="str" cm="1">
        <f t="array" aca="1" ref="V20" ca="1">IF(V$5&lt;=TODAY(),0,IF($B20="","",IFERROR(_xlfn.LET(_xlpm.Site,$B20,_xlpm.SiteCol,INDIRECT("tblSites[Site]"),_xlpm.ActCol,INDIRECT("tblSites[Site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0" s="21" t="str" cm="1">
        <f t="array" aca="1" ref="W20" ca="1">IF(W$5&lt;=TODAY(),0,IF($B20="","",IFERROR(_xlfn.LET(_xlpm.Site,$B20,_xlpm.SiteCol,INDIRECT("tblSites[Site]"),_xlpm.ActCol,INDIRECT("tblSites[Site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0" s="21" t="str" cm="1">
        <f t="array" aca="1" ref="X20" ca="1">IF(X$5&lt;=TODAY(),0,IF($B20="","",IFERROR(_xlfn.LET(_xlpm.Site,$B20,_xlpm.SiteCol,INDIRECT("tblSites[Site]"),_xlpm.ActCol,INDIRECT("tblSites[Site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0" s="21" t="str" cm="1">
        <f t="array" aca="1" ref="Y20" ca="1">IF(Y$5&lt;=TODAY(),0,IF($B20="","",IFERROR(_xlfn.LET(_xlpm.Site,$B20,_xlpm.SiteCol,INDIRECT("tblSites[Site]"),_xlpm.ActCol,INDIRECT("tblSites[Site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0" s="21" t="str" cm="1">
        <f t="array" aca="1" ref="Z20" ca="1">IF(Z$5&lt;=TODAY(),0,IF($B20="","",IFERROR(_xlfn.LET(_xlpm.Site,$B20,_xlpm.SiteCol,INDIRECT("tblSites[Site]"),_xlpm.ActCol,INDIRECT("tblSites[Site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0" s="21" t="str" cm="1">
        <f t="array" aca="1" ref="AA20" ca="1">IF(AA$5&lt;=TODAY(),0,IF($B20="","",IFERROR(_xlfn.LET(_xlpm.Site,$B20,_xlpm.SiteCol,INDIRECT("tblSites[Site]"),_xlpm.ActCol,INDIRECT("tblSites[Site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0" s="21" t="str" cm="1">
        <f t="array" aca="1" ref="AB20" ca="1">IF(AB$5&lt;=TODAY(),0,IF($B20="","",IFERROR(_xlfn.LET(_xlpm.Site,$B20,_xlpm.SiteCol,INDIRECT("tblSites[Site]"),_xlpm.ActCol,INDIRECT("tblSites[Site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0" s="21" t="str" cm="1">
        <f t="array" aca="1" ref="AC20" ca="1">IF(AC$5&lt;=TODAY(),0,IF($B20="","",IFERROR(_xlfn.LET(_xlpm.Site,$B20,_xlpm.SiteCol,INDIRECT("tblSites[Site]"),_xlpm.ActCol,INDIRECT("tblSites[Site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1" spans="1:29" x14ac:dyDescent="0.25">
      <c r="C21" s="21" cm="1">
        <f t="array" aca="1" ref="C21" ca="1">IF(C$5&lt;=TODAY(),0,IF($B21="","",IFERROR(_xlfn.LET(_xlpm.Site,$B21,_xlpm.SiteCol,INDIRECT("tblSites[Site]"),_xlpm.ActCol,INDIRECT("tblSites[Site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1" s="21" cm="1">
        <f t="array" aca="1" ref="D21" ca="1">IF(D$5&lt;=TODAY(),0,IF($B21="","",IFERROR(_xlfn.LET(_xlpm.Site,$B21,_xlpm.SiteCol,INDIRECT("tblSites[Site]"),_xlpm.ActCol,INDIRECT("tblSites[Site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1" s="21" cm="1">
        <f t="array" aca="1" ref="E21" ca="1">IF(E$5&lt;=TODAY(),0,IF($B21="","",IFERROR(_xlfn.LET(_xlpm.Site,$B21,_xlpm.SiteCol,INDIRECT("tblSites[Site]"),_xlpm.ActCol,INDIRECT("tblSites[Site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1" s="21" cm="1">
        <f t="array" aca="1" ref="F21" ca="1">IF(F$5&lt;=TODAY(),0,IF($B21="","",IFERROR(_xlfn.LET(_xlpm.Site,$B21,_xlpm.SiteCol,INDIRECT("tblSites[Site]"),_xlpm.ActCol,INDIRECT("tblSites[Site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1" s="21" cm="1">
        <f t="array" aca="1" ref="G21" ca="1">IF(G$5&lt;=TODAY(),0,IF($B21="","",IFERROR(_xlfn.LET(_xlpm.Site,$B21,_xlpm.SiteCol,INDIRECT("tblSites[Site]"),_xlpm.ActCol,INDIRECT("tblSites[Site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1" s="21" cm="1">
        <f t="array" aca="1" ref="H21" ca="1">IF(H$5&lt;=TODAY(),0,IF($B21="","",IFERROR(_xlfn.LET(_xlpm.Site,$B21,_xlpm.SiteCol,INDIRECT("tblSites[Site]"),_xlpm.ActCol,INDIRECT("tblSites[Site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1" s="21" cm="1">
        <f t="array" aca="1" ref="I21" ca="1">IF(I$5&lt;=TODAY(),0,IF($B21="","",IFERROR(_xlfn.LET(_xlpm.Site,$B21,_xlpm.SiteCol,INDIRECT("tblSites[Site]"),_xlpm.ActCol,INDIRECT("tblSites[Site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1" s="21" t="str" cm="1">
        <f t="array" aca="1" ref="J21" ca="1">IF(J$5&lt;=TODAY(),0,IF($B21="","",IFERROR(_xlfn.LET(_xlpm.Site,$B21,_xlpm.SiteCol,INDIRECT("tblSites[Site]"),_xlpm.ActCol,INDIRECT("tblSites[Site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1" s="21" t="str" cm="1">
        <f t="array" aca="1" ref="K21" ca="1">IF(K$5&lt;=TODAY(),0,IF($B21="","",IFERROR(_xlfn.LET(_xlpm.Site,$B21,_xlpm.SiteCol,INDIRECT("tblSites[Site]"),_xlpm.ActCol,INDIRECT("tblSites[Site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1" s="21" t="str" cm="1">
        <f t="array" aca="1" ref="L21" ca="1">IF(L$5&lt;=TODAY(),0,IF($B21="","",IFERROR(_xlfn.LET(_xlpm.Site,$B21,_xlpm.SiteCol,INDIRECT("tblSites[Site]"),_xlpm.ActCol,INDIRECT("tblSites[Site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1" s="21" t="str" cm="1">
        <f t="array" aca="1" ref="M21" ca="1">IF(M$5&lt;=TODAY(),0,IF($B21="","",IFERROR(_xlfn.LET(_xlpm.Site,$B21,_xlpm.SiteCol,INDIRECT("tblSites[Site]"),_xlpm.ActCol,INDIRECT("tblSites[Site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1" s="21" t="str" cm="1">
        <f t="array" aca="1" ref="N21" ca="1">IF(N$5&lt;=TODAY(),0,IF($B21="","",IFERROR(_xlfn.LET(_xlpm.Site,$B21,_xlpm.SiteCol,INDIRECT("tblSites[Site]"),_xlpm.ActCol,INDIRECT("tblSites[Site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1" s="21" t="str" cm="1">
        <f t="array" aca="1" ref="O21" ca="1">IF(O$5&lt;=TODAY(),0,IF($B21="","",IFERROR(_xlfn.LET(_xlpm.Site,$B21,_xlpm.SiteCol,INDIRECT("tblSites[Site]"),_xlpm.ActCol,INDIRECT("tblSites[Site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1" s="21" t="str" cm="1">
        <f t="array" aca="1" ref="P21" ca="1">IF(P$5&lt;=TODAY(),0,IF($B21="","",IFERROR(_xlfn.LET(_xlpm.Site,$B21,_xlpm.SiteCol,INDIRECT("tblSites[Site]"),_xlpm.ActCol,INDIRECT("tblSites[Site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1" s="21" t="str" cm="1">
        <f t="array" aca="1" ref="Q21" ca="1">IF(Q$5&lt;=TODAY(),0,IF($B21="","",IFERROR(_xlfn.LET(_xlpm.Site,$B21,_xlpm.SiteCol,INDIRECT("tblSites[Site]"),_xlpm.ActCol,INDIRECT("tblSites[Site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1" s="21" t="str" cm="1">
        <f t="array" aca="1" ref="R21" ca="1">IF(R$5&lt;=TODAY(),0,IF($B21="","",IFERROR(_xlfn.LET(_xlpm.Site,$B21,_xlpm.SiteCol,INDIRECT("tblSites[Site]"),_xlpm.ActCol,INDIRECT("tblSites[Site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1" s="21" t="str" cm="1">
        <f t="array" aca="1" ref="S21" ca="1">IF(S$5&lt;=TODAY(),0,IF($B21="","",IFERROR(_xlfn.LET(_xlpm.Site,$B21,_xlpm.SiteCol,INDIRECT("tblSites[Site]"),_xlpm.ActCol,INDIRECT("tblSites[Site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1" s="21" t="str" cm="1">
        <f t="array" aca="1" ref="T21" ca="1">IF(T$5&lt;=TODAY(),0,IF($B21="","",IFERROR(_xlfn.LET(_xlpm.Site,$B21,_xlpm.SiteCol,INDIRECT("tblSites[Site]"),_xlpm.ActCol,INDIRECT("tblSites[Site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1" s="21" t="str" cm="1">
        <f t="array" aca="1" ref="U21" ca="1">IF(U$5&lt;=TODAY(),0,IF($B21="","",IFERROR(_xlfn.LET(_xlpm.Site,$B21,_xlpm.SiteCol,INDIRECT("tblSites[Site]"),_xlpm.ActCol,INDIRECT("tblSites[Site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1" s="21" t="str" cm="1">
        <f t="array" aca="1" ref="V21" ca="1">IF(V$5&lt;=TODAY(),0,IF($B21="","",IFERROR(_xlfn.LET(_xlpm.Site,$B21,_xlpm.SiteCol,INDIRECT("tblSites[Site]"),_xlpm.ActCol,INDIRECT("tblSites[Site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1" s="21" t="str" cm="1">
        <f t="array" aca="1" ref="W21" ca="1">IF(W$5&lt;=TODAY(),0,IF($B21="","",IFERROR(_xlfn.LET(_xlpm.Site,$B21,_xlpm.SiteCol,INDIRECT("tblSites[Site]"),_xlpm.ActCol,INDIRECT("tblSites[Site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1" s="21" t="str" cm="1">
        <f t="array" aca="1" ref="X21" ca="1">IF(X$5&lt;=TODAY(),0,IF($B21="","",IFERROR(_xlfn.LET(_xlpm.Site,$B21,_xlpm.SiteCol,INDIRECT("tblSites[Site]"),_xlpm.ActCol,INDIRECT("tblSites[Site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1" s="21" t="str" cm="1">
        <f t="array" aca="1" ref="Y21" ca="1">IF(Y$5&lt;=TODAY(),0,IF($B21="","",IFERROR(_xlfn.LET(_xlpm.Site,$B21,_xlpm.SiteCol,INDIRECT("tblSites[Site]"),_xlpm.ActCol,INDIRECT("tblSites[Site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1" s="21" t="str" cm="1">
        <f t="array" aca="1" ref="Z21" ca="1">IF(Z$5&lt;=TODAY(),0,IF($B21="","",IFERROR(_xlfn.LET(_xlpm.Site,$B21,_xlpm.SiteCol,INDIRECT("tblSites[Site]"),_xlpm.ActCol,INDIRECT("tblSites[Site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1" s="21" t="str" cm="1">
        <f t="array" aca="1" ref="AA21" ca="1">IF(AA$5&lt;=TODAY(),0,IF($B21="","",IFERROR(_xlfn.LET(_xlpm.Site,$B21,_xlpm.SiteCol,INDIRECT("tblSites[Site]"),_xlpm.ActCol,INDIRECT("tblSites[Site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1" s="21" t="str" cm="1">
        <f t="array" aca="1" ref="AB21" ca="1">IF(AB$5&lt;=TODAY(),0,IF($B21="","",IFERROR(_xlfn.LET(_xlpm.Site,$B21,_xlpm.SiteCol,INDIRECT("tblSites[Site]"),_xlpm.ActCol,INDIRECT("tblSites[Site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1" s="21" t="str" cm="1">
        <f t="array" aca="1" ref="AC21" ca="1">IF(AC$5&lt;=TODAY(),0,IF($B21="","",IFERROR(_xlfn.LET(_xlpm.Site,$B21,_xlpm.SiteCol,INDIRECT("tblSites[Site]"),_xlpm.ActCol,INDIRECT("tblSites[Site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2" spans="1:29" x14ac:dyDescent="0.25">
      <c r="C22" s="21" cm="1">
        <f t="array" aca="1" ref="C22" ca="1">IF(C$5&lt;=TODAY(),0,IF($B22="","",IFERROR(_xlfn.LET(_xlpm.Site,$B22,_xlpm.SiteCol,INDIRECT("tblSites[Site]"),_xlpm.ActCol,INDIRECT("tblSites[Site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2" s="21" cm="1">
        <f t="array" aca="1" ref="D22" ca="1">IF(D$5&lt;=TODAY(),0,IF($B22="","",IFERROR(_xlfn.LET(_xlpm.Site,$B22,_xlpm.SiteCol,INDIRECT("tblSites[Site]"),_xlpm.ActCol,INDIRECT("tblSites[Site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2" s="21" cm="1">
        <f t="array" aca="1" ref="E22" ca="1">IF(E$5&lt;=TODAY(),0,IF($B22="","",IFERROR(_xlfn.LET(_xlpm.Site,$B22,_xlpm.SiteCol,INDIRECT("tblSites[Site]"),_xlpm.ActCol,INDIRECT("tblSites[Site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2" s="21" cm="1">
        <f t="array" aca="1" ref="F22" ca="1">IF(F$5&lt;=TODAY(),0,IF($B22="","",IFERROR(_xlfn.LET(_xlpm.Site,$B22,_xlpm.SiteCol,INDIRECT("tblSites[Site]"),_xlpm.ActCol,INDIRECT("tblSites[Site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2" s="21" cm="1">
        <f t="array" aca="1" ref="G22" ca="1">IF(G$5&lt;=TODAY(),0,IF($B22="","",IFERROR(_xlfn.LET(_xlpm.Site,$B22,_xlpm.SiteCol,INDIRECT("tblSites[Site]"),_xlpm.ActCol,INDIRECT("tblSites[Site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2" s="21" cm="1">
        <f t="array" aca="1" ref="H22" ca="1">IF(H$5&lt;=TODAY(),0,IF($B22="","",IFERROR(_xlfn.LET(_xlpm.Site,$B22,_xlpm.SiteCol,INDIRECT("tblSites[Site]"),_xlpm.ActCol,INDIRECT("tblSites[Site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2" s="21" cm="1">
        <f t="array" aca="1" ref="I22" ca="1">IF(I$5&lt;=TODAY(),0,IF($B22="","",IFERROR(_xlfn.LET(_xlpm.Site,$B22,_xlpm.SiteCol,INDIRECT("tblSites[Site]"),_xlpm.ActCol,INDIRECT("tblSites[Site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2" s="21" t="str" cm="1">
        <f t="array" aca="1" ref="J22" ca="1">IF(J$5&lt;=TODAY(),0,IF($B22="","",IFERROR(_xlfn.LET(_xlpm.Site,$B22,_xlpm.SiteCol,INDIRECT("tblSites[Site]"),_xlpm.ActCol,INDIRECT("tblSites[Site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2" s="21" t="str" cm="1">
        <f t="array" aca="1" ref="K22" ca="1">IF(K$5&lt;=TODAY(),0,IF($B22="","",IFERROR(_xlfn.LET(_xlpm.Site,$B22,_xlpm.SiteCol,INDIRECT("tblSites[Site]"),_xlpm.ActCol,INDIRECT("tblSites[Site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2" s="21" t="str" cm="1">
        <f t="array" aca="1" ref="L22" ca="1">IF(L$5&lt;=TODAY(),0,IF($B22="","",IFERROR(_xlfn.LET(_xlpm.Site,$B22,_xlpm.SiteCol,INDIRECT("tblSites[Site]"),_xlpm.ActCol,INDIRECT("tblSites[Site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2" s="21" t="str" cm="1">
        <f t="array" aca="1" ref="M22" ca="1">IF(M$5&lt;=TODAY(),0,IF($B22="","",IFERROR(_xlfn.LET(_xlpm.Site,$B22,_xlpm.SiteCol,INDIRECT("tblSites[Site]"),_xlpm.ActCol,INDIRECT("tblSites[Site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2" s="21" t="str" cm="1">
        <f t="array" aca="1" ref="N22" ca="1">IF(N$5&lt;=TODAY(),0,IF($B22="","",IFERROR(_xlfn.LET(_xlpm.Site,$B22,_xlpm.SiteCol,INDIRECT("tblSites[Site]"),_xlpm.ActCol,INDIRECT("tblSites[Site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2" s="21" t="str" cm="1">
        <f t="array" aca="1" ref="O22" ca="1">IF(O$5&lt;=TODAY(),0,IF($B22="","",IFERROR(_xlfn.LET(_xlpm.Site,$B22,_xlpm.SiteCol,INDIRECT("tblSites[Site]"),_xlpm.ActCol,INDIRECT("tblSites[Site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2" s="21" t="str" cm="1">
        <f t="array" aca="1" ref="P22" ca="1">IF(P$5&lt;=TODAY(),0,IF($B22="","",IFERROR(_xlfn.LET(_xlpm.Site,$B22,_xlpm.SiteCol,INDIRECT("tblSites[Site]"),_xlpm.ActCol,INDIRECT("tblSites[Site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2" s="21" t="str" cm="1">
        <f t="array" aca="1" ref="Q22" ca="1">IF(Q$5&lt;=TODAY(),0,IF($B22="","",IFERROR(_xlfn.LET(_xlpm.Site,$B22,_xlpm.SiteCol,INDIRECT("tblSites[Site]"),_xlpm.ActCol,INDIRECT("tblSites[Site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2" s="21" t="str" cm="1">
        <f t="array" aca="1" ref="R22" ca="1">IF(R$5&lt;=TODAY(),0,IF($B22="","",IFERROR(_xlfn.LET(_xlpm.Site,$B22,_xlpm.SiteCol,INDIRECT("tblSites[Site]"),_xlpm.ActCol,INDIRECT("tblSites[Site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2" s="21" t="str" cm="1">
        <f t="array" aca="1" ref="S22" ca="1">IF(S$5&lt;=TODAY(),0,IF($B22="","",IFERROR(_xlfn.LET(_xlpm.Site,$B22,_xlpm.SiteCol,INDIRECT("tblSites[Site]"),_xlpm.ActCol,INDIRECT("tblSites[Site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2" s="21" t="str" cm="1">
        <f t="array" aca="1" ref="T22" ca="1">IF(T$5&lt;=TODAY(),0,IF($B22="","",IFERROR(_xlfn.LET(_xlpm.Site,$B22,_xlpm.SiteCol,INDIRECT("tblSites[Site]"),_xlpm.ActCol,INDIRECT("tblSites[Site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2" s="21" t="str" cm="1">
        <f t="array" aca="1" ref="U22" ca="1">IF(U$5&lt;=TODAY(),0,IF($B22="","",IFERROR(_xlfn.LET(_xlpm.Site,$B22,_xlpm.SiteCol,INDIRECT("tblSites[Site]"),_xlpm.ActCol,INDIRECT("tblSites[Site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2" s="21" t="str" cm="1">
        <f t="array" aca="1" ref="V22" ca="1">IF(V$5&lt;=TODAY(),0,IF($B22="","",IFERROR(_xlfn.LET(_xlpm.Site,$B22,_xlpm.SiteCol,INDIRECT("tblSites[Site]"),_xlpm.ActCol,INDIRECT("tblSites[Site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2" s="21" t="str" cm="1">
        <f t="array" aca="1" ref="W22" ca="1">IF(W$5&lt;=TODAY(),0,IF($B22="","",IFERROR(_xlfn.LET(_xlpm.Site,$B22,_xlpm.SiteCol,INDIRECT("tblSites[Site]"),_xlpm.ActCol,INDIRECT("tblSites[Site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2" s="21" t="str" cm="1">
        <f t="array" aca="1" ref="X22" ca="1">IF(X$5&lt;=TODAY(),0,IF($B22="","",IFERROR(_xlfn.LET(_xlpm.Site,$B22,_xlpm.SiteCol,INDIRECT("tblSites[Site]"),_xlpm.ActCol,INDIRECT("tblSites[Site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2" s="21" t="str" cm="1">
        <f t="array" aca="1" ref="Y22" ca="1">IF(Y$5&lt;=TODAY(),0,IF($B22="","",IFERROR(_xlfn.LET(_xlpm.Site,$B22,_xlpm.SiteCol,INDIRECT("tblSites[Site]"),_xlpm.ActCol,INDIRECT("tblSites[Site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2" s="21" t="str" cm="1">
        <f t="array" aca="1" ref="Z22" ca="1">IF(Z$5&lt;=TODAY(),0,IF($B22="","",IFERROR(_xlfn.LET(_xlpm.Site,$B22,_xlpm.SiteCol,INDIRECT("tblSites[Site]"),_xlpm.ActCol,INDIRECT("tblSites[Site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2" s="21" t="str" cm="1">
        <f t="array" aca="1" ref="AA22" ca="1">IF(AA$5&lt;=TODAY(),0,IF($B22="","",IFERROR(_xlfn.LET(_xlpm.Site,$B22,_xlpm.SiteCol,INDIRECT("tblSites[Site]"),_xlpm.ActCol,INDIRECT("tblSites[Site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2" s="21" t="str" cm="1">
        <f t="array" aca="1" ref="AB22" ca="1">IF(AB$5&lt;=TODAY(),0,IF($B22="","",IFERROR(_xlfn.LET(_xlpm.Site,$B22,_xlpm.SiteCol,INDIRECT("tblSites[Site]"),_xlpm.ActCol,INDIRECT("tblSites[Site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2" s="21" t="str" cm="1">
        <f t="array" aca="1" ref="AC22" ca="1">IF(AC$5&lt;=TODAY(),0,IF($B22="","",IFERROR(_xlfn.LET(_xlpm.Site,$B22,_xlpm.SiteCol,INDIRECT("tblSites[Site]"),_xlpm.ActCol,INDIRECT("tblSites[Site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3" spans="1:29" x14ac:dyDescent="0.25">
      <c r="C23" s="21" cm="1">
        <f t="array" aca="1" ref="C23" ca="1">IF(C$5&lt;=TODAY(),0,IF($B23="","",IFERROR(_xlfn.LET(_xlpm.Site,$B23,_xlpm.SiteCol,INDIRECT("tblSites[Site]"),_xlpm.ActCol,INDIRECT("tblSites[Site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3" s="21" cm="1">
        <f t="array" aca="1" ref="D23" ca="1">IF(D$5&lt;=TODAY(),0,IF($B23="","",IFERROR(_xlfn.LET(_xlpm.Site,$B23,_xlpm.SiteCol,INDIRECT("tblSites[Site]"),_xlpm.ActCol,INDIRECT("tblSites[Site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3" s="21" cm="1">
        <f t="array" aca="1" ref="E23" ca="1">IF(E$5&lt;=TODAY(),0,IF($B23="","",IFERROR(_xlfn.LET(_xlpm.Site,$B23,_xlpm.SiteCol,INDIRECT("tblSites[Site]"),_xlpm.ActCol,INDIRECT("tblSites[Site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3" s="21" cm="1">
        <f t="array" aca="1" ref="F23" ca="1">IF(F$5&lt;=TODAY(),0,IF($B23="","",IFERROR(_xlfn.LET(_xlpm.Site,$B23,_xlpm.SiteCol,INDIRECT("tblSites[Site]"),_xlpm.ActCol,INDIRECT("tblSites[Site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3" s="21" cm="1">
        <f t="array" aca="1" ref="G23" ca="1">IF(G$5&lt;=TODAY(),0,IF($B23="","",IFERROR(_xlfn.LET(_xlpm.Site,$B23,_xlpm.SiteCol,INDIRECT("tblSites[Site]"),_xlpm.ActCol,INDIRECT("tblSites[Site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3" s="21" cm="1">
        <f t="array" aca="1" ref="H23" ca="1">IF(H$5&lt;=TODAY(),0,IF($B23="","",IFERROR(_xlfn.LET(_xlpm.Site,$B23,_xlpm.SiteCol,INDIRECT("tblSites[Site]"),_xlpm.ActCol,INDIRECT("tblSites[Site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3" s="21" cm="1">
        <f t="array" aca="1" ref="I23" ca="1">IF(I$5&lt;=TODAY(),0,IF($B23="","",IFERROR(_xlfn.LET(_xlpm.Site,$B23,_xlpm.SiteCol,INDIRECT("tblSites[Site]"),_xlpm.ActCol,INDIRECT("tblSites[Site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3" s="21" t="str" cm="1">
        <f t="array" aca="1" ref="J23" ca="1">IF(J$5&lt;=TODAY(),0,IF($B23="","",IFERROR(_xlfn.LET(_xlpm.Site,$B23,_xlpm.SiteCol,INDIRECT("tblSites[Site]"),_xlpm.ActCol,INDIRECT("tblSites[Site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3" s="21" t="str" cm="1">
        <f t="array" aca="1" ref="K23" ca="1">IF(K$5&lt;=TODAY(),0,IF($B23="","",IFERROR(_xlfn.LET(_xlpm.Site,$B23,_xlpm.SiteCol,INDIRECT("tblSites[Site]"),_xlpm.ActCol,INDIRECT("tblSites[Site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3" s="21" t="str" cm="1">
        <f t="array" aca="1" ref="L23" ca="1">IF(L$5&lt;=TODAY(),0,IF($B23="","",IFERROR(_xlfn.LET(_xlpm.Site,$B23,_xlpm.SiteCol,INDIRECT("tblSites[Site]"),_xlpm.ActCol,INDIRECT("tblSites[Site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3" s="21" t="str" cm="1">
        <f t="array" aca="1" ref="M23" ca="1">IF(M$5&lt;=TODAY(),0,IF($B23="","",IFERROR(_xlfn.LET(_xlpm.Site,$B23,_xlpm.SiteCol,INDIRECT("tblSites[Site]"),_xlpm.ActCol,INDIRECT("tblSites[Site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3" s="21" t="str" cm="1">
        <f t="array" aca="1" ref="N23" ca="1">IF(N$5&lt;=TODAY(),0,IF($B23="","",IFERROR(_xlfn.LET(_xlpm.Site,$B23,_xlpm.SiteCol,INDIRECT("tblSites[Site]"),_xlpm.ActCol,INDIRECT("tblSites[Site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3" s="21" t="str" cm="1">
        <f t="array" aca="1" ref="O23" ca="1">IF(O$5&lt;=TODAY(),0,IF($B23="","",IFERROR(_xlfn.LET(_xlpm.Site,$B23,_xlpm.SiteCol,INDIRECT("tblSites[Site]"),_xlpm.ActCol,INDIRECT("tblSites[Site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3" s="21" t="str" cm="1">
        <f t="array" aca="1" ref="P23" ca="1">IF(P$5&lt;=TODAY(),0,IF($B23="","",IFERROR(_xlfn.LET(_xlpm.Site,$B23,_xlpm.SiteCol,INDIRECT("tblSites[Site]"),_xlpm.ActCol,INDIRECT("tblSites[Site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3" s="21" t="str" cm="1">
        <f t="array" aca="1" ref="Q23" ca="1">IF(Q$5&lt;=TODAY(),0,IF($B23="","",IFERROR(_xlfn.LET(_xlpm.Site,$B23,_xlpm.SiteCol,INDIRECT("tblSites[Site]"),_xlpm.ActCol,INDIRECT("tblSites[Site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3" s="21" t="str" cm="1">
        <f t="array" aca="1" ref="R23" ca="1">IF(R$5&lt;=TODAY(),0,IF($B23="","",IFERROR(_xlfn.LET(_xlpm.Site,$B23,_xlpm.SiteCol,INDIRECT("tblSites[Site]"),_xlpm.ActCol,INDIRECT("tblSites[Site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3" s="21" t="str" cm="1">
        <f t="array" aca="1" ref="S23" ca="1">IF(S$5&lt;=TODAY(),0,IF($B23="","",IFERROR(_xlfn.LET(_xlpm.Site,$B23,_xlpm.SiteCol,INDIRECT("tblSites[Site]"),_xlpm.ActCol,INDIRECT("tblSites[Site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3" s="21" t="str" cm="1">
        <f t="array" aca="1" ref="T23" ca="1">IF(T$5&lt;=TODAY(),0,IF($B23="","",IFERROR(_xlfn.LET(_xlpm.Site,$B23,_xlpm.SiteCol,INDIRECT("tblSites[Site]"),_xlpm.ActCol,INDIRECT("tblSites[Site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3" s="21" t="str" cm="1">
        <f t="array" aca="1" ref="U23" ca="1">IF(U$5&lt;=TODAY(),0,IF($B23="","",IFERROR(_xlfn.LET(_xlpm.Site,$B23,_xlpm.SiteCol,INDIRECT("tblSites[Site]"),_xlpm.ActCol,INDIRECT("tblSites[Site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3" s="21" t="str" cm="1">
        <f t="array" aca="1" ref="V23" ca="1">IF(V$5&lt;=TODAY(),0,IF($B23="","",IFERROR(_xlfn.LET(_xlpm.Site,$B23,_xlpm.SiteCol,INDIRECT("tblSites[Site]"),_xlpm.ActCol,INDIRECT("tblSites[Site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3" s="21" t="str" cm="1">
        <f t="array" aca="1" ref="W23" ca="1">IF(W$5&lt;=TODAY(),0,IF($B23="","",IFERROR(_xlfn.LET(_xlpm.Site,$B23,_xlpm.SiteCol,INDIRECT("tblSites[Site]"),_xlpm.ActCol,INDIRECT("tblSites[Site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3" s="21" t="str" cm="1">
        <f t="array" aca="1" ref="X23" ca="1">IF(X$5&lt;=TODAY(),0,IF($B23="","",IFERROR(_xlfn.LET(_xlpm.Site,$B23,_xlpm.SiteCol,INDIRECT("tblSites[Site]"),_xlpm.ActCol,INDIRECT("tblSites[Site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3" s="21" t="str" cm="1">
        <f t="array" aca="1" ref="Y23" ca="1">IF(Y$5&lt;=TODAY(),0,IF($B23="","",IFERROR(_xlfn.LET(_xlpm.Site,$B23,_xlpm.SiteCol,INDIRECT("tblSites[Site]"),_xlpm.ActCol,INDIRECT("tblSites[Site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3" s="21" t="str" cm="1">
        <f t="array" aca="1" ref="Z23" ca="1">IF(Z$5&lt;=TODAY(),0,IF($B23="","",IFERROR(_xlfn.LET(_xlpm.Site,$B23,_xlpm.SiteCol,INDIRECT("tblSites[Site]"),_xlpm.ActCol,INDIRECT("tblSites[Site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3" s="21" t="str" cm="1">
        <f t="array" aca="1" ref="AA23" ca="1">IF(AA$5&lt;=TODAY(),0,IF($B23="","",IFERROR(_xlfn.LET(_xlpm.Site,$B23,_xlpm.SiteCol,INDIRECT("tblSites[Site]"),_xlpm.ActCol,INDIRECT("tblSites[Site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3" s="21" t="str" cm="1">
        <f t="array" aca="1" ref="AB23" ca="1">IF(AB$5&lt;=TODAY(),0,IF($B23="","",IFERROR(_xlfn.LET(_xlpm.Site,$B23,_xlpm.SiteCol,INDIRECT("tblSites[Site]"),_xlpm.ActCol,INDIRECT("tblSites[Site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3" s="21" t="str" cm="1">
        <f t="array" aca="1" ref="AC23" ca="1">IF(AC$5&lt;=TODAY(),0,IF($B23="","",IFERROR(_xlfn.LET(_xlpm.Site,$B23,_xlpm.SiteCol,INDIRECT("tblSites[Site]"),_xlpm.ActCol,INDIRECT("tblSites[Site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4" spans="1:29" x14ac:dyDescent="0.25">
      <c r="C24" s="21" cm="1">
        <f t="array" aca="1" ref="C24" ca="1">IF(C$5&lt;=TODAY(),0,IF($B24="","",IFERROR(_xlfn.LET(_xlpm.Site,$B24,_xlpm.SiteCol,INDIRECT("tblSites[Site]"),_xlpm.ActCol,INDIRECT("tblSites[Site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4" s="21" cm="1">
        <f t="array" aca="1" ref="D24" ca="1">IF(D$5&lt;=TODAY(),0,IF($B24="","",IFERROR(_xlfn.LET(_xlpm.Site,$B24,_xlpm.SiteCol,INDIRECT("tblSites[Site]"),_xlpm.ActCol,INDIRECT("tblSites[Site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4" s="21" cm="1">
        <f t="array" aca="1" ref="E24" ca="1">IF(E$5&lt;=TODAY(),0,IF($B24="","",IFERROR(_xlfn.LET(_xlpm.Site,$B24,_xlpm.SiteCol,INDIRECT("tblSites[Site]"),_xlpm.ActCol,INDIRECT("tblSites[Site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4" s="21" cm="1">
        <f t="array" aca="1" ref="F24" ca="1">IF(F$5&lt;=TODAY(),0,IF($B24="","",IFERROR(_xlfn.LET(_xlpm.Site,$B24,_xlpm.SiteCol,INDIRECT("tblSites[Site]"),_xlpm.ActCol,INDIRECT("tblSites[Site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4" s="21" cm="1">
        <f t="array" aca="1" ref="G24" ca="1">IF(G$5&lt;=TODAY(),0,IF($B24="","",IFERROR(_xlfn.LET(_xlpm.Site,$B24,_xlpm.SiteCol,INDIRECT("tblSites[Site]"),_xlpm.ActCol,INDIRECT("tblSites[Site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4" s="21" cm="1">
        <f t="array" aca="1" ref="H24" ca="1">IF(H$5&lt;=TODAY(),0,IF($B24="","",IFERROR(_xlfn.LET(_xlpm.Site,$B24,_xlpm.SiteCol,INDIRECT("tblSites[Site]"),_xlpm.ActCol,INDIRECT("tblSites[Site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4" s="21" cm="1">
        <f t="array" aca="1" ref="I24" ca="1">IF(I$5&lt;=TODAY(),0,IF($B24="","",IFERROR(_xlfn.LET(_xlpm.Site,$B24,_xlpm.SiteCol,INDIRECT("tblSites[Site]"),_xlpm.ActCol,INDIRECT("tblSites[Site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4" s="21" t="str" cm="1">
        <f t="array" aca="1" ref="J24" ca="1">IF(J$5&lt;=TODAY(),0,IF($B24="","",IFERROR(_xlfn.LET(_xlpm.Site,$B24,_xlpm.SiteCol,INDIRECT("tblSites[Site]"),_xlpm.ActCol,INDIRECT("tblSites[Site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4" s="21" t="str" cm="1">
        <f t="array" aca="1" ref="K24" ca="1">IF(K$5&lt;=TODAY(),0,IF($B24="","",IFERROR(_xlfn.LET(_xlpm.Site,$B24,_xlpm.SiteCol,INDIRECT("tblSites[Site]"),_xlpm.ActCol,INDIRECT("tblSites[Site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4" s="21" t="str" cm="1">
        <f t="array" aca="1" ref="L24" ca="1">IF(L$5&lt;=TODAY(),0,IF($B24="","",IFERROR(_xlfn.LET(_xlpm.Site,$B24,_xlpm.SiteCol,INDIRECT("tblSites[Site]"),_xlpm.ActCol,INDIRECT("tblSites[Site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4" s="21" t="str" cm="1">
        <f t="array" aca="1" ref="M24" ca="1">IF(M$5&lt;=TODAY(),0,IF($B24="","",IFERROR(_xlfn.LET(_xlpm.Site,$B24,_xlpm.SiteCol,INDIRECT("tblSites[Site]"),_xlpm.ActCol,INDIRECT("tblSites[Site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4" s="21" t="str" cm="1">
        <f t="array" aca="1" ref="N24" ca="1">IF(N$5&lt;=TODAY(),0,IF($B24="","",IFERROR(_xlfn.LET(_xlpm.Site,$B24,_xlpm.SiteCol,INDIRECT("tblSites[Site]"),_xlpm.ActCol,INDIRECT("tblSites[Site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4" s="21" t="str" cm="1">
        <f t="array" aca="1" ref="O24" ca="1">IF(O$5&lt;=TODAY(),0,IF($B24="","",IFERROR(_xlfn.LET(_xlpm.Site,$B24,_xlpm.SiteCol,INDIRECT("tblSites[Site]"),_xlpm.ActCol,INDIRECT("tblSites[Site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4" s="21" t="str" cm="1">
        <f t="array" aca="1" ref="P24" ca="1">IF(P$5&lt;=TODAY(),0,IF($B24="","",IFERROR(_xlfn.LET(_xlpm.Site,$B24,_xlpm.SiteCol,INDIRECT("tblSites[Site]"),_xlpm.ActCol,INDIRECT("tblSites[Site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4" s="21" t="str" cm="1">
        <f t="array" aca="1" ref="Q24" ca="1">IF(Q$5&lt;=TODAY(),0,IF($B24="","",IFERROR(_xlfn.LET(_xlpm.Site,$B24,_xlpm.SiteCol,INDIRECT("tblSites[Site]"),_xlpm.ActCol,INDIRECT("tblSites[Site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4" s="21" t="str" cm="1">
        <f t="array" aca="1" ref="R24" ca="1">IF(R$5&lt;=TODAY(),0,IF($B24="","",IFERROR(_xlfn.LET(_xlpm.Site,$B24,_xlpm.SiteCol,INDIRECT("tblSites[Site]"),_xlpm.ActCol,INDIRECT("tblSites[Site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4" s="21" t="str" cm="1">
        <f t="array" aca="1" ref="S24" ca="1">IF(S$5&lt;=TODAY(),0,IF($B24="","",IFERROR(_xlfn.LET(_xlpm.Site,$B24,_xlpm.SiteCol,INDIRECT("tblSites[Site]"),_xlpm.ActCol,INDIRECT("tblSites[Site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4" s="21" t="str" cm="1">
        <f t="array" aca="1" ref="T24" ca="1">IF(T$5&lt;=TODAY(),0,IF($B24="","",IFERROR(_xlfn.LET(_xlpm.Site,$B24,_xlpm.SiteCol,INDIRECT("tblSites[Site]"),_xlpm.ActCol,INDIRECT("tblSites[Site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4" s="21" t="str" cm="1">
        <f t="array" aca="1" ref="U24" ca="1">IF(U$5&lt;=TODAY(),0,IF($B24="","",IFERROR(_xlfn.LET(_xlpm.Site,$B24,_xlpm.SiteCol,INDIRECT("tblSites[Site]"),_xlpm.ActCol,INDIRECT("tblSites[Site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4" s="21" t="str" cm="1">
        <f t="array" aca="1" ref="V24" ca="1">IF(V$5&lt;=TODAY(),0,IF($B24="","",IFERROR(_xlfn.LET(_xlpm.Site,$B24,_xlpm.SiteCol,INDIRECT("tblSites[Site]"),_xlpm.ActCol,INDIRECT("tblSites[Site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4" s="21" t="str" cm="1">
        <f t="array" aca="1" ref="W24" ca="1">IF(W$5&lt;=TODAY(),0,IF($B24="","",IFERROR(_xlfn.LET(_xlpm.Site,$B24,_xlpm.SiteCol,INDIRECT("tblSites[Site]"),_xlpm.ActCol,INDIRECT("tblSites[Site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4" s="21" t="str" cm="1">
        <f t="array" aca="1" ref="X24" ca="1">IF(X$5&lt;=TODAY(),0,IF($B24="","",IFERROR(_xlfn.LET(_xlpm.Site,$B24,_xlpm.SiteCol,INDIRECT("tblSites[Site]"),_xlpm.ActCol,INDIRECT("tblSites[Site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4" s="21" t="str" cm="1">
        <f t="array" aca="1" ref="Y24" ca="1">IF(Y$5&lt;=TODAY(),0,IF($B24="","",IFERROR(_xlfn.LET(_xlpm.Site,$B24,_xlpm.SiteCol,INDIRECT("tblSites[Site]"),_xlpm.ActCol,INDIRECT("tblSites[Site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4" s="21" t="str" cm="1">
        <f t="array" aca="1" ref="Z24" ca="1">IF(Z$5&lt;=TODAY(),0,IF($B24="","",IFERROR(_xlfn.LET(_xlpm.Site,$B24,_xlpm.SiteCol,INDIRECT("tblSites[Site]"),_xlpm.ActCol,INDIRECT("tblSites[Site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4" s="21" t="str" cm="1">
        <f t="array" aca="1" ref="AA24" ca="1">IF(AA$5&lt;=TODAY(),0,IF($B24="","",IFERROR(_xlfn.LET(_xlpm.Site,$B24,_xlpm.SiteCol,INDIRECT("tblSites[Site]"),_xlpm.ActCol,INDIRECT("tblSites[Site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4" s="21" t="str" cm="1">
        <f t="array" aca="1" ref="AB24" ca="1">IF(AB$5&lt;=TODAY(),0,IF($B24="","",IFERROR(_xlfn.LET(_xlpm.Site,$B24,_xlpm.SiteCol,INDIRECT("tblSites[Site]"),_xlpm.ActCol,INDIRECT("tblSites[Site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4" s="21" t="str" cm="1">
        <f t="array" aca="1" ref="AC24" ca="1">IF(AC$5&lt;=TODAY(),0,IF($B24="","",IFERROR(_xlfn.LET(_xlpm.Site,$B24,_xlpm.SiteCol,INDIRECT("tblSites[Site]"),_xlpm.ActCol,INDIRECT("tblSites[Site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5" spans="1:29" x14ac:dyDescent="0.25">
      <c r="C25" s="21" cm="1">
        <f t="array" aca="1" ref="C25" ca="1">IF(C$5&lt;=TODAY(),0,IF($B25="","",IFERROR(_xlfn.LET(_xlpm.Site,$B25,_xlpm.SiteCol,INDIRECT("tblSites[Site]"),_xlpm.ActCol,INDIRECT("tblSites[Site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5" s="21" cm="1">
        <f t="array" aca="1" ref="D25" ca="1">IF(D$5&lt;=TODAY(),0,IF($B25="","",IFERROR(_xlfn.LET(_xlpm.Site,$B25,_xlpm.SiteCol,INDIRECT("tblSites[Site]"),_xlpm.ActCol,INDIRECT("tblSites[Site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5" s="21" cm="1">
        <f t="array" aca="1" ref="E25" ca="1">IF(E$5&lt;=TODAY(),0,IF($B25="","",IFERROR(_xlfn.LET(_xlpm.Site,$B25,_xlpm.SiteCol,INDIRECT("tblSites[Site]"),_xlpm.ActCol,INDIRECT("tblSites[Site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5" s="21" cm="1">
        <f t="array" aca="1" ref="F25" ca="1">IF(F$5&lt;=TODAY(),0,IF($B25="","",IFERROR(_xlfn.LET(_xlpm.Site,$B25,_xlpm.SiteCol,INDIRECT("tblSites[Site]"),_xlpm.ActCol,INDIRECT("tblSites[Site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5" s="21" cm="1">
        <f t="array" aca="1" ref="G25" ca="1">IF(G$5&lt;=TODAY(),0,IF($B25="","",IFERROR(_xlfn.LET(_xlpm.Site,$B25,_xlpm.SiteCol,INDIRECT("tblSites[Site]"),_xlpm.ActCol,INDIRECT("tblSites[Site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5" s="21" cm="1">
        <f t="array" aca="1" ref="H25" ca="1">IF(H$5&lt;=TODAY(),0,IF($B25="","",IFERROR(_xlfn.LET(_xlpm.Site,$B25,_xlpm.SiteCol,INDIRECT("tblSites[Site]"),_xlpm.ActCol,INDIRECT("tblSites[Site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5" s="21" cm="1">
        <f t="array" aca="1" ref="I25" ca="1">IF(I$5&lt;=TODAY(),0,IF($B25="","",IFERROR(_xlfn.LET(_xlpm.Site,$B25,_xlpm.SiteCol,INDIRECT("tblSites[Site]"),_xlpm.ActCol,INDIRECT("tblSites[Site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5" s="21" t="str" cm="1">
        <f t="array" aca="1" ref="J25" ca="1">IF(J$5&lt;=TODAY(),0,IF($B25="","",IFERROR(_xlfn.LET(_xlpm.Site,$B25,_xlpm.SiteCol,INDIRECT("tblSites[Site]"),_xlpm.ActCol,INDIRECT("tblSites[Site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5" s="21" t="str" cm="1">
        <f t="array" aca="1" ref="K25" ca="1">IF(K$5&lt;=TODAY(),0,IF($B25="","",IFERROR(_xlfn.LET(_xlpm.Site,$B25,_xlpm.SiteCol,INDIRECT("tblSites[Site]"),_xlpm.ActCol,INDIRECT("tblSites[Site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5" s="21" t="str" cm="1">
        <f t="array" aca="1" ref="L25" ca="1">IF(L$5&lt;=TODAY(),0,IF($B25="","",IFERROR(_xlfn.LET(_xlpm.Site,$B25,_xlpm.SiteCol,INDIRECT("tblSites[Site]"),_xlpm.ActCol,INDIRECT("tblSites[Site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5" s="21" t="str" cm="1">
        <f t="array" aca="1" ref="M25" ca="1">IF(M$5&lt;=TODAY(),0,IF($B25="","",IFERROR(_xlfn.LET(_xlpm.Site,$B25,_xlpm.SiteCol,INDIRECT("tblSites[Site]"),_xlpm.ActCol,INDIRECT("tblSites[Site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5" s="21" t="str" cm="1">
        <f t="array" aca="1" ref="N25" ca="1">IF(N$5&lt;=TODAY(),0,IF($B25="","",IFERROR(_xlfn.LET(_xlpm.Site,$B25,_xlpm.SiteCol,INDIRECT("tblSites[Site]"),_xlpm.ActCol,INDIRECT("tblSites[Site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5" s="21" t="str" cm="1">
        <f t="array" aca="1" ref="O25" ca="1">IF(O$5&lt;=TODAY(),0,IF($B25="","",IFERROR(_xlfn.LET(_xlpm.Site,$B25,_xlpm.SiteCol,INDIRECT("tblSites[Site]"),_xlpm.ActCol,INDIRECT("tblSites[Site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5" s="21" t="str" cm="1">
        <f t="array" aca="1" ref="P25" ca="1">IF(P$5&lt;=TODAY(),0,IF($B25="","",IFERROR(_xlfn.LET(_xlpm.Site,$B25,_xlpm.SiteCol,INDIRECT("tblSites[Site]"),_xlpm.ActCol,INDIRECT("tblSites[Site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5" s="21" t="str" cm="1">
        <f t="array" aca="1" ref="Q25" ca="1">IF(Q$5&lt;=TODAY(),0,IF($B25="","",IFERROR(_xlfn.LET(_xlpm.Site,$B25,_xlpm.SiteCol,INDIRECT("tblSites[Site]"),_xlpm.ActCol,INDIRECT("tblSites[Site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5" s="21" t="str" cm="1">
        <f t="array" aca="1" ref="R25" ca="1">IF(R$5&lt;=TODAY(),0,IF($B25="","",IFERROR(_xlfn.LET(_xlpm.Site,$B25,_xlpm.SiteCol,INDIRECT("tblSites[Site]"),_xlpm.ActCol,INDIRECT("tblSites[Site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5" s="21" t="str" cm="1">
        <f t="array" aca="1" ref="S25" ca="1">IF(S$5&lt;=TODAY(),0,IF($B25="","",IFERROR(_xlfn.LET(_xlpm.Site,$B25,_xlpm.SiteCol,INDIRECT("tblSites[Site]"),_xlpm.ActCol,INDIRECT("tblSites[Site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5" s="21" t="str" cm="1">
        <f t="array" aca="1" ref="T25" ca="1">IF(T$5&lt;=TODAY(),0,IF($B25="","",IFERROR(_xlfn.LET(_xlpm.Site,$B25,_xlpm.SiteCol,INDIRECT("tblSites[Site]"),_xlpm.ActCol,INDIRECT("tblSites[Site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5" s="21" t="str" cm="1">
        <f t="array" aca="1" ref="U25" ca="1">IF(U$5&lt;=TODAY(),0,IF($B25="","",IFERROR(_xlfn.LET(_xlpm.Site,$B25,_xlpm.SiteCol,INDIRECT("tblSites[Site]"),_xlpm.ActCol,INDIRECT("tblSites[Site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5" s="21" t="str" cm="1">
        <f t="array" aca="1" ref="V25" ca="1">IF(V$5&lt;=TODAY(),0,IF($B25="","",IFERROR(_xlfn.LET(_xlpm.Site,$B25,_xlpm.SiteCol,INDIRECT("tblSites[Site]"),_xlpm.ActCol,INDIRECT("tblSites[Site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5" s="21" t="str" cm="1">
        <f t="array" aca="1" ref="W25" ca="1">IF(W$5&lt;=TODAY(),0,IF($B25="","",IFERROR(_xlfn.LET(_xlpm.Site,$B25,_xlpm.SiteCol,INDIRECT("tblSites[Site]"),_xlpm.ActCol,INDIRECT("tblSites[Site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5" s="21" t="str" cm="1">
        <f t="array" aca="1" ref="X25" ca="1">IF(X$5&lt;=TODAY(),0,IF($B25="","",IFERROR(_xlfn.LET(_xlpm.Site,$B25,_xlpm.SiteCol,INDIRECT("tblSites[Site]"),_xlpm.ActCol,INDIRECT("tblSites[Site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5" s="21" t="str" cm="1">
        <f t="array" aca="1" ref="Y25" ca="1">IF(Y$5&lt;=TODAY(),0,IF($B25="","",IFERROR(_xlfn.LET(_xlpm.Site,$B25,_xlpm.SiteCol,INDIRECT("tblSites[Site]"),_xlpm.ActCol,INDIRECT("tblSites[Site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5" s="21" t="str" cm="1">
        <f t="array" aca="1" ref="Z25" ca="1">IF(Z$5&lt;=TODAY(),0,IF($B25="","",IFERROR(_xlfn.LET(_xlpm.Site,$B25,_xlpm.SiteCol,INDIRECT("tblSites[Site]"),_xlpm.ActCol,INDIRECT("tblSites[Site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5" s="21" t="str" cm="1">
        <f t="array" aca="1" ref="AA25" ca="1">IF(AA$5&lt;=TODAY(),0,IF($B25="","",IFERROR(_xlfn.LET(_xlpm.Site,$B25,_xlpm.SiteCol,INDIRECT("tblSites[Site]"),_xlpm.ActCol,INDIRECT("tblSites[Site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5" s="21" t="str" cm="1">
        <f t="array" aca="1" ref="AB25" ca="1">IF(AB$5&lt;=TODAY(),0,IF($B25="","",IFERROR(_xlfn.LET(_xlpm.Site,$B25,_xlpm.SiteCol,INDIRECT("tblSites[Site]"),_xlpm.ActCol,INDIRECT("tblSites[Site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5" s="21" t="str" cm="1">
        <f t="array" aca="1" ref="AC25" ca="1">IF(AC$5&lt;=TODAY(),0,IF($B25="","",IFERROR(_xlfn.LET(_xlpm.Site,$B25,_xlpm.SiteCol,INDIRECT("tblSites[Site]"),_xlpm.ActCol,INDIRECT("tblSites[Site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6" spans="1:29" x14ac:dyDescent="0.25">
      <c r="C26" s="21" cm="1">
        <f t="array" aca="1" ref="C26" ca="1">IF(C$5&lt;=TODAY(),0,IF($B26="","",IFERROR(_xlfn.LET(_xlpm.Site,$B26,_xlpm.SiteCol,INDIRECT("tblSites[Site]"),_xlpm.ActCol,INDIRECT("tblSites[Site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6" s="21" cm="1">
        <f t="array" aca="1" ref="D26" ca="1">IF(D$5&lt;=TODAY(),0,IF($B26="","",IFERROR(_xlfn.LET(_xlpm.Site,$B26,_xlpm.SiteCol,INDIRECT("tblSites[Site]"),_xlpm.ActCol,INDIRECT("tblSites[Site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6" s="21" cm="1">
        <f t="array" aca="1" ref="E26" ca="1">IF(E$5&lt;=TODAY(),0,IF($B26="","",IFERROR(_xlfn.LET(_xlpm.Site,$B26,_xlpm.SiteCol,INDIRECT("tblSites[Site]"),_xlpm.ActCol,INDIRECT("tblSites[Site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6" s="21" cm="1">
        <f t="array" aca="1" ref="F26" ca="1">IF(F$5&lt;=TODAY(),0,IF($B26="","",IFERROR(_xlfn.LET(_xlpm.Site,$B26,_xlpm.SiteCol,INDIRECT("tblSites[Site]"),_xlpm.ActCol,INDIRECT("tblSites[Site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6" s="21" cm="1">
        <f t="array" aca="1" ref="G26" ca="1">IF(G$5&lt;=TODAY(),0,IF($B26="","",IFERROR(_xlfn.LET(_xlpm.Site,$B26,_xlpm.SiteCol,INDIRECT("tblSites[Site]"),_xlpm.ActCol,INDIRECT("tblSites[Site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6" s="21" cm="1">
        <f t="array" aca="1" ref="H26" ca="1">IF(H$5&lt;=TODAY(),0,IF($B26="","",IFERROR(_xlfn.LET(_xlpm.Site,$B26,_xlpm.SiteCol,INDIRECT("tblSites[Site]"),_xlpm.ActCol,INDIRECT("tblSites[Site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6" s="21" cm="1">
        <f t="array" aca="1" ref="I26" ca="1">IF(I$5&lt;=TODAY(),0,IF($B26="","",IFERROR(_xlfn.LET(_xlpm.Site,$B26,_xlpm.SiteCol,INDIRECT("tblSites[Site]"),_xlpm.ActCol,INDIRECT("tblSites[Site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6" s="21" t="str" cm="1">
        <f t="array" aca="1" ref="J26" ca="1">IF(J$5&lt;=TODAY(),0,IF($B26="","",IFERROR(_xlfn.LET(_xlpm.Site,$B26,_xlpm.SiteCol,INDIRECT("tblSites[Site]"),_xlpm.ActCol,INDIRECT("tblSites[Site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6" s="21" t="str" cm="1">
        <f t="array" aca="1" ref="K26" ca="1">IF(K$5&lt;=TODAY(),0,IF($B26="","",IFERROR(_xlfn.LET(_xlpm.Site,$B26,_xlpm.SiteCol,INDIRECT("tblSites[Site]"),_xlpm.ActCol,INDIRECT("tblSites[Site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6" s="21" t="str" cm="1">
        <f t="array" aca="1" ref="L26" ca="1">IF(L$5&lt;=TODAY(),0,IF($B26="","",IFERROR(_xlfn.LET(_xlpm.Site,$B26,_xlpm.SiteCol,INDIRECT("tblSites[Site]"),_xlpm.ActCol,INDIRECT("tblSites[Site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6" s="21" t="str" cm="1">
        <f t="array" aca="1" ref="M26" ca="1">IF(M$5&lt;=TODAY(),0,IF($B26="","",IFERROR(_xlfn.LET(_xlpm.Site,$B26,_xlpm.SiteCol,INDIRECT("tblSites[Site]"),_xlpm.ActCol,INDIRECT("tblSites[Site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6" s="21" t="str" cm="1">
        <f t="array" aca="1" ref="N26" ca="1">IF(N$5&lt;=TODAY(),0,IF($B26="","",IFERROR(_xlfn.LET(_xlpm.Site,$B26,_xlpm.SiteCol,INDIRECT("tblSites[Site]"),_xlpm.ActCol,INDIRECT("tblSites[Site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6" s="21" t="str" cm="1">
        <f t="array" aca="1" ref="O26" ca="1">IF(O$5&lt;=TODAY(),0,IF($B26="","",IFERROR(_xlfn.LET(_xlpm.Site,$B26,_xlpm.SiteCol,INDIRECT("tblSites[Site]"),_xlpm.ActCol,INDIRECT("tblSites[Site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6" s="21" t="str" cm="1">
        <f t="array" aca="1" ref="P26" ca="1">IF(P$5&lt;=TODAY(),0,IF($B26="","",IFERROR(_xlfn.LET(_xlpm.Site,$B26,_xlpm.SiteCol,INDIRECT("tblSites[Site]"),_xlpm.ActCol,INDIRECT("tblSites[Site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6" s="21" t="str" cm="1">
        <f t="array" aca="1" ref="Q26" ca="1">IF(Q$5&lt;=TODAY(),0,IF($B26="","",IFERROR(_xlfn.LET(_xlpm.Site,$B26,_xlpm.SiteCol,INDIRECT("tblSites[Site]"),_xlpm.ActCol,INDIRECT("tblSites[Site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6" s="21" t="str" cm="1">
        <f t="array" aca="1" ref="R26" ca="1">IF(R$5&lt;=TODAY(),0,IF($B26="","",IFERROR(_xlfn.LET(_xlpm.Site,$B26,_xlpm.SiteCol,INDIRECT("tblSites[Site]"),_xlpm.ActCol,INDIRECT("tblSites[Site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6" s="21" t="str" cm="1">
        <f t="array" aca="1" ref="S26" ca="1">IF(S$5&lt;=TODAY(),0,IF($B26="","",IFERROR(_xlfn.LET(_xlpm.Site,$B26,_xlpm.SiteCol,INDIRECT("tblSites[Site]"),_xlpm.ActCol,INDIRECT("tblSites[Site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6" s="21" t="str" cm="1">
        <f t="array" aca="1" ref="T26" ca="1">IF(T$5&lt;=TODAY(),0,IF($B26="","",IFERROR(_xlfn.LET(_xlpm.Site,$B26,_xlpm.SiteCol,INDIRECT("tblSites[Site]"),_xlpm.ActCol,INDIRECT("tblSites[Site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6" s="21" t="str" cm="1">
        <f t="array" aca="1" ref="U26" ca="1">IF(U$5&lt;=TODAY(),0,IF($B26="","",IFERROR(_xlfn.LET(_xlpm.Site,$B26,_xlpm.SiteCol,INDIRECT("tblSites[Site]"),_xlpm.ActCol,INDIRECT("tblSites[Site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6" s="21" t="str" cm="1">
        <f t="array" aca="1" ref="V26" ca="1">IF(V$5&lt;=TODAY(),0,IF($B26="","",IFERROR(_xlfn.LET(_xlpm.Site,$B26,_xlpm.SiteCol,INDIRECT("tblSites[Site]"),_xlpm.ActCol,INDIRECT("tblSites[Site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6" s="21" t="str" cm="1">
        <f t="array" aca="1" ref="W26" ca="1">IF(W$5&lt;=TODAY(),0,IF($B26="","",IFERROR(_xlfn.LET(_xlpm.Site,$B26,_xlpm.SiteCol,INDIRECT("tblSites[Site]"),_xlpm.ActCol,INDIRECT("tblSites[Site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6" s="21" t="str" cm="1">
        <f t="array" aca="1" ref="X26" ca="1">IF(X$5&lt;=TODAY(),0,IF($B26="","",IFERROR(_xlfn.LET(_xlpm.Site,$B26,_xlpm.SiteCol,INDIRECT("tblSites[Site]"),_xlpm.ActCol,INDIRECT("tblSites[Site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6" s="21" t="str" cm="1">
        <f t="array" aca="1" ref="Y26" ca="1">IF(Y$5&lt;=TODAY(),0,IF($B26="","",IFERROR(_xlfn.LET(_xlpm.Site,$B26,_xlpm.SiteCol,INDIRECT("tblSites[Site]"),_xlpm.ActCol,INDIRECT("tblSites[Site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6" s="21" t="str" cm="1">
        <f t="array" aca="1" ref="Z26" ca="1">IF(Z$5&lt;=TODAY(),0,IF($B26="","",IFERROR(_xlfn.LET(_xlpm.Site,$B26,_xlpm.SiteCol,INDIRECT("tblSites[Site]"),_xlpm.ActCol,INDIRECT("tblSites[Site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6" s="21" t="str" cm="1">
        <f t="array" aca="1" ref="AA26" ca="1">IF(AA$5&lt;=TODAY(),0,IF($B26="","",IFERROR(_xlfn.LET(_xlpm.Site,$B26,_xlpm.SiteCol,INDIRECT("tblSites[Site]"),_xlpm.ActCol,INDIRECT("tblSites[Site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6" s="21" t="str" cm="1">
        <f t="array" aca="1" ref="AB26" ca="1">IF(AB$5&lt;=TODAY(),0,IF($B26="","",IFERROR(_xlfn.LET(_xlpm.Site,$B26,_xlpm.SiteCol,INDIRECT("tblSites[Site]"),_xlpm.ActCol,INDIRECT("tblSites[Site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6" s="21" t="str" cm="1">
        <f t="array" aca="1" ref="AC26" ca="1">IF(AC$5&lt;=TODAY(),0,IF($B26="","",IFERROR(_xlfn.LET(_xlpm.Site,$B26,_xlpm.SiteCol,INDIRECT("tblSites[Site]"),_xlpm.ActCol,INDIRECT("tblSites[Site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7" spans="1:29" x14ac:dyDescent="0.25">
      <c r="C27" s="21" cm="1">
        <f t="array" aca="1" ref="C27" ca="1">IF(C$5&lt;=TODAY(),0,IF($B27="","",IFERROR(_xlfn.LET(_xlpm.Site,$B27,_xlpm.SiteCol,INDIRECT("tblSites[Site]"),_xlpm.ActCol,INDIRECT("tblSites[Site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7" s="21" cm="1">
        <f t="array" aca="1" ref="D27" ca="1">IF(D$5&lt;=TODAY(),0,IF($B27="","",IFERROR(_xlfn.LET(_xlpm.Site,$B27,_xlpm.SiteCol,INDIRECT("tblSites[Site]"),_xlpm.ActCol,INDIRECT("tblSites[Site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7" s="21" cm="1">
        <f t="array" aca="1" ref="E27" ca="1">IF(E$5&lt;=TODAY(),0,IF($B27="","",IFERROR(_xlfn.LET(_xlpm.Site,$B27,_xlpm.SiteCol,INDIRECT("tblSites[Site]"),_xlpm.ActCol,INDIRECT("tblSites[Site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7" s="21" cm="1">
        <f t="array" aca="1" ref="F27" ca="1">IF(F$5&lt;=TODAY(),0,IF($B27="","",IFERROR(_xlfn.LET(_xlpm.Site,$B27,_xlpm.SiteCol,INDIRECT("tblSites[Site]"),_xlpm.ActCol,INDIRECT("tblSites[Site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7" s="21" cm="1">
        <f t="array" aca="1" ref="G27" ca="1">IF(G$5&lt;=TODAY(),0,IF($B27="","",IFERROR(_xlfn.LET(_xlpm.Site,$B27,_xlpm.SiteCol,INDIRECT("tblSites[Site]"),_xlpm.ActCol,INDIRECT("tblSites[Site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7" s="21" cm="1">
        <f t="array" aca="1" ref="H27" ca="1">IF(H$5&lt;=TODAY(),0,IF($B27="","",IFERROR(_xlfn.LET(_xlpm.Site,$B27,_xlpm.SiteCol,INDIRECT("tblSites[Site]"),_xlpm.ActCol,INDIRECT("tblSites[Site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7" s="21" cm="1">
        <f t="array" aca="1" ref="I27" ca="1">IF(I$5&lt;=TODAY(),0,IF($B27="","",IFERROR(_xlfn.LET(_xlpm.Site,$B27,_xlpm.SiteCol,INDIRECT("tblSites[Site]"),_xlpm.ActCol,INDIRECT("tblSites[Site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7" s="21" t="str" cm="1">
        <f t="array" aca="1" ref="J27" ca="1">IF(J$5&lt;=TODAY(),0,IF($B27="","",IFERROR(_xlfn.LET(_xlpm.Site,$B27,_xlpm.SiteCol,INDIRECT("tblSites[Site]"),_xlpm.ActCol,INDIRECT("tblSites[Site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7" s="21" t="str" cm="1">
        <f t="array" aca="1" ref="K27" ca="1">IF(K$5&lt;=TODAY(),0,IF($B27="","",IFERROR(_xlfn.LET(_xlpm.Site,$B27,_xlpm.SiteCol,INDIRECT("tblSites[Site]"),_xlpm.ActCol,INDIRECT("tblSites[Site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7" s="21" t="str" cm="1">
        <f t="array" aca="1" ref="L27" ca="1">IF(L$5&lt;=TODAY(),0,IF($B27="","",IFERROR(_xlfn.LET(_xlpm.Site,$B27,_xlpm.SiteCol,INDIRECT("tblSites[Site]"),_xlpm.ActCol,INDIRECT("tblSites[Site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7" s="21" t="str" cm="1">
        <f t="array" aca="1" ref="M27" ca="1">IF(M$5&lt;=TODAY(),0,IF($B27="","",IFERROR(_xlfn.LET(_xlpm.Site,$B27,_xlpm.SiteCol,INDIRECT("tblSites[Site]"),_xlpm.ActCol,INDIRECT("tblSites[Site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7" s="21" t="str" cm="1">
        <f t="array" aca="1" ref="N27" ca="1">IF(N$5&lt;=TODAY(),0,IF($B27="","",IFERROR(_xlfn.LET(_xlpm.Site,$B27,_xlpm.SiteCol,INDIRECT("tblSites[Site]"),_xlpm.ActCol,INDIRECT("tblSites[Site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7" s="21" t="str" cm="1">
        <f t="array" aca="1" ref="O27" ca="1">IF(O$5&lt;=TODAY(),0,IF($B27="","",IFERROR(_xlfn.LET(_xlpm.Site,$B27,_xlpm.SiteCol,INDIRECT("tblSites[Site]"),_xlpm.ActCol,INDIRECT("tblSites[Site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7" s="21" t="str" cm="1">
        <f t="array" aca="1" ref="P27" ca="1">IF(P$5&lt;=TODAY(),0,IF($B27="","",IFERROR(_xlfn.LET(_xlpm.Site,$B27,_xlpm.SiteCol,INDIRECT("tblSites[Site]"),_xlpm.ActCol,INDIRECT("tblSites[Site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7" s="21" t="str" cm="1">
        <f t="array" aca="1" ref="Q27" ca="1">IF(Q$5&lt;=TODAY(),0,IF($B27="","",IFERROR(_xlfn.LET(_xlpm.Site,$B27,_xlpm.SiteCol,INDIRECT("tblSites[Site]"),_xlpm.ActCol,INDIRECT("tblSites[Site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7" s="21" t="str" cm="1">
        <f t="array" aca="1" ref="R27" ca="1">IF(R$5&lt;=TODAY(),0,IF($B27="","",IFERROR(_xlfn.LET(_xlpm.Site,$B27,_xlpm.SiteCol,INDIRECT("tblSites[Site]"),_xlpm.ActCol,INDIRECT("tblSites[Site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7" s="21" t="str" cm="1">
        <f t="array" aca="1" ref="S27" ca="1">IF(S$5&lt;=TODAY(),0,IF($B27="","",IFERROR(_xlfn.LET(_xlpm.Site,$B27,_xlpm.SiteCol,INDIRECT("tblSites[Site]"),_xlpm.ActCol,INDIRECT("tblSites[Site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7" s="21" t="str" cm="1">
        <f t="array" aca="1" ref="T27" ca="1">IF(T$5&lt;=TODAY(),0,IF($B27="","",IFERROR(_xlfn.LET(_xlpm.Site,$B27,_xlpm.SiteCol,INDIRECT("tblSites[Site]"),_xlpm.ActCol,INDIRECT("tblSites[Site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7" s="21" t="str" cm="1">
        <f t="array" aca="1" ref="U27" ca="1">IF(U$5&lt;=TODAY(),0,IF($B27="","",IFERROR(_xlfn.LET(_xlpm.Site,$B27,_xlpm.SiteCol,INDIRECT("tblSites[Site]"),_xlpm.ActCol,INDIRECT("tblSites[Site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7" s="21" t="str" cm="1">
        <f t="array" aca="1" ref="V27" ca="1">IF(V$5&lt;=TODAY(),0,IF($B27="","",IFERROR(_xlfn.LET(_xlpm.Site,$B27,_xlpm.SiteCol,INDIRECT("tblSites[Site]"),_xlpm.ActCol,INDIRECT("tblSites[Site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7" s="21" t="str" cm="1">
        <f t="array" aca="1" ref="W27" ca="1">IF(W$5&lt;=TODAY(),0,IF($B27="","",IFERROR(_xlfn.LET(_xlpm.Site,$B27,_xlpm.SiteCol,INDIRECT("tblSites[Site]"),_xlpm.ActCol,INDIRECT("tblSites[Site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7" s="21" t="str" cm="1">
        <f t="array" aca="1" ref="X27" ca="1">IF(X$5&lt;=TODAY(),0,IF($B27="","",IFERROR(_xlfn.LET(_xlpm.Site,$B27,_xlpm.SiteCol,INDIRECT("tblSites[Site]"),_xlpm.ActCol,INDIRECT("tblSites[Site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7" s="21" t="str" cm="1">
        <f t="array" aca="1" ref="Y27" ca="1">IF(Y$5&lt;=TODAY(),0,IF($B27="","",IFERROR(_xlfn.LET(_xlpm.Site,$B27,_xlpm.SiteCol,INDIRECT("tblSites[Site]"),_xlpm.ActCol,INDIRECT("tblSites[Site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7" s="21" t="str" cm="1">
        <f t="array" aca="1" ref="Z27" ca="1">IF(Z$5&lt;=TODAY(),0,IF($B27="","",IFERROR(_xlfn.LET(_xlpm.Site,$B27,_xlpm.SiteCol,INDIRECT("tblSites[Site]"),_xlpm.ActCol,INDIRECT("tblSites[Site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7" s="21" t="str" cm="1">
        <f t="array" aca="1" ref="AA27" ca="1">IF(AA$5&lt;=TODAY(),0,IF($B27="","",IFERROR(_xlfn.LET(_xlpm.Site,$B27,_xlpm.SiteCol,INDIRECT("tblSites[Site]"),_xlpm.ActCol,INDIRECT("tblSites[Site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7" s="21" t="str" cm="1">
        <f t="array" aca="1" ref="AB27" ca="1">IF(AB$5&lt;=TODAY(),0,IF($B27="","",IFERROR(_xlfn.LET(_xlpm.Site,$B27,_xlpm.SiteCol,INDIRECT("tblSites[Site]"),_xlpm.ActCol,INDIRECT("tblSites[Site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7" s="21" t="str" cm="1">
        <f t="array" aca="1" ref="AC27" ca="1">IF(AC$5&lt;=TODAY(),0,IF($B27="","",IFERROR(_xlfn.LET(_xlpm.Site,$B27,_xlpm.SiteCol,INDIRECT("tblSites[Site]"),_xlpm.ActCol,INDIRECT("tblSites[Site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8" spans="1:29" x14ac:dyDescent="0.25">
      <c r="C28" s="21" cm="1">
        <f t="array" aca="1" ref="C28" ca="1">IF(C$5&lt;=TODAY(),0,IF($B28="","",IFERROR(_xlfn.LET(_xlpm.Site,$B28,_xlpm.SiteCol,INDIRECT("tblSites[Site]"),_xlpm.ActCol,INDIRECT("tblSites[Site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8" s="21" cm="1">
        <f t="array" aca="1" ref="D28" ca="1">IF(D$5&lt;=TODAY(),0,IF($B28="","",IFERROR(_xlfn.LET(_xlpm.Site,$B28,_xlpm.SiteCol,INDIRECT("tblSites[Site]"),_xlpm.ActCol,INDIRECT("tblSites[Site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8" s="21" cm="1">
        <f t="array" aca="1" ref="E28" ca="1">IF(E$5&lt;=TODAY(),0,IF($B28="","",IFERROR(_xlfn.LET(_xlpm.Site,$B28,_xlpm.SiteCol,INDIRECT("tblSites[Site]"),_xlpm.ActCol,INDIRECT("tblSites[Site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8" s="21" cm="1">
        <f t="array" aca="1" ref="F28" ca="1">IF(F$5&lt;=TODAY(),0,IF($B28="","",IFERROR(_xlfn.LET(_xlpm.Site,$B28,_xlpm.SiteCol,INDIRECT("tblSites[Site]"),_xlpm.ActCol,INDIRECT("tblSites[Site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8" s="21" cm="1">
        <f t="array" aca="1" ref="G28" ca="1">IF(G$5&lt;=TODAY(),0,IF($B28="","",IFERROR(_xlfn.LET(_xlpm.Site,$B28,_xlpm.SiteCol,INDIRECT("tblSites[Site]"),_xlpm.ActCol,INDIRECT("tblSites[Site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8" s="21" cm="1">
        <f t="array" aca="1" ref="H28" ca="1">IF(H$5&lt;=TODAY(),0,IF($B28="","",IFERROR(_xlfn.LET(_xlpm.Site,$B28,_xlpm.SiteCol,INDIRECT("tblSites[Site]"),_xlpm.ActCol,INDIRECT("tblSites[Site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8" s="21" cm="1">
        <f t="array" aca="1" ref="I28" ca="1">IF(I$5&lt;=TODAY(),0,IF($B28="","",IFERROR(_xlfn.LET(_xlpm.Site,$B28,_xlpm.SiteCol,INDIRECT("tblSites[Site]"),_xlpm.ActCol,INDIRECT("tblSites[Site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8" s="21" t="str" cm="1">
        <f t="array" aca="1" ref="J28" ca="1">IF(J$5&lt;=TODAY(),0,IF($B28="","",IFERROR(_xlfn.LET(_xlpm.Site,$B28,_xlpm.SiteCol,INDIRECT("tblSites[Site]"),_xlpm.ActCol,INDIRECT("tblSites[Site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8" s="21" t="str" cm="1">
        <f t="array" aca="1" ref="K28" ca="1">IF(K$5&lt;=TODAY(),0,IF($B28="","",IFERROR(_xlfn.LET(_xlpm.Site,$B28,_xlpm.SiteCol,INDIRECT("tblSites[Site]"),_xlpm.ActCol,INDIRECT("tblSites[Site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8" s="21" t="str" cm="1">
        <f t="array" aca="1" ref="L28" ca="1">IF(L$5&lt;=TODAY(),0,IF($B28="","",IFERROR(_xlfn.LET(_xlpm.Site,$B28,_xlpm.SiteCol,INDIRECT("tblSites[Site]"),_xlpm.ActCol,INDIRECT("tblSites[Site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8" s="21" t="str" cm="1">
        <f t="array" aca="1" ref="M28" ca="1">IF(M$5&lt;=TODAY(),0,IF($B28="","",IFERROR(_xlfn.LET(_xlpm.Site,$B28,_xlpm.SiteCol,INDIRECT("tblSites[Site]"),_xlpm.ActCol,INDIRECT("tblSites[Site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8" s="21" t="str" cm="1">
        <f t="array" aca="1" ref="N28" ca="1">IF(N$5&lt;=TODAY(),0,IF($B28="","",IFERROR(_xlfn.LET(_xlpm.Site,$B28,_xlpm.SiteCol,INDIRECT("tblSites[Site]"),_xlpm.ActCol,INDIRECT("tblSites[Site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8" s="21" t="str" cm="1">
        <f t="array" aca="1" ref="O28" ca="1">IF(O$5&lt;=TODAY(),0,IF($B28="","",IFERROR(_xlfn.LET(_xlpm.Site,$B28,_xlpm.SiteCol,INDIRECT("tblSites[Site]"),_xlpm.ActCol,INDIRECT("tblSites[Site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8" s="21" t="str" cm="1">
        <f t="array" aca="1" ref="P28" ca="1">IF(P$5&lt;=TODAY(),0,IF($B28="","",IFERROR(_xlfn.LET(_xlpm.Site,$B28,_xlpm.SiteCol,INDIRECT("tblSites[Site]"),_xlpm.ActCol,INDIRECT("tblSites[Site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8" s="21" t="str" cm="1">
        <f t="array" aca="1" ref="Q28" ca="1">IF(Q$5&lt;=TODAY(),0,IF($B28="","",IFERROR(_xlfn.LET(_xlpm.Site,$B28,_xlpm.SiteCol,INDIRECT("tblSites[Site]"),_xlpm.ActCol,INDIRECT("tblSites[Site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8" s="21" t="str" cm="1">
        <f t="array" aca="1" ref="R28" ca="1">IF(R$5&lt;=TODAY(),0,IF($B28="","",IFERROR(_xlfn.LET(_xlpm.Site,$B28,_xlpm.SiteCol,INDIRECT("tblSites[Site]"),_xlpm.ActCol,INDIRECT("tblSites[Site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8" s="21" t="str" cm="1">
        <f t="array" aca="1" ref="S28" ca="1">IF(S$5&lt;=TODAY(),0,IF($B28="","",IFERROR(_xlfn.LET(_xlpm.Site,$B28,_xlpm.SiteCol,INDIRECT("tblSites[Site]"),_xlpm.ActCol,INDIRECT("tblSites[Site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8" s="21" t="str" cm="1">
        <f t="array" aca="1" ref="T28" ca="1">IF(T$5&lt;=TODAY(),0,IF($B28="","",IFERROR(_xlfn.LET(_xlpm.Site,$B28,_xlpm.SiteCol,INDIRECT("tblSites[Site]"),_xlpm.ActCol,INDIRECT("tblSites[Site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8" s="21" t="str" cm="1">
        <f t="array" aca="1" ref="U28" ca="1">IF(U$5&lt;=TODAY(),0,IF($B28="","",IFERROR(_xlfn.LET(_xlpm.Site,$B28,_xlpm.SiteCol,INDIRECT("tblSites[Site]"),_xlpm.ActCol,INDIRECT("tblSites[Site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8" s="21" t="str" cm="1">
        <f t="array" aca="1" ref="V28" ca="1">IF(V$5&lt;=TODAY(),0,IF($B28="","",IFERROR(_xlfn.LET(_xlpm.Site,$B28,_xlpm.SiteCol,INDIRECT("tblSites[Site]"),_xlpm.ActCol,INDIRECT("tblSites[Site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8" s="21" t="str" cm="1">
        <f t="array" aca="1" ref="W28" ca="1">IF(W$5&lt;=TODAY(),0,IF($B28="","",IFERROR(_xlfn.LET(_xlpm.Site,$B28,_xlpm.SiteCol,INDIRECT("tblSites[Site]"),_xlpm.ActCol,INDIRECT("tblSites[Site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8" s="21" t="str" cm="1">
        <f t="array" aca="1" ref="X28" ca="1">IF(X$5&lt;=TODAY(),0,IF($B28="","",IFERROR(_xlfn.LET(_xlpm.Site,$B28,_xlpm.SiteCol,INDIRECT("tblSites[Site]"),_xlpm.ActCol,INDIRECT("tblSites[Site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8" s="21" t="str" cm="1">
        <f t="array" aca="1" ref="Y28" ca="1">IF(Y$5&lt;=TODAY(),0,IF($B28="","",IFERROR(_xlfn.LET(_xlpm.Site,$B28,_xlpm.SiteCol,INDIRECT("tblSites[Site]"),_xlpm.ActCol,INDIRECT("tblSites[Site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8" s="21" t="str" cm="1">
        <f t="array" aca="1" ref="Z28" ca="1">IF(Z$5&lt;=TODAY(),0,IF($B28="","",IFERROR(_xlfn.LET(_xlpm.Site,$B28,_xlpm.SiteCol,INDIRECT("tblSites[Site]"),_xlpm.ActCol,INDIRECT("tblSites[Site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8" s="21" t="str" cm="1">
        <f t="array" aca="1" ref="AA28" ca="1">IF(AA$5&lt;=TODAY(),0,IF($B28="","",IFERROR(_xlfn.LET(_xlpm.Site,$B28,_xlpm.SiteCol,INDIRECT("tblSites[Site]"),_xlpm.ActCol,INDIRECT("tblSites[Site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8" s="21" t="str" cm="1">
        <f t="array" aca="1" ref="AB28" ca="1">IF(AB$5&lt;=TODAY(),0,IF($B28="","",IFERROR(_xlfn.LET(_xlpm.Site,$B28,_xlpm.SiteCol,INDIRECT("tblSites[Site]"),_xlpm.ActCol,INDIRECT("tblSites[Site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8" s="21" t="str" cm="1">
        <f t="array" aca="1" ref="AC28" ca="1">IF(AC$5&lt;=TODAY(),0,IF($B28="","",IFERROR(_xlfn.LET(_xlpm.Site,$B28,_xlpm.SiteCol,INDIRECT("tblSites[Site]"),_xlpm.ActCol,INDIRECT("tblSites[Site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9" spans="1:29" x14ac:dyDescent="0.25">
      <c r="C29" s="21" cm="1">
        <f t="array" aca="1" ref="C29" ca="1">IF(C$5&lt;=TODAY(),0,IF($B29="","",IFERROR(_xlfn.LET(_xlpm.Site,$B29,_xlpm.SiteCol,INDIRECT("tblSites[Site]"),_xlpm.ActCol,INDIRECT("tblSites[Site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9" s="21" cm="1">
        <f t="array" aca="1" ref="D29" ca="1">IF(D$5&lt;=TODAY(),0,IF($B29="","",IFERROR(_xlfn.LET(_xlpm.Site,$B29,_xlpm.SiteCol,INDIRECT("tblSites[Site]"),_xlpm.ActCol,INDIRECT("tblSites[Site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9" s="21" cm="1">
        <f t="array" aca="1" ref="E29" ca="1">IF(E$5&lt;=TODAY(),0,IF($B29="","",IFERROR(_xlfn.LET(_xlpm.Site,$B29,_xlpm.SiteCol,INDIRECT("tblSites[Site]"),_xlpm.ActCol,INDIRECT("tblSites[Site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9" s="21" cm="1">
        <f t="array" aca="1" ref="F29" ca="1">IF(F$5&lt;=TODAY(),0,IF($B29="","",IFERROR(_xlfn.LET(_xlpm.Site,$B29,_xlpm.SiteCol,INDIRECT("tblSites[Site]"),_xlpm.ActCol,INDIRECT("tblSites[Site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9" s="21" cm="1">
        <f t="array" aca="1" ref="G29" ca="1">IF(G$5&lt;=TODAY(),0,IF($B29="","",IFERROR(_xlfn.LET(_xlpm.Site,$B29,_xlpm.SiteCol,INDIRECT("tblSites[Site]"),_xlpm.ActCol,INDIRECT("tblSites[Site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9" s="21" cm="1">
        <f t="array" aca="1" ref="H29" ca="1">IF(H$5&lt;=TODAY(),0,IF($B29="","",IFERROR(_xlfn.LET(_xlpm.Site,$B29,_xlpm.SiteCol,INDIRECT("tblSites[Site]"),_xlpm.ActCol,INDIRECT("tblSites[Site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9" s="21" cm="1">
        <f t="array" aca="1" ref="I29" ca="1">IF(I$5&lt;=TODAY(),0,IF($B29="","",IFERROR(_xlfn.LET(_xlpm.Site,$B29,_xlpm.SiteCol,INDIRECT("tblSites[Site]"),_xlpm.ActCol,INDIRECT("tblSites[Site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9" s="21" t="str" cm="1">
        <f t="array" aca="1" ref="J29" ca="1">IF(J$5&lt;=TODAY(),0,IF($B29="","",IFERROR(_xlfn.LET(_xlpm.Site,$B29,_xlpm.SiteCol,INDIRECT("tblSites[Site]"),_xlpm.ActCol,INDIRECT("tblSites[Site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9" s="21" t="str" cm="1">
        <f t="array" aca="1" ref="K29" ca="1">IF(K$5&lt;=TODAY(),0,IF($B29="","",IFERROR(_xlfn.LET(_xlpm.Site,$B29,_xlpm.SiteCol,INDIRECT("tblSites[Site]"),_xlpm.ActCol,INDIRECT("tblSites[Site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9" s="21" t="str" cm="1">
        <f t="array" aca="1" ref="L29" ca="1">IF(L$5&lt;=TODAY(),0,IF($B29="","",IFERROR(_xlfn.LET(_xlpm.Site,$B29,_xlpm.SiteCol,INDIRECT("tblSites[Site]"),_xlpm.ActCol,INDIRECT("tblSites[Site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9" s="21" t="str" cm="1">
        <f t="array" aca="1" ref="M29" ca="1">IF(M$5&lt;=TODAY(),0,IF($B29="","",IFERROR(_xlfn.LET(_xlpm.Site,$B29,_xlpm.SiteCol,INDIRECT("tblSites[Site]"),_xlpm.ActCol,INDIRECT("tblSites[Site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9" s="21" t="str" cm="1">
        <f t="array" aca="1" ref="N29" ca="1">IF(N$5&lt;=TODAY(),0,IF($B29="","",IFERROR(_xlfn.LET(_xlpm.Site,$B29,_xlpm.SiteCol,INDIRECT("tblSites[Site]"),_xlpm.ActCol,INDIRECT("tblSites[Site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9" s="21" t="str" cm="1">
        <f t="array" aca="1" ref="O29" ca="1">IF(O$5&lt;=TODAY(),0,IF($B29="","",IFERROR(_xlfn.LET(_xlpm.Site,$B29,_xlpm.SiteCol,INDIRECT("tblSites[Site]"),_xlpm.ActCol,INDIRECT("tblSites[Site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9" s="21" t="str" cm="1">
        <f t="array" aca="1" ref="P29" ca="1">IF(P$5&lt;=TODAY(),0,IF($B29="","",IFERROR(_xlfn.LET(_xlpm.Site,$B29,_xlpm.SiteCol,INDIRECT("tblSites[Site]"),_xlpm.ActCol,INDIRECT("tblSites[Site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9" s="21" t="str" cm="1">
        <f t="array" aca="1" ref="Q29" ca="1">IF(Q$5&lt;=TODAY(),0,IF($B29="","",IFERROR(_xlfn.LET(_xlpm.Site,$B29,_xlpm.SiteCol,INDIRECT("tblSites[Site]"),_xlpm.ActCol,INDIRECT("tblSites[Site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9" s="21" t="str" cm="1">
        <f t="array" aca="1" ref="R29" ca="1">IF(R$5&lt;=TODAY(),0,IF($B29="","",IFERROR(_xlfn.LET(_xlpm.Site,$B29,_xlpm.SiteCol,INDIRECT("tblSites[Site]"),_xlpm.ActCol,INDIRECT("tblSites[Site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9" s="21" t="str" cm="1">
        <f t="array" aca="1" ref="S29" ca="1">IF(S$5&lt;=TODAY(),0,IF($B29="","",IFERROR(_xlfn.LET(_xlpm.Site,$B29,_xlpm.SiteCol,INDIRECT("tblSites[Site]"),_xlpm.ActCol,INDIRECT("tblSites[Site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9" s="21" t="str" cm="1">
        <f t="array" aca="1" ref="T29" ca="1">IF(T$5&lt;=TODAY(),0,IF($B29="","",IFERROR(_xlfn.LET(_xlpm.Site,$B29,_xlpm.SiteCol,INDIRECT("tblSites[Site]"),_xlpm.ActCol,INDIRECT("tblSites[Site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9" s="21" t="str" cm="1">
        <f t="array" aca="1" ref="U29" ca="1">IF(U$5&lt;=TODAY(),0,IF($B29="","",IFERROR(_xlfn.LET(_xlpm.Site,$B29,_xlpm.SiteCol,INDIRECT("tblSites[Site]"),_xlpm.ActCol,INDIRECT("tblSites[Site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9" s="21" t="str" cm="1">
        <f t="array" aca="1" ref="V29" ca="1">IF(V$5&lt;=TODAY(),0,IF($B29="","",IFERROR(_xlfn.LET(_xlpm.Site,$B29,_xlpm.SiteCol,INDIRECT("tblSites[Site]"),_xlpm.ActCol,INDIRECT("tblSites[Site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9" s="21" t="str" cm="1">
        <f t="array" aca="1" ref="W29" ca="1">IF(W$5&lt;=TODAY(),0,IF($B29="","",IFERROR(_xlfn.LET(_xlpm.Site,$B29,_xlpm.SiteCol,INDIRECT("tblSites[Site]"),_xlpm.ActCol,INDIRECT("tblSites[Site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9" s="21" t="str" cm="1">
        <f t="array" aca="1" ref="X29" ca="1">IF(X$5&lt;=TODAY(),0,IF($B29="","",IFERROR(_xlfn.LET(_xlpm.Site,$B29,_xlpm.SiteCol,INDIRECT("tblSites[Site]"),_xlpm.ActCol,INDIRECT("tblSites[Site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9" s="21" t="str" cm="1">
        <f t="array" aca="1" ref="Y29" ca="1">IF(Y$5&lt;=TODAY(),0,IF($B29="","",IFERROR(_xlfn.LET(_xlpm.Site,$B29,_xlpm.SiteCol,INDIRECT("tblSites[Site]"),_xlpm.ActCol,INDIRECT("tblSites[Site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9" s="21" t="str" cm="1">
        <f t="array" aca="1" ref="Z29" ca="1">IF(Z$5&lt;=TODAY(),0,IF($B29="","",IFERROR(_xlfn.LET(_xlpm.Site,$B29,_xlpm.SiteCol,INDIRECT("tblSites[Site]"),_xlpm.ActCol,INDIRECT("tblSites[Site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9" s="21" t="str" cm="1">
        <f t="array" aca="1" ref="AA29" ca="1">IF(AA$5&lt;=TODAY(),0,IF($B29="","",IFERROR(_xlfn.LET(_xlpm.Site,$B29,_xlpm.SiteCol,INDIRECT("tblSites[Site]"),_xlpm.ActCol,INDIRECT("tblSites[Site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9" s="21" t="str" cm="1">
        <f t="array" aca="1" ref="AB29" ca="1">IF(AB$5&lt;=TODAY(),0,IF($B29="","",IFERROR(_xlfn.LET(_xlpm.Site,$B29,_xlpm.SiteCol,INDIRECT("tblSites[Site]"),_xlpm.ActCol,INDIRECT("tblSites[Site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9" s="21" t="str" cm="1">
        <f t="array" aca="1" ref="AC29" ca="1">IF(AC$5&lt;=TODAY(),0,IF($B29="","",IFERROR(_xlfn.LET(_xlpm.Site,$B29,_xlpm.SiteCol,INDIRECT("tblSites[Site]"),_xlpm.ActCol,INDIRECT("tblSites[Site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0" spans="1:29" x14ac:dyDescent="0.25">
      <c r="C30" s="21" t="str" cm="1">
        <f t="array" aca="1" ref="C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0" s="21" t="str" cm="1">
        <f t="array" aca="1" ref="D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0" s="21" t="str" cm="1">
        <f t="array" aca="1" ref="E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0" s="21" t="str" cm="1">
        <f t="array" aca="1" ref="F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0" s="21" t="str" cm="1">
        <f t="array" aca="1" ref="G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0" s="21" t="str" cm="1">
        <f t="array" aca="1" ref="H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0" s="21" t="str" cm="1">
        <f t="array" aca="1" ref="I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0" s="21" t="str" cm="1">
        <f t="array" aca="1" ref="J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0" s="21" t="str" cm="1">
        <f t="array" aca="1" ref="K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0" s="21" t="str" cm="1">
        <f t="array" aca="1" ref="L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0" s="21" t="str" cm="1">
        <f t="array" aca="1" ref="M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0" s="21" t="str" cm="1">
        <f t="array" aca="1" ref="N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0" s="21" t="str" cm="1">
        <f t="array" aca="1" ref="O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0" s="21" t="str" cm="1">
        <f t="array" aca="1" ref="P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0" s="21" t="str" cm="1">
        <f t="array" aca="1" ref="Q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0" s="21" t="str" cm="1">
        <f t="array" aca="1" ref="R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0" s="21" t="str" cm="1">
        <f t="array" aca="1" ref="S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0" s="21" t="str" cm="1">
        <f t="array" aca="1" ref="T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0" s="21" t="str" cm="1">
        <f t="array" aca="1" ref="U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0" s="21" t="str" cm="1">
        <f t="array" aca="1" ref="V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0" s="21" t="str" cm="1">
        <f t="array" aca="1" ref="W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0" s="21" t="str" cm="1">
        <f t="array" aca="1" ref="X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0" s="21" t="str" cm="1">
        <f t="array" aca="1" ref="Y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0" s="21" t="str" cm="1">
        <f t="array" aca="1" ref="Z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0" s="21" t="str" cm="1">
        <f t="array" aca="1" ref="AA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0" s="21" t="str" cm="1">
        <f t="array" aca="1" ref="AB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0" s="21" t="str" cm="1">
        <f t="array" aca="1" ref="AC30" ca="1">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31" spans="1:29" x14ac:dyDescent="0.25">
      <c r="C31" s="21" t="str" cm="1">
        <f t="array" aca="1" ref="C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1" s="21" t="str" cm="1">
        <f t="array" aca="1" ref="D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1" s="21" t="str" cm="1">
        <f t="array" aca="1" ref="E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1" s="21" t="str" cm="1">
        <f t="array" aca="1" ref="F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1" s="21" t="str" cm="1">
        <f t="array" aca="1" ref="G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1" s="21" t="str" cm="1">
        <f t="array" aca="1" ref="H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1" s="21" t="str" cm="1">
        <f t="array" aca="1" ref="I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1" s="21" t="str" cm="1">
        <f t="array" aca="1" ref="J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1" s="21" t="str" cm="1">
        <f t="array" aca="1" ref="K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1" s="21" t="str" cm="1">
        <f t="array" aca="1" ref="L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1" s="21" t="str" cm="1">
        <f t="array" aca="1" ref="M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1" s="21" t="str" cm="1">
        <f t="array" aca="1" ref="N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1" s="21" t="str" cm="1">
        <f t="array" aca="1" ref="O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1" s="21" t="str" cm="1">
        <f t="array" aca="1" ref="P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1" s="21" t="str" cm="1">
        <f t="array" aca="1" ref="Q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1" s="21" t="str" cm="1">
        <f t="array" aca="1" ref="R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1" s="21" t="str" cm="1">
        <f t="array" aca="1" ref="S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1" s="21" t="str" cm="1">
        <f t="array" aca="1" ref="T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1" s="21" t="str" cm="1">
        <f t="array" aca="1" ref="U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1" s="21" t="str" cm="1">
        <f t="array" aca="1" ref="V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1" s="21" t="str" cm="1">
        <f t="array" aca="1" ref="W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1" s="21" t="str" cm="1">
        <f t="array" aca="1" ref="X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1" s="21" t="str" cm="1">
        <f t="array" aca="1" ref="Y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1" s="21" t="str" cm="1">
        <f t="array" aca="1" ref="Z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1" s="21" t="str" cm="1">
        <f t="array" aca="1" ref="AA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1" s="21" t="str" cm="1">
        <f t="array" aca="1" ref="AB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1" s="21" t="str" cm="1">
        <f t="array" aca="1" ref="AC31" ca="1">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32" spans="1:29" x14ac:dyDescent="0.25">
      <c r="C32" s="21" t="str" cm="1">
        <f t="array" aca="1" ref="C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2" s="21" t="str" cm="1">
        <f t="array" aca="1" ref="D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2" s="21" t="str" cm="1">
        <f t="array" aca="1" ref="E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2" s="21" t="str" cm="1">
        <f t="array" aca="1" ref="F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2" s="21" t="str" cm="1">
        <f t="array" aca="1" ref="G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2" s="21" t="str" cm="1">
        <f t="array" aca="1" ref="H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2" s="21" t="str" cm="1">
        <f t="array" aca="1" ref="I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2" s="21" t="str" cm="1">
        <f t="array" aca="1" ref="J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2" s="21" t="str" cm="1">
        <f t="array" aca="1" ref="K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2" s="21" t="str" cm="1">
        <f t="array" aca="1" ref="L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2" s="21" t="str" cm="1">
        <f t="array" aca="1" ref="M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2" s="21" t="str" cm="1">
        <f t="array" aca="1" ref="N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2" s="21" t="str" cm="1">
        <f t="array" aca="1" ref="O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2" s="21" t="str" cm="1">
        <f t="array" aca="1" ref="P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2" s="21" t="str" cm="1">
        <f t="array" aca="1" ref="Q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2" s="21" t="str" cm="1">
        <f t="array" aca="1" ref="R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2" s="21" t="str" cm="1">
        <f t="array" aca="1" ref="S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2" s="21" t="str" cm="1">
        <f t="array" aca="1" ref="T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2" s="21" t="str" cm="1">
        <f t="array" aca="1" ref="U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2" s="21" t="str" cm="1">
        <f t="array" aca="1" ref="V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2" s="21" t="str" cm="1">
        <f t="array" aca="1" ref="W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2" s="21" t="str" cm="1">
        <f t="array" aca="1" ref="X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2" s="21" t="str" cm="1">
        <f t="array" aca="1" ref="Y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2" s="21" t="str" cm="1">
        <f t="array" aca="1" ref="Z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2" s="21" t="str" cm="1">
        <f t="array" aca="1" ref="AA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2" s="21" t="str" cm="1">
        <f t="array" aca="1" ref="AB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2" s="21" t="str" cm="1">
        <f t="array" aca="1" ref="AC32" ca="1">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33" spans="3:29" x14ac:dyDescent="0.25">
      <c r="C33" s="21" t="str" cm="1">
        <f t="array" aca="1" ref="C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3" s="21" t="str" cm="1">
        <f t="array" aca="1" ref="D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3" s="21" t="str" cm="1">
        <f t="array" aca="1" ref="E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3" s="21" t="str" cm="1">
        <f t="array" aca="1" ref="F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3" s="21" t="str" cm="1">
        <f t="array" aca="1" ref="G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3" s="21" t="str" cm="1">
        <f t="array" aca="1" ref="H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3" s="21" t="str" cm="1">
        <f t="array" aca="1" ref="I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3" s="21" t="str" cm="1">
        <f t="array" aca="1" ref="J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3" s="21" t="str" cm="1">
        <f t="array" aca="1" ref="K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3" s="21" t="str" cm="1">
        <f t="array" aca="1" ref="L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3" s="21" t="str" cm="1">
        <f t="array" aca="1" ref="M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3" s="21" t="str" cm="1">
        <f t="array" aca="1" ref="N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3" s="21" t="str" cm="1">
        <f t="array" aca="1" ref="O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3" s="21" t="str" cm="1">
        <f t="array" aca="1" ref="P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3" s="21" t="str" cm="1">
        <f t="array" aca="1" ref="Q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3" s="21" t="str" cm="1">
        <f t="array" aca="1" ref="R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3" s="21" t="str" cm="1">
        <f t="array" aca="1" ref="S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3" s="21" t="str" cm="1">
        <f t="array" aca="1" ref="T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3" s="21" t="str" cm="1">
        <f t="array" aca="1" ref="U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3" s="21" t="str" cm="1">
        <f t="array" aca="1" ref="V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3" s="21" t="str" cm="1">
        <f t="array" aca="1" ref="W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3" s="21" t="str" cm="1">
        <f t="array" aca="1" ref="X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3" s="21" t="str" cm="1">
        <f t="array" aca="1" ref="Y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3" s="21" t="str" cm="1">
        <f t="array" aca="1" ref="Z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3" s="21" t="str" cm="1">
        <f t="array" aca="1" ref="AA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3" s="21" t="str" cm="1">
        <f t="array" aca="1" ref="AB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3" s="21" t="str" cm="1">
        <f t="array" aca="1" ref="AC33" ca="1">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34" spans="3:29" x14ac:dyDescent="0.25">
      <c r="C34" s="21" t="str" cm="1">
        <f t="array" aca="1" ref="C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4" s="21" t="str" cm="1">
        <f t="array" aca="1" ref="D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4" s="21" t="str" cm="1">
        <f t="array" aca="1" ref="E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4" s="21" t="str" cm="1">
        <f t="array" aca="1" ref="F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4" s="21" t="str" cm="1">
        <f t="array" aca="1" ref="G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4" s="21" t="str" cm="1">
        <f t="array" aca="1" ref="H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4" s="21" t="str" cm="1">
        <f t="array" aca="1" ref="I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4" s="21" t="str" cm="1">
        <f t="array" aca="1" ref="J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4" s="21" t="str" cm="1">
        <f t="array" aca="1" ref="K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4" s="21" t="str" cm="1">
        <f t="array" aca="1" ref="L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4" s="21" t="str" cm="1">
        <f t="array" aca="1" ref="M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4" s="21" t="str" cm="1">
        <f t="array" aca="1" ref="N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4" s="21" t="str" cm="1">
        <f t="array" aca="1" ref="O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4" s="21" t="str" cm="1">
        <f t="array" aca="1" ref="P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4" s="21" t="str" cm="1">
        <f t="array" aca="1" ref="Q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4" s="21" t="str" cm="1">
        <f t="array" aca="1" ref="R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4" s="21" t="str" cm="1">
        <f t="array" aca="1" ref="S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4" s="21" t="str" cm="1">
        <f t="array" aca="1" ref="T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4" s="21" t="str" cm="1">
        <f t="array" aca="1" ref="U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4" s="21" t="str" cm="1">
        <f t="array" aca="1" ref="V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4" s="21" t="str" cm="1">
        <f t="array" aca="1" ref="W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4" s="21" t="str" cm="1">
        <f t="array" aca="1" ref="X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4" s="21" t="str" cm="1">
        <f t="array" aca="1" ref="Y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4" s="21" t="str" cm="1">
        <f t="array" aca="1" ref="Z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4" s="21" t="str" cm="1">
        <f t="array" aca="1" ref="AA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4" s="21" t="str" cm="1">
        <f t="array" aca="1" ref="AB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4" s="21" t="str" cm="1">
        <f t="array" aca="1" ref="AC34" ca="1">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35" spans="3:29" x14ac:dyDescent="0.25">
      <c r="C35" s="21" t="str" cm="1">
        <f t="array" aca="1" ref="C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5" s="21" t="str" cm="1">
        <f t="array" aca="1" ref="D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5" s="21" t="str" cm="1">
        <f t="array" aca="1" ref="E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5" s="21" t="str" cm="1">
        <f t="array" aca="1" ref="F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5" s="21" t="str" cm="1">
        <f t="array" aca="1" ref="G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5" s="21" t="str" cm="1">
        <f t="array" aca="1" ref="H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5" s="21" t="str" cm="1">
        <f t="array" aca="1" ref="I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5" s="21" t="str" cm="1">
        <f t="array" aca="1" ref="J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5" s="21" t="str" cm="1">
        <f t="array" aca="1" ref="K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5" s="21" t="str" cm="1">
        <f t="array" aca="1" ref="L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5" s="21" t="str" cm="1">
        <f t="array" aca="1" ref="M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5" s="21" t="str" cm="1">
        <f t="array" aca="1" ref="N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5" s="21" t="str" cm="1">
        <f t="array" aca="1" ref="O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5" s="21" t="str" cm="1">
        <f t="array" aca="1" ref="P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5" s="21" t="str" cm="1">
        <f t="array" aca="1" ref="Q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5" s="21" t="str" cm="1">
        <f t="array" aca="1" ref="R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5" s="21" t="str" cm="1">
        <f t="array" aca="1" ref="S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5" s="21" t="str" cm="1">
        <f t="array" aca="1" ref="T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5" s="21" t="str" cm="1">
        <f t="array" aca="1" ref="U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5" s="21" t="str" cm="1">
        <f t="array" aca="1" ref="V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5" s="21" t="str" cm="1">
        <f t="array" aca="1" ref="W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5" s="21" t="str" cm="1">
        <f t="array" aca="1" ref="X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5" s="21" t="str" cm="1">
        <f t="array" aca="1" ref="Y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5" s="21" t="str" cm="1">
        <f t="array" aca="1" ref="Z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5" s="21" t="str" cm="1">
        <f t="array" aca="1" ref="AA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5" s="21" t="str" cm="1">
        <f t="array" aca="1" ref="AB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5" s="21" t="str" cm="1">
        <f t="array" aca="1" ref="AC35" ca="1">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36" spans="3:29" x14ac:dyDescent="0.25">
      <c r="C36" s="21" t="str" cm="1">
        <f t="array" aca="1" ref="C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6" s="21" t="str" cm="1">
        <f t="array" aca="1" ref="D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6" s="21" t="str" cm="1">
        <f t="array" aca="1" ref="E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6" s="21" t="str" cm="1">
        <f t="array" aca="1" ref="F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6" s="21" t="str" cm="1">
        <f t="array" aca="1" ref="G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6" s="21" t="str" cm="1">
        <f t="array" aca="1" ref="H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6" s="21" t="str" cm="1">
        <f t="array" aca="1" ref="I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6" s="21" t="str" cm="1">
        <f t="array" aca="1" ref="J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6" s="21" t="str" cm="1">
        <f t="array" aca="1" ref="K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6" s="21" t="str" cm="1">
        <f t="array" aca="1" ref="L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6" s="21" t="str" cm="1">
        <f t="array" aca="1" ref="M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6" s="21" t="str" cm="1">
        <f t="array" aca="1" ref="N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6" s="21" t="str" cm="1">
        <f t="array" aca="1" ref="O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6" s="21" t="str" cm="1">
        <f t="array" aca="1" ref="P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6" s="21" t="str" cm="1">
        <f t="array" aca="1" ref="Q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6" s="21" t="str" cm="1">
        <f t="array" aca="1" ref="R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6" s="21" t="str" cm="1">
        <f t="array" aca="1" ref="S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6" s="21" t="str" cm="1">
        <f t="array" aca="1" ref="T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6" s="21" t="str" cm="1">
        <f t="array" aca="1" ref="U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6" s="21" t="str" cm="1">
        <f t="array" aca="1" ref="V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6" s="21" t="str" cm="1">
        <f t="array" aca="1" ref="W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6" s="21" t="str" cm="1">
        <f t="array" aca="1" ref="X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6" s="21" t="str" cm="1">
        <f t="array" aca="1" ref="Y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6" s="21" t="str" cm="1">
        <f t="array" aca="1" ref="Z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6" s="21" t="str" cm="1">
        <f t="array" aca="1" ref="AA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6" s="21" t="str" cm="1">
        <f t="array" aca="1" ref="AB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6" s="21" t="str" cm="1">
        <f t="array" aca="1" ref="AC36" ca="1">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37" spans="3:29" x14ac:dyDescent="0.25">
      <c r="C37" s="21" t="str" cm="1">
        <f t="array" aca="1" ref="C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7" s="21" t="str" cm="1">
        <f t="array" aca="1" ref="D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7" s="21" t="str" cm="1">
        <f t="array" aca="1" ref="E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7" s="21" t="str" cm="1">
        <f t="array" aca="1" ref="F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7" s="21" t="str" cm="1">
        <f t="array" aca="1" ref="G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7" s="21" t="str" cm="1">
        <f t="array" aca="1" ref="H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7" s="21" t="str" cm="1">
        <f t="array" aca="1" ref="I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7" s="21" t="str" cm="1">
        <f t="array" aca="1" ref="J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7" s="21" t="str" cm="1">
        <f t="array" aca="1" ref="K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7" s="21" t="str" cm="1">
        <f t="array" aca="1" ref="L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7" s="21" t="str" cm="1">
        <f t="array" aca="1" ref="M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7" s="21" t="str" cm="1">
        <f t="array" aca="1" ref="N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7" s="21" t="str" cm="1">
        <f t="array" aca="1" ref="O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7" s="21" t="str" cm="1">
        <f t="array" aca="1" ref="P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7" s="21" t="str" cm="1">
        <f t="array" aca="1" ref="Q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7" s="21" t="str" cm="1">
        <f t="array" aca="1" ref="R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7" s="21" t="str" cm="1">
        <f t="array" aca="1" ref="S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7" s="21" t="str" cm="1">
        <f t="array" aca="1" ref="T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7" s="21" t="str" cm="1">
        <f t="array" aca="1" ref="U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7" s="21" t="str" cm="1">
        <f t="array" aca="1" ref="V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7" s="21" t="str" cm="1">
        <f t="array" aca="1" ref="W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7" s="21" t="str" cm="1">
        <f t="array" aca="1" ref="X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7" s="21" t="str" cm="1">
        <f t="array" aca="1" ref="Y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7" s="21" t="str" cm="1">
        <f t="array" aca="1" ref="Z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7" s="21" t="str" cm="1">
        <f t="array" aca="1" ref="AA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7" s="21" t="str" cm="1">
        <f t="array" aca="1" ref="AB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7" s="21" t="str" cm="1">
        <f t="array" aca="1" ref="AC37" ca="1">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38" spans="3:29" x14ac:dyDescent="0.25">
      <c r="C38" s="21" t="str" cm="1">
        <f t="array" aca="1" ref="C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8" s="21" t="str" cm="1">
        <f t="array" aca="1" ref="D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8" s="21" t="str" cm="1">
        <f t="array" aca="1" ref="E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8" s="21" t="str" cm="1">
        <f t="array" aca="1" ref="F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8" s="21" t="str" cm="1">
        <f t="array" aca="1" ref="G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8" s="21" t="str" cm="1">
        <f t="array" aca="1" ref="H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8" s="21" t="str" cm="1">
        <f t="array" aca="1" ref="I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8" s="21" t="str" cm="1">
        <f t="array" aca="1" ref="J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8" s="21" t="str" cm="1">
        <f t="array" aca="1" ref="K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8" s="21" t="str" cm="1">
        <f t="array" aca="1" ref="L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8" s="21" t="str" cm="1">
        <f t="array" aca="1" ref="M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8" s="21" t="str" cm="1">
        <f t="array" aca="1" ref="N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8" s="21" t="str" cm="1">
        <f t="array" aca="1" ref="O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8" s="21" t="str" cm="1">
        <f t="array" aca="1" ref="P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8" s="21" t="str" cm="1">
        <f t="array" aca="1" ref="Q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8" s="21" t="str" cm="1">
        <f t="array" aca="1" ref="R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8" s="21" t="str" cm="1">
        <f t="array" aca="1" ref="S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8" s="21" t="str" cm="1">
        <f t="array" aca="1" ref="T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8" s="21" t="str" cm="1">
        <f t="array" aca="1" ref="U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8" s="21" t="str" cm="1">
        <f t="array" aca="1" ref="V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8" s="21" t="str" cm="1">
        <f t="array" aca="1" ref="W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8" s="21" t="str" cm="1">
        <f t="array" aca="1" ref="X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8" s="21" t="str" cm="1">
        <f t="array" aca="1" ref="Y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8" s="21" t="str" cm="1">
        <f t="array" aca="1" ref="Z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8" s="21" t="str" cm="1">
        <f t="array" aca="1" ref="AA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8" s="21" t="str" cm="1">
        <f t="array" aca="1" ref="AB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8" s="21" t="str" cm="1">
        <f t="array" aca="1" ref="AC38" ca="1">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39" spans="3:29" x14ac:dyDescent="0.25">
      <c r="C39" s="21" t="str" cm="1">
        <f t="array" aca="1" ref="C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</f>
        <v/>
      </c>
      <c r="D39" s="21" t="str" cm="1">
        <f t="array" aca="1" ref="D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</f>
        <v/>
      </c>
      <c r="E39" s="21" t="str" cm="1">
        <f t="array" aca="1" ref="E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</f>
        <v/>
      </c>
      <c r="F39" s="21" t="str" cm="1">
        <f t="array" aca="1" ref="F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</f>
        <v/>
      </c>
      <c r="G39" s="21" t="str" cm="1">
        <f t="array" aca="1" ref="G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</f>
        <v/>
      </c>
      <c r="H39" s="21" t="str" cm="1">
        <f t="array" aca="1" ref="H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</f>
        <v/>
      </c>
      <c r="I39" s="21" t="str" cm="1">
        <f t="array" aca="1" ref="I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</f>
        <v/>
      </c>
      <c r="J39" s="21" t="str" cm="1">
        <f t="array" aca="1" ref="J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</f>
        <v/>
      </c>
      <c r="K39" s="21" t="str" cm="1">
        <f t="array" aca="1" ref="K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</f>
        <v/>
      </c>
      <c r="L39" s="21" t="str" cm="1">
        <f t="array" aca="1" ref="L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</f>
        <v/>
      </c>
      <c r="M39" s="21" t="str" cm="1">
        <f t="array" aca="1" ref="M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</f>
        <v/>
      </c>
      <c r="N39" s="21" t="str" cm="1">
        <f t="array" aca="1" ref="N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</f>
        <v/>
      </c>
      <c r="O39" s="21" t="str" cm="1">
        <f t="array" aca="1" ref="O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</f>
        <v/>
      </c>
      <c r="P39" s="21" t="str" cm="1">
        <f t="array" aca="1" ref="P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</f>
        <v/>
      </c>
      <c r="Q39" s="21" t="str" cm="1">
        <f t="array" aca="1" ref="Q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</f>
        <v/>
      </c>
      <c r="R39" s="21" t="str" cm="1">
        <f t="array" aca="1" ref="R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</f>
        <v/>
      </c>
      <c r="S39" s="21" t="str" cm="1">
        <f t="array" aca="1" ref="S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</f>
        <v/>
      </c>
      <c r="T39" s="21" t="str" cm="1">
        <f t="array" aca="1" ref="T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</f>
        <v/>
      </c>
      <c r="U39" s="21" t="str" cm="1">
        <f t="array" aca="1" ref="U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</f>
        <v/>
      </c>
      <c r="V39" s="21" t="str" cm="1">
        <f t="array" aca="1" ref="V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</f>
        <v/>
      </c>
      <c r="W39" s="21" t="str" cm="1">
        <f t="array" aca="1" ref="W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</f>
        <v/>
      </c>
      <c r="X39" s="21" t="str" cm="1">
        <f t="array" aca="1" ref="X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</f>
        <v/>
      </c>
      <c r="Y39" s="21" t="str" cm="1">
        <f t="array" aca="1" ref="Y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</f>
        <v/>
      </c>
      <c r="Z39" s="21" t="str" cm="1">
        <f t="array" aca="1" ref="Z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</f>
        <v/>
      </c>
      <c r="AA39" s="21" t="str" cm="1">
        <f t="array" aca="1" ref="AA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</f>
        <v/>
      </c>
      <c r="AB39" s="21" t="str" cm="1">
        <f t="array" aca="1" ref="AB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</f>
        <v/>
      </c>
      <c r="AC39" s="21" t="str" cm="1">
        <f t="array" aca="1" ref="AC39" ca="1">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                    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</f>
        <v/>
      </c>
    </row>
    <row r="40" spans="3:29" x14ac:dyDescent="0.25">
      <c r="D40" s="21" t="str">
        <f>IF($B40="","",IFERROR(_xlfn.LET(_xlpm.Site,$B40,_xlpm.ActDate,_xlfn.XLOOKUP(_xlpm.Site,tblSites[Site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40:INDEX($1:$1048576,ROW(),COLUMN()-1))),_xlpm.Remaining,MAX(0,_xlpm.MaxPts-_xlpm.PriorEnrolled),IF(OR(_xlpm.ActDate="",EOMONTH(D$5,0)&lt;_xlpm.StartDate,_xlpm.Remaining&lt;=0),0,MIN(_xlpm.MonthlyEnroll,_xlpm.Remaining))),0))</f>
        <v/>
      </c>
      <c r="E40" s="21" t="str">
        <f>IF($B40="","",IFERROR(_xlfn.LET(_xlpm.Site,$B40,_xlpm.ActDate,_xlfn.XLOOKUP(_xlpm.Site,tblSites[Monthly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40:INDEX($1:$1048576,ROW(),COLUMN()-1))),_xlpm.Remaining,MAX(0,_xlpm.MaxPts-_xlpm.PriorEnrolled),IF(OR(_xlpm.ActDate="",EOMONTH(E$5,0)&lt;_xlpm.StartDate,_xlpm.Remaining&lt;=0),0,MIN(_xlpm.MonthlyEnroll,_xlpm.Remaining))),0))</f>
        <v/>
      </c>
      <c r="F40" s="21" t="str">
        <f>IF($B40="","",IFERROR(_xlfn.LET(_xlpm.Site,$B40,_xlpm.ActDate,_xlfn.XLOOKUP(_xlpm.Site,tblSites[Site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40:INDEX($1:$1048576,ROW(),COLUMN()-1))),_xlpm.Remaining,MAX(0,_xlpm.MaxPts-_xlpm.PriorEnrolled),IF(OR(_xlpm.ActDate="",EOMONTH(F$5,0)&lt;_xlpm.StartDate,_xlpm.Remaining&lt;=0),0,MIN(_xlpm.MonthlyEnroll,_xlpm.Remaining))),0))</f>
        <v/>
      </c>
      <c r="G40" s="21" t="str">
        <f>IF($B40="","",IFERROR(_xlfn.LET(_xlpm.Site,$B40,_xlpm.ActDate,_xlfn.XLOOKUP(_xlpm.Site,tblSites[Max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40:INDEX($1:$1048576,ROW(),COLUMN()-1))),_xlpm.Remaining,MAX(0,_xlpm.MaxPts-_xlpm.PriorEnrolled),IF(OR(_xlpm.ActDate="",EOMONTH(G$5,0)&lt;_xlpm.StartDate,_xlpm.Remaining&lt;=0),0,MIN(_xlpm.MonthlyEnroll,_xlpm.Remaining))),0))</f>
        <v/>
      </c>
      <c r="H40" s="21" t="str">
        <f>IF($B40="","",IFERROR(_xlfn.LET(_xlpm.Site,$B40,_xlpm.ActDate,_xlfn.XLOOKUP(_xlpm.Site,tblSites[Current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40:INDEX($1:$1048576,ROW(),COLUMN()-1))),_xlpm.Remaining,MAX(0,_xlpm.MaxPts-_xlpm.PriorEnrolled),IF(OR(_xlpm.ActDate="",EOMONTH(H$5,0)&lt;_xlpm.StartDate,_xlpm.Remaining&lt;=0),0,MIN(_xlpm.MonthlyEnroll,_xlpm.Remaining))),0))</f>
        <v/>
      </c>
      <c r="I40" s="21" t="str">
        <f>IF($B40="","",IFERROR(_xlfn.LET(_xlpm.Site,$B40,_xlpm.ActDate,_xlfn.XLOOKUP(_xlpm.Site,tblSites[Include?],tblSites[Scenario?],""),_xlpm.ScreenDays,N('Study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40:INDEX($1:$1048576,ROW(),COLUMN()-1))),_xlpm.Remaining,MAX(0,_xlpm.MaxPts-_xlpm.PriorEnrolled),IF(OR(_xlpm.ActDate="",EOMONTH(I$5,0)&lt;_xlpm.StartDate,_xlpm.Remaining&lt;=0),0,MIN(_xlpm.MonthlyEnroll,_xlpm.Remaining))),0))</f>
        <v/>
      </c>
      <c r="J40" s="21" t="str">
        <f>IF($B40="","",IFERROR(_xlfn.LET(_xlpm.Site,$B40,_xlpm.ActDate,_xlfn.XLOOKUP(_xlpm.Site,tblSites[Scenario?],tblSites[Check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40:INDEX($1:$1048576,ROW(),COLUMN()-1))),_xlpm.Remaining,MAX(0,_xlpm.MaxPts-_xlpm.PriorEnrolled),IF(OR(_xlpm.ActDate="",EOMONTH(J$5,0)&lt;_xlpm.StartDate,_xlpm.Remaining&lt;=0),0,MIN(_xlpm.MonthlyEnroll,_xlpm.Remaining))),0))</f>
        <v/>
      </c>
      <c r="K40" s="21" t="str">
        <f>IF($B40="","",IFERROR(_xlfn.LET(_xlpm.Site,$B40,_xlpm.ActDate,_xlfn.XLOOKUP(_xlpm.Site,tblSites[Check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40:INDEX($1:$1048576,ROW(),COLUMN()-1))),_xlpm.Remaining,MAX(0,_xlpm.MaxPts-_xlpm.PriorEnrolled),IF(OR(_xlpm.ActDate="",EOMONTH(K$5,0)&lt;_xlpm.StartDate,_xlpm.Remaining&lt;=0),0,MIN(_xlpm.MonthlyEnroll,_xlpm.Remaining))),0))</f>
        <v/>
      </c>
      <c r="L40" s="21" t="str">
        <f>IF($B40="","",IFERROR(_xlfn.LET(_xlpm.Site,$B40,_xlpm.ActDate,_xlfn.XLOOKUP(_xlpm.Site,tblSites[Site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40:INDEX($1:$1048576,ROW(),COLUMN()-1))),_xlpm.Remaining,MAX(0,_xlpm.MaxPts-_xlpm.PriorEnrolled),IF(OR(_xlpm.ActDate="",EOMONTH(L$5,0)&lt;_xlpm.StartDate,_xlpm.Remaining&lt;=0),0,MIN(_xlpm.MonthlyEnroll,_xlpm.Remaining))),0))</f>
        <v/>
      </c>
      <c r="M40" s="21" t="str">
        <f>IF($B40="","",IFERROR(_xlfn.LET(_xlpm.Site,$B40,_xlpm.ActDate,_xlfn.XLOOKUP(_xlpm.Site,#REF!,tblSites[Country],""),_xlpm.ScreenDays,N('Study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40:INDEX($1:$1048576,ROW(),COLUMN()-1))),_xlpm.Remaining,MAX(0,_xlpm.MaxPts-_xlpm.PriorEnrolled),IF(OR(_xlpm.ActDate="",EOMONTH(M$5,0)&lt;_xlpm.StartDate,_xlpm.Remaining&lt;=0),0,MIN(_xlpm.MonthlyEnroll,_xlpm.Remaining))),0))</f>
        <v/>
      </c>
      <c r="N40" s="21" t="str">
        <f>IF($B40="","",IFERROR(_xlfn.LET(_xlpm.Site,$B40,_xlpm.ActDate,_xlfn.XLOOKUP(_xlpm.Site,tblSites[Country],tblSites[Site],""),_xlpm.ScreenDays,N('Study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40:INDEX($1:$1048576,ROW(),COLUMN()-1))),_xlpm.Remaining,MAX(0,_xlpm.MaxPts-_xlpm.PriorEnrolled),IF(OR(_xlpm.ActDate="",EOMONTH(N$5,0)&lt;_xlpm.StartDate,_xlpm.Remaining&lt;=0),0,MIN(_xlpm.MonthlyEnroll,_xlpm.Remaining))),0))</f>
        <v/>
      </c>
      <c r="O40" s="21" t="str">
        <f>IF($B40="","",IFERROR(_xlfn.LET(_xlpm.Site,$B40,_xlpm.ActDate,_xlfn.XLOOKUP(_xlpm.Site,tblSites[Site],tblSites[Site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40:INDEX($1:$1048576,ROW(),COLUMN()-1))),_xlpm.Remaining,MAX(0,_xlpm.MaxPts-_xlpm.PriorEnrolled),IF(OR(_xlpm.ActDate="",EOMONTH(O$5,0)&lt;_xlpm.StartDate,_xlpm.Remaining&lt;=0),0,MIN(_xlpm.MonthlyEnroll,_xlpm.Remaining))),0))</f>
        <v/>
      </c>
      <c r="P40" s="21" t="str">
        <f>IF($B40="","",IFERROR(_xlfn.LET(_xlpm.Site,$B40,_xlpm.ActDate,_xlfn.XLOOKUP(_xlpm.Site,tblSites[Site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40:INDEX($1:$1048576,ROW(),COLUMN()-1))),_xlpm.Remaining,MAX(0,_xlpm.MaxPts-_xlpm.PriorEnrolled),IF(OR(_xlpm.ActDate="",EOMONTH(P$5,0)&lt;_xlpm.StartDate,_xlpm.Remaining&lt;=0),0,MIN(_xlpm.MonthlyEnroll,_xlpm.Remaining))),0))</f>
        <v/>
      </c>
      <c r="Q40" s="21" t="str">
        <f>IF($B40="","",IFERROR(_xlfn.LET(_xlpm.Site,$B40,_xlpm.ActDate,_xlfn.XLOOKUP(_xlpm.Site,tblSites[Monthly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40:INDEX($1:$1048576,ROW(),COLUMN()-1))),_xlpm.Remaining,MAX(0,_xlpm.MaxPts-_xlpm.PriorEnrolled),IF(OR(_xlpm.ActDate="",EOMONTH(Q$5,0)&lt;_xlpm.StartDate,_xlpm.Remaining&lt;=0),0,MIN(_xlpm.MonthlyEnroll,_xlpm.Remaining))),0))</f>
        <v/>
      </c>
      <c r="R40" s="21" t="str">
        <f>IF($B40="","",IFERROR(_xlfn.LET(_xlpm.Site,$B40,_xlpm.ActDate,_xlfn.XLOOKUP(_xlpm.Site,tblSites[Site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40:INDEX($1:$1048576,ROW(),COLUMN()-1))),_xlpm.Remaining,MAX(0,_xlpm.MaxPts-_xlpm.PriorEnrolled),IF(OR(_xlpm.ActDate="",EOMONTH(R$5,0)&lt;_xlpm.StartDate,_xlpm.Remaining&lt;=0),0,MIN(_xlpm.MonthlyEnroll,_xlpm.Remaining))),0))</f>
        <v/>
      </c>
      <c r="S40" s="21" t="str">
        <f>IF($B40="","",IFERROR(_xlfn.LET(_xlpm.Site,$B40,_xlpm.ActDate,_xlfn.XLOOKUP(_xlpm.Site,tblSites[Max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40:INDEX($1:$1048576,ROW(),COLUMN()-1))),_xlpm.Remaining,MAX(0,_xlpm.MaxPts-_xlpm.PriorEnrolled),IF(OR(_xlpm.ActDate="",EOMONTH(S$5,0)&lt;_xlpm.StartDate,_xlpm.Remaining&lt;=0),0,MIN(_xlpm.MonthlyEnroll,_xlpm.Remaining))),0))</f>
        <v/>
      </c>
      <c r="T40" s="21" t="str">
        <f>IF($B40="","",IFERROR(_xlfn.LET(_xlpm.Site,$B40,_xlpm.ActDate,_xlfn.XLOOKUP(_xlpm.Site,tblSites[Current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40:INDEX($1:$1048576,ROW(),COLUMN()-1))),_xlpm.Remaining,MAX(0,_xlpm.MaxPts-_xlpm.PriorEnrolled),IF(OR(_xlpm.ActDate="",EOMONTH(T$5,0)&lt;_xlpm.StartDate,_xlpm.Remaining&lt;=0),0,MIN(_xlpm.MonthlyEnroll,_xlpm.Remaining))),0))</f>
        <v/>
      </c>
      <c r="U40" s="21" t="str">
        <f>IF($B40="","",IFERROR(_xlfn.LET(_xlpm.Site,$B40,_xlpm.ActDate,_xlfn.XLOOKUP(_xlpm.Site,tblSites[Include?],tblSites[Scenario?],""),_xlpm.ScreenDays,N('Study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40:INDEX($1:$1048576,ROW(),COLUMN()-1))),_xlpm.Remaining,MAX(0,_xlpm.MaxPts-_xlpm.PriorEnrolled),IF(OR(_xlpm.ActDate="",EOMONTH(U$5,0)&lt;_xlpm.StartDate,_xlpm.Remaining&lt;=0),0,MIN(_xlpm.MonthlyEnroll,_xlpm.Remaining))),0))</f>
        <v/>
      </c>
      <c r="V40" s="21" t="str">
        <f>IF($B40="","",IFERROR(_xlfn.LET(_xlpm.Site,$B40,_xlpm.ActDate,_xlfn.XLOOKUP(_xlpm.Site,tblSites[Scenario?],tblSites[Check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40:INDEX($1:$1048576,ROW(),COLUMN()-1))),_xlpm.Remaining,MAX(0,_xlpm.MaxPts-_xlpm.PriorEnrolled),IF(OR(_xlpm.ActDate="",EOMONTH(V$5,0)&lt;_xlpm.StartDate,_xlpm.Remaining&lt;=0),0,MIN(_xlpm.MonthlyEnroll,_xlpm.Remaining))),0))</f>
        <v/>
      </c>
      <c r="W40" s="21" t="str">
        <f>IF($B40="","",IFERROR(_xlfn.LET(_xlpm.Site,$B40,_xlpm.ActDate,_xlfn.XLOOKUP(_xlpm.Site,tblSites[Check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40:INDEX($1:$1048576,ROW(),COLUMN()-1))),_xlpm.Remaining,MAX(0,_xlpm.MaxPts-_xlpm.PriorEnrolled),IF(OR(_xlpm.ActDate="",EOMONTH(W$5,0)&lt;_xlpm.StartDate,_xlpm.Remaining&lt;=0),0,MIN(_xlpm.MonthlyEnroll,_xlpm.Remaining))),0))</f>
        <v/>
      </c>
      <c r="X40" s="21" t="str">
        <f>IF($B40="","",IFERROR(_xlfn.LET(_xlpm.Site,$B40,_xlpm.ActDate,_xlfn.XLOOKUP(_xlpm.Site,tblSites[Site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40:INDEX($1:$1048576,ROW(),COLUMN()-1))),_xlpm.Remaining,MAX(0,_xlpm.MaxPts-_xlpm.PriorEnrolled),IF(OR(_xlpm.ActDate="",EOMONTH(X$5,0)&lt;_xlpm.StartDate,_xlpm.Remaining&lt;=0),0,MIN(_xlpm.MonthlyEnroll,_xlpm.Remaining))),0))</f>
        <v/>
      </c>
      <c r="Y40" s="21" t="str">
        <f>IF($B40="","",IFERROR(_xlfn.LET(_xlpm.Site,$B40,_xlpm.ActDate,_xlfn.XLOOKUP(_xlpm.Site,#REF!,tblSites[Country],""),_xlpm.ScreenDays,N('Study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40:INDEX($1:$1048576,ROW(),COLUMN()-1))),_xlpm.Remaining,MAX(0,_xlpm.MaxPts-_xlpm.PriorEnrolled),IF(OR(_xlpm.ActDate="",EOMONTH(Y$5,0)&lt;_xlpm.StartDate,_xlpm.Remaining&lt;=0),0,MIN(_xlpm.MonthlyEnroll,_xlpm.Remaining))),0))</f>
        <v/>
      </c>
      <c r="Z40" s="21" t="str">
        <f>IF($B40="","",IFERROR(_xlfn.LET(_xlpm.Site,$B40,_xlpm.ActDate,_xlfn.XLOOKUP(_xlpm.Site,tblSites[Country],tblSites[Site],""),_xlpm.ScreenDays,N('Study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40:INDEX($1:$1048576,ROW(),COLUMN()-1))),_xlpm.Remaining,MAX(0,_xlpm.MaxPts-_xlpm.PriorEnrolled),IF(OR(_xlpm.ActDate="",EOMONTH(Z$5,0)&lt;_xlpm.StartDate,_xlpm.Remaining&lt;=0),0,MIN(_xlpm.MonthlyEnroll,_xlpm.Remaining))),0))</f>
        <v/>
      </c>
      <c r="AA40" s="21" t="str">
        <f>IF($B40="","",IFERROR(_xlfn.LET(_xlpm.Site,$B40,_xlpm.ActDate,_xlfn.XLOOKUP(_xlpm.Site,tblSites[Site],tblSites[Site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40:INDEX($1:$1048576,ROW(),COLUMN()-1))),_xlpm.Remaining,MAX(0,_xlpm.MaxPts-_xlpm.PriorEnrolled),IF(OR(_xlpm.ActDate="",EOMONTH(AA$5,0)&lt;_xlpm.StartDate,_xlpm.Remaining&lt;=0),0,MIN(_xlpm.MonthlyEnroll,_xlpm.Remaining))),0))</f>
        <v/>
      </c>
      <c r="AB40" s="21" t="str">
        <f>IF($B40="","",IFERROR(_xlfn.LET(_xlpm.Site,$B40,_xlpm.ActDate,_xlfn.XLOOKUP(_xlpm.Site,tblSites[Site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40:INDEX($1:$1048576,ROW(),COLUMN()-1))),_xlpm.Remaining,MAX(0,_xlpm.MaxPts-_xlpm.PriorEnrolled),IF(OR(_xlpm.ActDate="",EOMONTH(AB$5,0)&lt;_xlpm.StartDate,_xlpm.Remaining&lt;=0),0,MIN(_xlpm.MonthlyEnroll,_xlpm.Remaining))),0))</f>
        <v/>
      </c>
      <c r="AC40" s="21" t="str">
        <f>IF($B40="","",IFERROR(_xlfn.LET(_xlpm.Site,$B40,_xlpm.ActDate,_xlfn.XLOOKUP(_xlpm.Site,tblSites[Monthly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40:INDEX($1:$1048576,ROW(),COLUMN()-1))),_xlpm.Remaining,MAX(0,_xlpm.MaxPts-_xlpm.PriorEnrolled),IF(OR(_xlpm.ActDate="",EOMONTH(AC$5,0)&lt;_xlpm.StartDate,_xlpm.Remaining&lt;=0),0,MIN(_xlpm.MonthlyEnroll,_xlpm.Remaining))),0))</f>
        <v/>
      </c>
    </row>
    <row r="41" spans="3:29" x14ac:dyDescent="0.25">
      <c r="D41" s="21" t="str">
        <f>IF($B41="","",IFERROR(_xlfn.LET(_xlpm.Site,$B41,_xlpm.ActDate,_xlfn.XLOOKUP(_xlpm.Site,tblSites[Site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41:INDEX($1:$1048576,ROW(),COLUMN()-1))),_xlpm.Remaining,MAX(0,_xlpm.MaxPts-_xlpm.PriorEnrolled),IF(OR(_xlpm.ActDate="",EOMONTH(D$5,0)&lt;_xlpm.StartDate,_xlpm.Remaining&lt;=0),0,MIN(_xlpm.MonthlyEnroll,_xlpm.Remaining))),0))</f>
        <v/>
      </c>
      <c r="E41" s="21" t="str">
        <f>IF($B41="","",IFERROR(_xlfn.LET(_xlpm.Site,$B41,_xlpm.ActDate,_xlfn.XLOOKUP(_xlpm.Site,tblSites[Monthly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41:INDEX($1:$1048576,ROW(),COLUMN()-1))),_xlpm.Remaining,MAX(0,_xlpm.MaxPts-_xlpm.PriorEnrolled),IF(OR(_xlpm.ActDate="",EOMONTH(E$5,0)&lt;_xlpm.StartDate,_xlpm.Remaining&lt;=0),0,MIN(_xlpm.MonthlyEnroll,_xlpm.Remaining))),0))</f>
        <v/>
      </c>
      <c r="F41" s="21" t="str">
        <f>IF($B41="","",IFERROR(_xlfn.LET(_xlpm.Site,$B41,_xlpm.ActDate,_xlfn.XLOOKUP(_xlpm.Site,tblSites[Site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41:INDEX($1:$1048576,ROW(),COLUMN()-1))),_xlpm.Remaining,MAX(0,_xlpm.MaxPts-_xlpm.PriorEnrolled),IF(OR(_xlpm.ActDate="",EOMONTH(F$5,0)&lt;_xlpm.StartDate,_xlpm.Remaining&lt;=0),0,MIN(_xlpm.MonthlyEnroll,_xlpm.Remaining))),0))</f>
        <v/>
      </c>
      <c r="G41" s="21" t="str">
        <f>IF($B41="","",IFERROR(_xlfn.LET(_xlpm.Site,$B41,_xlpm.ActDate,_xlfn.XLOOKUP(_xlpm.Site,tblSites[Max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41:INDEX($1:$1048576,ROW(),COLUMN()-1))),_xlpm.Remaining,MAX(0,_xlpm.MaxPts-_xlpm.PriorEnrolled),IF(OR(_xlpm.ActDate="",EOMONTH(G$5,0)&lt;_xlpm.StartDate,_xlpm.Remaining&lt;=0),0,MIN(_xlpm.MonthlyEnroll,_xlpm.Remaining))),0))</f>
        <v/>
      </c>
      <c r="H41" s="21" t="str">
        <f>IF($B41="","",IFERROR(_xlfn.LET(_xlpm.Site,$B41,_xlpm.ActDate,_xlfn.XLOOKUP(_xlpm.Site,tblSites[Current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41:INDEX($1:$1048576,ROW(),COLUMN()-1))),_xlpm.Remaining,MAX(0,_xlpm.MaxPts-_xlpm.PriorEnrolled),IF(OR(_xlpm.ActDate="",EOMONTH(H$5,0)&lt;_xlpm.StartDate,_xlpm.Remaining&lt;=0),0,MIN(_xlpm.MonthlyEnroll,_xlpm.Remaining))),0))</f>
        <v/>
      </c>
      <c r="I41" s="21" t="str">
        <f>IF($B41="","",IFERROR(_xlfn.LET(_xlpm.Site,$B41,_xlpm.ActDate,_xlfn.XLOOKUP(_xlpm.Site,tblSites[Include?],tblSites[Scenario?],""),_xlpm.ScreenDays,N('Study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41:INDEX($1:$1048576,ROW(),COLUMN()-1))),_xlpm.Remaining,MAX(0,_xlpm.MaxPts-_xlpm.PriorEnrolled),IF(OR(_xlpm.ActDate="",EOMONTH(I$5,0)&lt;_xlpm.StartDate,_xlpm.Remaining&lt;=0),0,MIN(_xlpm.MonthlyEnroll,_xlpm.Remaining))),0))</f>
        <v/>
      </c>
      <c r="J41" s="21" t="str">
        <f>IF($B41="","",IFERROR(_xlfn.LET(_xlpm.Site,$B41,_xlpm.ActDate,_xlfn.XLOOKUP(_xlpm.Site,tblSites[Scenario?],tblSites[Check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41:INDEX($1:$1048576,ROW(),COLUMN()-1))),_xlpm.Remaining,MAX(0,_xlpm.MaxPts-_xlpm.PriorEnrolled),IF(OR(_xlpm.ActDate="",EOMONTH(J$5,0)&lt;_xlpm.StartDate,_xlpm.Remaining&lt;=0),0,MIN(_xlpm.MonthlyEnroll,_xlpm.Remaining))),0))</f>
        <v/>
      </c>
      <c r="K41" s="21" t="str">
        <f>IF($B41="","",IFERROR(_xlfn.LET(_xlpm.Site,$B41,_xlpm.ActDate,_xlfn.XLOOKUP(_xlpm.Site,tblSites[Check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41:INDEX($1:$1048576,ROW(),COLUMN()-1))),_xlpm.Remaining,MAX(0,_xlpm.MaxPts-_xlpm.PriorEnrolled),IF(OR(_xlpm.ActDate="",EOMONTH(K$5,0)&lt;_xlpm.StartDate,_xlpm.Remaining&lt;=0),0,MIN(_xlpm.MonthlyEnroll,_xlpm.Remaining))),0))</f>
        <v/>
      </c>
      <c r="L41" s="21" t="str">
        <f>IF($B41="","",IFERROR(_xlfn.LET(_xlpm.Site,$B41,_xlpm.ActDate,_xlfn.XLOOKUP(_xlpm.Site,tblSites[Site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41:INDEX($1:$1048576,ROW(),COLUMN()-1))),_xlpm.Remaining,MAX(0,_xlpm.MaxPts-_xlpm.PriorEnrolled),IF(OR(_xlpm.ActDate="",EOMONTH(L$5,0)&lt;_xlpm.StartDate,_xlpm.Remaining&lt;=0),0,MIN(_xlpm.MonthlyEnroll,_xlpm.Remaining))),0))</f>
        <v/>
      </c>
      <c r="M41" s="21" t="str">
        <f>IF($B41="","",IFERROR(_xlfn.LET(_xlpm.Site,$B41,_xlpm.ActDate,_xlfn.XLOOKUP(_xlpm.Site,#REF!,tblSites[Country],""),_xlpm.ScreenDays,N('Study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41:INDEX($1:$1048576,ROW(),COLUMN()-1))),_xlpm.Remaining,MAX(0,_xlpm.MaxPts-_xlpm.PriorEnrolled),IF(OR(_xlpm.ActDate="",EOMONTH(M$5,0)&lt;_xlpm.StartDate,_xlpm.Remaining&lt;=0),0,MIN(_xlpm.MonthlyEnroll,_xlpm.Remaining))),0))</f>
        <v/>
      </c>
      <c r="N41" s="21" t="str">
        <f>IF($B41="","",IFERROR(_xlfn.LET(_xlpm.Site,$B41,_xlpm.ActDate,_xlfn.XLOOKUP(_xlpm.Site,tblSites[Country],tblSites[Site],""),_xlpm.ScreenDays,N('Study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41:INDEX($1:$1048576,ROW(),COLUMN()-1))),_xlpm.Remaining,MAX(0,_xlpm.MaxPts-_xlpm.PriorEnrolled),IF(OR(_xlpm.ActDate="",EOMONTH(N$5,0)&lt;_xlpm.StartDate,_xlpm.Remaining&lt;=0),0,MIN(_xlpm.MonthlyEnroll,_xlpm.Remaining))),0))</f>
        <v/>
      </c>
      <c r="O41" s="21" t="str">
        <f>IF($B41="","",IFERROR(_xlfn.LET(_xlpm.Site,$B41,_xlpm.ActDate,_xlfn.XLOOKUP(_xlpm.Site,tblSites[Site],tblSites[Site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41:INDEX($1:$1048576,ROW(),COLUMN()-1))),_xlpm.Remaining,MAX(0,_xlpm.MaxPts-_xlpm.PriorEnrolled),IF(OR(_xlpm.ActDate="",EOMONTH(O$5,0)&lt;_xlpm.StartDate,_xlpm.Remaining&lt;=0),0,MIN(_xlpm.MonthlyEnroll,_xlpm.Remaining))),0))</f>
        <v/>
      </c>
      <c r="P41" s="21" t="str">
        <f>IF($B41="","",IFERROR(_xlfn.LET(_xlpm.Site,$B41,_xlpm.ActDate,_xlfn.XLOOKUP(_xlpm.Site,tblSites[Site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41:INDEX($1:$1048576,ROW(),COLUMN()-1))),_xlpm.Remaining,MAX(0,_xlpm.MaxPts-_xlpm.PriorEnrolled),IF(OR(_xlpm.ActDate="",EOMONTH(P$5,0)&lt;_xlpm.StartDate,_xlpm.Remaining&lt;=0),0,MIN(_xlpm.MonthlyEnroll,_xlpm.Remaining))),0))</f>
        <v/>
      </c>
      <c r="Q41" s="21" t="str">
        <f>IF($B41="","",IFERROR(_xlfn.LET(_xlpm.Site,$B41,_xlpm.ActDate,_xlfn.XLOOKUP(_xlpm.Site,tblSites[Monthly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41:INDEX($1:$1048576,ROW(),COLUMN()-1))),_xlpm.Remaining,MAX(0,_xlpm.MaxPts-_xlpm.PriorEnrolled),IF(OR(_xlpm.ActDate="",EOMONTH(Q$5,0)&lt;_xlpm.StartDate,_xlpm.Remaining&lt;=0),0,MIN(_xlpm.MonthlyEnroll,_xlpm.Remaining))),0))</f>
        <v/>
      </c>
      <c r="R41" s="21" t="str">
        <f>IF($B41="","",IFERROR(_xlfn.LET(_xlpm.Site,$B41,_xlpm.ActDate,_xlfn.XLOOKUP(_xlpm.Site,tblSites[Site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41:INDEX($1:$1048576,ROW(),COLUMN()-1))),_xlpm.Remaining,MAX(0,_xlpm.MaxPts-_xlpm.PriorEnrolled),IF(OR(_xlpm.ActDate="",EOMONTH(R$5,0)&lt;_xlpm.StartDate,_xlpm.Remaining&lt;=0),0,MIN(_xlpm.MonthlyEnroll,_xlpm.Remaining))),0))</f>
        <v/>
      </c>
      <c r="S41" s="21" t="str">
        <f>IF($B41="","",IFERROR(_xlfn.LET(_xlpm.Site,$B41,_xlpm.ActDate,_xlfn.XLOOKUP(_xlpm.Site,tblSites[Max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41:INDEX($1:$1048576,ROW(),COLUMN()-1))),_xlpm.Remaining,MAX(0,_xlpm.MaxPts-_xlpm.PriorEnrolled),IF(OR(_xlpm.ActDate="",EOMONTH(S$5,0)&lt;_xlpm.StartDate,_xlpm.Remaining&lt;=0),0,MIN(_xlpm.MonthlyEnroll,_xlpm.Remaining))),0))</f>
        <v/>
      </c>
      <c r="T41" s="21" t="str">
        <f>IF($B41="","",IFERROR(_xlfn.LET(_xlpm.Site,$B41,_xlpm.ActDate,_xlfn.XLOOKUP(_xlpm.Site,tblSites[Current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41:INDEX($1:$1048576,ROW(),COLUMN()-1))),_xlpm.Remaining,MAX(0,_xlpm.MaxPts-_xlpm.PriorEnrolled),IF(OR(_xlpm.ActDate="",EOMONTH(T$5,0)&lt;_xlpm.StartDate,_xlpm.Remaining&lt;=0),0,MIN(_xlpm.MonthlyEnroll,_xlpm.Remaining))),0))</f>
        <v/>
      </c>
      <c r="U41" s="21" t="str">
        <f>IF($B41="","",IFERROR(_xlfn.LET(_xlpm.Site,$B41,_xlpm.ActDate,_xlfn.XLOOKUP(_xlpm.Site,tblSites[Include?],tblSites[Scenario?],""),_xlpm.ScreenDays,N('Study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41:INDEX($1:$1048576,ROW(),COLUMN()-1))),_xlpm.Remaining,MAX(0,_xlpm.MaxPts-_xlpm.PriorEnrolled),IF(OR(_xlpm.ActDate="",EOMONTH(U$5,0)&lt;_xlpm.StartDate,_xlpm.Remaining&lt;=0),0,MIN(_xlpm.MonthlyEnroll,_xlpm.Remaining))),0))</f>
        <v/>
      </c>
      <c r="V41" s="21" t="str">
        <f>IF($B41="","",IFERROR(_xlfn.LET(_xlpm.Site,$B41,_xlpm.ActDate,_xlfn.XLOOKUP(_xlpm.Site,tblSites[Scenario?],tblSites[Check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41:INDEX($1:$1048576,ROW(),COLUMN()-1))),_xlpm.Remaining,MAX(0,_xlpm.MaxPts-_xlpm.PriorEnrolled),IF(OR(_xlpm.ActDate="",EOMONTH(V$5,0)&lt;_xlpm.StartDate,_xlpm.Remaining&lt;=0),0,MIN(_xlpm.MonthlyEnroll,_xlpm.Remaining))),0))</f>
        <v/>
      </c>
      <c r="W41" s="21" t="str">
        <f>IF($B41="","",IFERROR(_xlfn.LET(_xlpm.Site,$B41,_xlpm.ActDate,_xlfn.XLOOKUP(_xlpm.Site,tblSites[Check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41:INDEX($1:$1048576,ROW(),COLUMN()-1))),_xlpm.Remaining,MAX(0,_xlpm.MaxPts-_xlpm.PriorEnrolled),IF(OR(_xlpm.ActDate="",EOMONTH(W$5,0)&lt;_xlpm.StartDate,_xlpm.Remaining&lt;=0),0,MIN(_xlpm.MonthlyEnroll,_xlpm.Remaining))),0))</f>
        <v/>
      </c>
      <c r="X41" s="21" t="str">
        <f>IF($B41="","",IFERROR(_xlfn.LET(_xlpm.Site,$B41,_xlpm.ActDate,_xlfn.XLOOKUP(_xlpm.Site,tblSites[Site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41:INDEX($1:$1048576,ROW(),COLUMN()-1))),_xlpm.Remaining,MAX(0,_xlpm.MaxPts-_xlpm.PriorEnrolled),IF(OR(_xlpm.ActDate="",EOMONTH(X$5,0)&lt;_xlpm.StartDate,_xlpm.Remaining&lt;=0),0,MIN(_xlpm.MonthlyEnroll,_xlpm.Remaining))),0))</f>
        <v/>
      </c>
      <c r="Y41" s="21" t="str">
        <f>IF($B41="","",IFERROR(_xlfn.LET(_xlpm.Site,$B41,_xlpm.ActDate,_xlfn.XLOOKUP(_xlpm.Site,#REF!,tblSites[Country],""),_xlpm.ScreenDays,N('Study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41:INDEX($1:$1048576,ROW(),COLUMN()-1))),_xlpm.Remaining,MAX(0,_xlpm.MaxPts-_xlpm.PriorEnrolled),IF(OR(_xlpm.ActDate="",EOMONTH(Y$5,0)&lt;_xlpm.StartDate,_xlpm.Remaining&lt;=0),0,MIN(_xlpm.MonthlyEnroll,_xlpm.Remaining))),0))</f>
        <v/>
      </c>
      <c r="Z41" s="21" t="str">
        <f>IF($B41="","",IFERROR(_xlfn.LET(_xlpm.Site,$B41,_xlpm.ActDate,_xlfn.XLOOKUP(_xlpm.Site,tblSites[Country],tblSites[Site],""),_xlpm.ScreenDays,N('Study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41:INDEX($1:$1048576,ROW(),COLUMN()-1))),_xlpm.Remaining,MAX(0,_xlpm.MaxPts-_xlpm.PriorEnrolled),IF(OR(_xlpm.ActDate="",EOMONTH(Z$5,0)&lt;_xlpm.StartDate,_xlpm.Remaining&lt;=0),0,MIN(_xlpm.MonthlyEnroll,_xlpm.Remaining))),0))</f>
        <v/>
      </c>
      <c r="AA41" s="21" t="str">
        <f>IF($B41="","",IFERROR(_xlfn.LET(_xlpm.Site,$B41,_xlpm.ActDate,_xlfn.XLOOKUP(_xlpm.Site,tblSites[Site],tblSites[Site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41:INDEX($1:$1048576,ROW(),COLUMN()-1))),_xlpm.Remaining,MAX(0,_xlpm.MaxPts-_xlpm.PriorEnrolled),IF(OR(_xlpm.ActDate="",EOMONTH(AA$5,0)&lt;_xlpm.StartDate,_xlpm.Remaining&lt;=0),0,MIN(_xlpm.MonthlyEnroll,_xlpm.Remaining))),0))</f>
        <v/>
      </c>
      <c r="AB41" s="21" t="str">
        <f>IF($B41="","",IFERROR(_xlfn.LET(_xlpm.Site,$B41,_xlpm.ActDate,_xlfn.XLOOKUP(_xlpm.Site,tblSites[Site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41:INDEX($1:$1048576,ROW(),COLUMN()-1))),_xlpm.Remaining,MAX(0,_xlpm.MaxPts-_xlpm.PriorEnrolled),IF(OR(_xlpm.ActDate="",EOMONTH(AB$5,0)&lt;_xlpm.StartDate,_xlpm.Remaining&lt;=0),0,MIN(_xlpm.MonthlyEnroll,_xlpm.Remaining))),0))</f>
        <v/>
      </c>
      <c r="AC41" s="21" t="str">
        <f>IF($B41="","",IFERROR(_xlfn.LET(_xlpm.Site,$B41,_xlpm.ActDate,_xlfn.XLOOKUP(_xlpm.Site,tblSites[Monthly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41:INDEX($1:$1048576,ROW(),COLUMN()-1))),_xlpm.Remaining,MAX(0,_xlpm.MaxPts-_xlpm.PriorEnrolled),IF(OR(_xlpm.ActDate="",EOMONTH(AC$5,0)&lt;_xlpm.StartDate,_xlpm.Remaining&lt;=0),0,MIN(_xlpm.MonthlyEnroll,_xlpm.Remaining))),0))</f>
        <v/>
      </c>
    </row>
    <row r="42" spans="3:29" x14ac:dyDescent="0.25">
      <c r="D42" s="21" t="str">
        <f>IF($B42="","",IFERROR(_xlfn.LET(_xlpm.Site,$B42,_xlpm.ActDate,_xlfn.XLOOKUP(_xlpm.Site,tblSites[Site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42:INDEX($1:$1048576,ROW(),COLUMN()-1))),_xlpm.Remaining,MAX(0,_xlpm.MaxPts-_xlpm.PriorEnrolled),IF(OR(_xlpm.ActDate="",EOMONTH(D$5,0)&lt;_xlpm.StartDate,_xlpm.Remaining&lt;=0),0,MIN(_xlpm.MonthlyEnroll,_xlpm.Remaining))),0))</f>
        <v/>
      </c>
      <c r="E42" s="21" t="str">
        <f>IF($B42="","",IFERROR(_xlfn.LET(_xlpm.Site,$B42,_xlpm.ActDate,_xlfn.XLOOKUP(_xlpm.Site,tblSites[Monthly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42:INDEX($1:$1048576,ROW(),COLUMN()-1))),_xlpm.Remaining,MAX(0,_xlpm.MaxPts-_xlpm.PriorEnrolled),IF(OR(_xlpm.ActDate="",EOMONTH(E$5,0)&lt;_xlpm.StartDate,_xlpm.Remaining&lt;=0),0,MIN(_xlpm.MonthlyEnroll,_xlpm.Remaining))),0))</f>
        <v/>
      </c>
      <c r="F42" s="21" t="str">
        <f>IF($B42="","",IFERROR(_xlfn.LET(_xlpm.Site,$B42,_xlpm.ActDate,_xlfn.XLOOKUP(_xlpm.Site,tblSites[Site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42:INDEX($1:$1048576,ROW(),COLUMN()-1))),_xlpm.Remaining,MAX(0,_xlpm.MaxPts-_xlpm.PriorEnrolled),IF(OR(_xlpm.ActDate="",EOMONTH(F$5,0)&lt;_xlpm.StartDate,_xlpm.Remaining&lt;=0),0,MIN(_xlpm.MonthlyEnroll,_xlpm.Remaining))),0))</f>
        <v/>
      </c>
      <c r="G42" s="21" t="str">
        <f>IF($B42="","",IFERROR(_xlfn.LET(_xlpm.Site,$B42,_xlpm.ActDate,_xlfn.XLOOKUP(_xlpm.Site,tblSites[Max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42:INDEX($1:$1048576,ROW(),COLUMN()-1))),_xlpm.Remaining,MAX(0,_xlpm.MaxPts-_xlpm.PriorEnrolled),IF(OR(_xlpm.ActDate="",EOMONTH(G$5,0)&lt;_xlpm.StartDate,_xlpm.Remaining&lt;=0),0,MIN(_xlpm.MonthlyEnroll,_xlpm.Remaining))),0))</f>
        <v/>
      </c>
      <c r="H42" s="21" t="str">
        <f>IF($B42="","",IFERROR(_xlfn.LET(_xlpm.Site,$B42,_xlpm.ActDate,_xlfn.XLOOKUP(_xlpm.Site,tblSites[Current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42:INDEX($1:$1048576,ROW(),COLUMN()-1))),_xlpm.Remaining,MAX(0,_xlpm.MaxPts-_xlpm.PriorEnrolled),IF(OR(_xlpm.ActDate="",EOMONTH(H$5,0)&lt;_xlpm.StartDate,_xlpm.Remaining&lt;=0),0,MIN(_xlpm.MonthlyEnroll,_xlpm.Remaining))),0))</f>
        <v/>
      </c>
      <c r="I42" s="21" t="str">
        <f>IF($B42="","",IFERROR(_xlfn.LET(_xlpm.Site,$B42,_xlpm.ActDate,_xlfn.XLOOKUP(_xlpm.Site,tblSites[Include?],tblSites[Scenario?],""),_xlpm.ScreenDays,N('Study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42:INDEX($1:$1048576,ROW(),COLUMN()-1))),_xlpm.Remaining,MAX(0,_xlpm.MaxPts-_xlpm.PriorEnrolled),IF(OR(_xlpm.ActDate="",EOMONTH(I$5,0)&lt;_xlpm.StartDate,_xlpm.Remaining&lt;=0),0,MIN(_xlpm.MonthlyEnroll,_xlpm.Remaining))),0))</f>
        <v/>
      </c>
      <c r="J42" s="21" t="str">
        <f>IF($B42="","",IFERROR(_xlfn.LET(_xlpm.Site,$B42,_xlpm.ActDate,_xlfn.XLOOKUP(_xlpm.Site,tblSites[Scenario?],tblSites[Check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42:INDEX($1:$1048576,ROW(),COLUMN()-1))),_xlpm.Remaining,MAX(0,_xlpm.MaxPts-_xlpm.PriorEnrolled),IF(OR(_xlpm.ActDate="",EOMONTH(J$5,0)&lt;_xlpm.StartDate,_xlpm.Remaining&lt;=0),0,MIN(_xlpm.MonthlyEnroll,_xlpm.Remaining))),0))</f>
        <v/>
      </c>
      <c r="K42" s="21" t="str">
        <f>IF($B42="","",IFERROR(_xlfn.LET(_xlpm.Site,$B42,_xlpm.ActDate,_xlfn.XLOOKUP(_xlpm.Site,tblSites[Check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42:INDEX($1:$1048576,ROW(),COLUMN()-1))),_xlpm.Remaining,MAX(0,_xlpm.MaxPts-_xlpm.PriorEnrolled),IF(OR(_xlpm.ActDate="",EOMONTH(K$5,0)&lt;_xlpm.StartDate,_xlpm.Remaining&lt;=0),0,MIN(_xlpm.MonthlyEnroll,_xlpm.Remaining))),0))</f>
        <v/>
      </c>
      <c r="L42" s="21" t="str">
        <f>IF($B42="","",IFERROR(_xlfn.LET(_xlpm.Site,$B42,_xlpm.ActDate,_xlfn.XLOOKUP(_xlpm.Site,tblSites[Site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42:INDEX($1:$1048576,ROW(),COLUMN()-1))),_xlpm.Remaining,MAX(0,_xlpm.MaxPts-_xlpm.PriorEnrolled),IF(OR(_xlpm.ActDate="",EOMONTH(L$5,0)&lt;_xlpm.StartDate,_xlpm.Remaining&lt;=0),0,MIN(_xlpm.MonthlyEnroll,_xlpm.Remaining))),0))</f>
        <v/>
      </c>
      <c r="M42" s="21" t="str">
        <f>IF($B42="","",IFERROR(_xlfn.LET(_xlpm.Site,$B42,_xlpm.ActDate,_xlfn.XLOOKUP(_xlpm.Site,#REF!,tblSites[Country],""),_xlpm.ScreenDays,N('Study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42:INDEX($1:$1048576,ROW(),COLUMN()-1))),_xlpm.Remaining,MAX(0,_xlpm.MaxPts-_xlpm.PriorEnrolled),IF(OR(_xlpm.ActDate="",EOMONTH(M$5,0)&lt;_xlpm.StartDate,_xlpm.Remaining&lt;=0),0,MIN(_xlpm.MonthlyEnroll,_xlpm.Remaining))),0))</f>
        <v/>
      </c>
      <c r="N42" s="21" t="str">
        <f>IF($B42="","",IFERROR(_xlfn.LET(_xlpm.Site,$B42,_xlpm.ActDate,_xlfn.XLOOKUP(_xlpm.Site,tblSites[Country],tblSites[Site],""),_xlpm.ScreenDays,N('Study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42:INDEX($1:$1048576,ROW(),COLUMN()-1))),_xlpm.Remaining,MAX(0,_xlpm.MaxPts-_xlpm.PriorEnrolled),IF(OR(_xlpm.ActDate="",EOMONTH(N$5,0)&lt;_xlpm.StartDate,_xlpm.Remaining&lt;=0),0,MIN(_xlpm.MonthlyEnroll,_xlpm.Remaining))),0))</f>
        <v/>
      </c>
      <c r="O42" s="21" t="str">
        <f>IF($B42="","",IFERROR(_xlfn.LET(_xlpm.Site,$B42,_xlpm.ActDate,_xlfn.XLOOKUP(_xlpm.Site,tblSites[Site],tblSites[Site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42:INDEX($1:$1048576,ROW(),COLUMN()-1))),_xlpm.Remaining,MAX(0,_xlpm.MaxPts-_xlpm.PriorEnrolled),IF(OR(_xlpm.ActDate="",EOMONTH(O$5,0)&lt;_xlpm.StartDate,_xlpm.Remaining&lt;=0),0,MIN(_xlpm.MonthlyEnroll,_xlpm.Remaining))),0))</f>
        <v/>
      </c>
      <c r="P42" s="21" t="str">
        <f>IF($B42="","",IFERROR(_xlfn.LET(_xlpm.Site,$B42,_xlpm.ActDate,_xlfn.XLOOKUP(_xlpm.Site,tblSites[Site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42:INDEX($1:$1048576,ROW(),COLUMN()-1))),_xlpm.Remaining,MAX(0,_xlpm.MaxPts-_xlpm.PriorEnrolled),IF(OR(_xlpm.ActDate="",EOMONTH(P$5,0)&lt;_xlpm.StartDate,_xlpm.Remaining&lt;=0),0,MIN(_xlpm.MonthlyEnroll,_xlpm.Remaining))),0))</f>
        <v/>
      </c>
      <c r="Q42" s="21" t="str">
        <f>IF($B42="","",IFERROR(_xlfn.LET(_xlpm.Site,$B42,_xlpm.ActDate,_xlfn.XLOOKUP(_xlpm.Site,tblSites[Monthly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42:INDEX($1:$1048576,ROW(),COLUMN()-1))),_xlpm.Remaining,MAX(0,_xlpm.MaxPts-_xlpm.PriorEnrolled),IF(OR(_xlpm.ActDate="",EOMONTH(Q$5,0)&lt;_xlpm.StartDate,_xlpm.Remaining&lt;=0),0,MIN(_xlpm.MonthlyEnroll,_xlpm.Remaining))),0))</f>
        <v/>
      </c>
      <c r="R42" s="21" t="str">
        <f>IF($B42="","",IFERROR(_xlfn.LET(_xlpm.Site,$B42,_xlpm.ActDate,_xlfn.XLOOKUP(_xlpm.Site,tblSites[Site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42:INDEX($1:$1048576,ROW(),COLUMN()-1))),_xlpm.Remaining,MAX(0,_xlpm.MaxPts-_xlpm.PriorEnrolled),IF(OR(_xlpm.ActDate="",EOMONTH(R$5,0)&lt;_xlpm.StartDate,_xlpm.Remaining&lt;=0),0,MIN(_xlpm.MonthlyEnroll,_xlpm.Remaining))),0))</f>
        <v/>
      </c>
      <c r="S42" s="21" t="str">
        <f>IF($B42="","",IFERROR(_xlfn.LET(_xlpm.Site,$B42,_xlpm.ActDate,_xlfn.XLOOKUP(_xlpm.Site,tblSites[Max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42:INDEX($1:$1048576,ROW(),COLUMN()-1))),_xlpm.Remaining,MAX(0,_xlpm.MaxPts-_xlpm.PriorEnrolled),IF(OR(_xlpm.ActDate="",EOMONTH(S$5,0)&lt;_xlpm.StartDate,_xlpm.Remaining&lt;=0),0,MIN(_xlpm.MonthlyEnroll,_xlpm.Remaining))),0))</f>
        <v/>
      </c>
      <c r="T42" s="21" t="str">
        <f>IF($B42="","",IFERROR(_xlfn.LET(_xlpm.Site,$B42,_xlpm.ActDate,_xlfn.XLOOKUP(_xlpm.Site,tblSites[Current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42:INDEX($1:$1048576,ROW(),COLUMN()-1))),_xlpm.Remaining,MAX(0,_xlpm.MaxPts-_xlpm.PriorEnrolled),IF(OR(_xlpm.ActDate="",EOMONTH(T$5,0)&lt;_xlpm.StartDate,_xlpm.Remaining&lt;=0),0,MIN(_xlpm.MonthlyEnroll,_xlpm.Remaining))),0))</f>
        <v/>
      </c>
      <c r="U42" s="21" t="str">
        <f>IF($B42="","",IFERROR(_xlfn.LET(_xlpm.Site,$B42,_xlpm.ActDate,_xlfn.XLOOKUP(_xlpm.Site,tblSites[Include?],tblSites[Scenario?],""),_xlpm.ScreenDays,N('Study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42:INDEX($1:$1048576,ROW(),COLUMN()-1))),_xlpm.Remaining,MAX(0,_xlpm.MaxPts-_xlpm.PriorEnrolled),IF(OR(_xlpm.ActDate="",EOMONTH(U$5,0)&lt;_xlpm.StartDate,_xlpm.Remaining&lt;=0),0,MIN(_xlpm.MonthlyEnroll,_xlpm.Remaining))),0))</f>
        <v/>
      </c>
      <c r="V42" s="21" t="str">
        <f>IF($B42="","",IFERROR(_xlfn.LET(_xlpm.Site,$B42,_xlpm.ActDate,_xlfn.XLOOKUP(_xlpm.Site,tblSites[Scenario?],tblSites[Check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42:INDEX($1:$1048576,ROW(),COLUMN()-1))),_xlpm.Remaining,MAX(0,_xlpm.MaxPts-_xlpm.PriorEnrolled),IF(OR(_xlpm.ActDate="",EOMONTH(V$5,0)&lt;_xlpm.StartDate,_xlpm.Remaining&lt;=0),0,MIN(_xlpm.MonthlyEnroll,_xlpm.Remaining))),0))</f>
        <v/>
      </c>
      <c r="W42" s="21" t="str">
        <f>IF($B42="","",IFERROR(_xlfn.LET(_xlpm.Site,$B42,_xlpm.ActDate,_xlfn.XLOOKUP(_xlpm.Site,tblSites[Check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42:INDEX($1:$1048576,ROW(),COLUMN()-1))),_xlpm.Remaining,MAX(0,_xlpm.MaxPts-_xlpm.PriorEnrolled),IF(OR(_xlpm.ActDate="",EOMONTH(W$5,0)&lt;_xlpm.StartDate,_xlpm.Remaining&lt;=0),0,MIN(_xlpm.MonthlyEnroll,_xlpm.Remaining))),0))</f>
        <v/>
      </c>
      <c r="X42" s="21" t="str">
        <f>IF($B42="","",IFERROR(_xlfn.LET(_xlpm.Site,$B42,_xlpm.ActDate,_xlfn.XLOOKUP(_xlpm.Site,tblSites[Site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42:INDEX($1:$1048576,ROW(),COLUMN()-1))),_xlpm.Remaining,MAX(0,_xlpm.MaxPts-_xlpm.PriorEnrolled),IF(OR(_xlpm.ActDate="",EOMONTH(X$5,0)&lt;_xlpm.StartDate,_xlpm.Remaining&lt;=0),0,MIN(_xlpm.MonthlyEnroll,_xlpm.Remaining))),0))</f>
        <v/>
      </c>
      <c r="Y42" s="21" t="str">
        <f>IF($B42="","",IFERROR(_xlfn.LET(_xlpm.Site,$B42,_xlpm.ActDate,_xlfn.XLOOKUP(_xlpm.Site,#REF!,tblSites[Country],""),_xlpm.ScreenDays,N('Study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42:INDEX($1:$1048576,ROW(),COLUMN()-1))),_xlpm.Remaining,MAX(0,_xlpm.MaxPts-_xlpm.PriorEnrolled),IF(OR(_xlpm.ActDate="",EOMONTH(Y$5,0)&lt;_xlpm.StartDate,_xlpm.Remaining&lt;=0),0,MIN(_xlpm.MonthlyEnroll,_xlpm.Remaining))),0))</f>
        <v/>
      </c>
      <c r="Z42" s="21" t="str">
        <f>IF($B42="","",IFERROR(_xlfn.LET(_xlpm.Site,$B42,_xlpm.ActDate,_xlfn.XLOOKUP(_xlpm.Site,tblSites[Country],tblSites[Site],""),_xlpm.ScreenDays,N('Study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42:INDEX($1:$1048576,ROW(),COLUMN()-1))),_xlpm.Remaining,MAX(0,_xlpm.MaxPts-_xlpm.PriorEnrolled),IF(OR(_xlpm.ActDate="",EOMONTH(Z$5,0)&lt;_xlpm.StartDate,_xlpm.Remaining&lt;=0),0,MIN(_xlpm.MonthlyEnroll,_xlpm.Remaining))),0))</f>
        <v/>
      </c>
      <c r="AA42" s="21" t="str">
        <f>IF($B42="","",IFERROR(_xlfn.LET(_xlpm.Site,$B42,_xlpm.ActDate,_xlfn.XLOOKUP(_xlpm.Site,tblSites[Site],tblSites[Site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42:INDEX($1:$1048576,ROW(),COLUMN()-1))),_xlpm.Remaining,MAX(0,_xlpm.MaxPts-_xlpm.PriorEnrolled),IF(OR(_xlpm.ActDate="",EOMONTH(AA$5,0)&lt;_xlpm.StartDate,_xlpm.Remaining&lt;=0),0,MIN(_xlpm.MonthlyEnroll,_xlpm.Remaining))),0))</f>
        <v/>
      </c>
      <c r="AB42" s="21" t="str">
        <f>IF($B42="","",IFERROR(_xlfn.LET(_xlpm.Site,$B42,_xlpm.ActDate,_xlfn.XLOOKUP(_xlpm.Site,tblSites[Site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42:INDEX($1:$1048576,ROW(),COLUMN()-1))),_xlpm.Remaining,MAX(0,_xlpm.MaxPts-_xlpm.PriorEnrolled),IF(OR(_xlpm.ActDate="",EOMONTH(AB$5,0)&lt;_xlpm.StartDate,_xlpm.Remaining&lt;=0),0,MIN(_xlpm.MonthlyEnroll,_xlpm.Remaining))),0))</f>
        <v/>
      </c>
      <c r="AC42" s="21" t="str">
        <f>IF($B42="","",IFERROR(_xlfn.LET(_xlpm.Site,$B42,_xlpm.ActDate,_xlfn.XLOOKUP(_xlpm.Site,tblSites[Monthly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42:INDEX($1:$1048576,ROW(),COLUMN()-1))),_xlpm.Remaining,MAX(0,_xlpm.MaxPts-_xlpm.PriorEnrolled),IF(OR(_xlpm.ActDate="",EOMONTH(AC$5,0)&lt;_xlpm.StartDate,_xlpm.Remaining&lt;=0),0,MIN(_xlpm.MonthlyEnroll,_xlpm.Remaining))),0))</f>
        <v/>
      </c>
    </row>
    <row r="43" spans="3:29" x14ac:dyDescent="0.25">
      <c r="D43" s="21" t="str">
        <f>IF($B43="","",IFERROR(_xlfn.LET(_xlpm.Site,$B43,_xlpm.ActDate,_xlfn.XLOOKUP(_xlpm.Site,tblSites[Site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43:INDEX($1:$1048576,ROW(),COLUMN()-1))),_xlpm.Remaining,MAX(0,_xlpm.MaxPts-_xlpm.PriorEnrolled),IF(OR(_xlpm.ActDate="",EOMONTH(D$5,0)&lt;_xlpm.StartDate,_xlpm.Remaining&lt;=0),0,MIN(_xlpm.MonthlyEnroll,_xlpm.Remaining))),0))</f>
        <v/>
      </c>
      <c r="E43" s="21" t="str">
        <f>IF($B43="","",IFERROR(_xlfn.LET(_xlpm.Site,$B43,_xlpm.ActDate,_xlfn.XLOOKUP(_xlpm.Site,tblSites[Monthly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43:INDEX($1:$1048576,ROW(),COLUMN()-1))),_xlpm.Remaining,MAX(0,_xlpm.MaxPts-_xlpm.PriorEnrolled),IF(OR(_xlpm.ActDate="",EOMONTH(E$5,0)&lt;_xlpm.StartDate,_xlpm.Remaining&lt;=0),0,MIN(_xlpm.MonthlyEnroll,_xlpm.Remaining))),0))</f>
        <v/>
      </c>
      <c r="F43" s="21" t="str">
        <f>IF($B43="","",IFERROR(_xlfn.LET(_xlpm.Site,$B43,_xlpm.ActDate,_xlfn.XLOOKUP(_xlpm.Site,tblSites[Site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43:INDEX($1:$1048576,ROW(),COLUMN()-1))),_xlpm.Remaining,MAX(0,_xlpm.MaxPts-_xlpm.PriorEnrolled),IF(OR(_xlpm.ActDate="",EOMONTH(F$5,0)&lt;_xlpm.StartDate,_xlpm.Remaining&lt;=0),0,MIN(_xlpm.MonthlyEnroll,_xlpm.Remaining))),0))</f>
        <v/>
      </c>
      <c r="G43" s="21" t="str">
        <f>IF($B43="","",IFERROR(_xlfn.LET(_xlpm.Site,$B43,_xlpm.ActDate,_xlfn.XLOOKUP(_xlpm.Site,tblSites[Max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43:INDEX($1:$1048576,ROW(),COLUMN()-1))),_xlpm.Remaining,MAX(0,_xlpm.MaxPts-_xlpm.PriorEnrolled),IF(OR(_xlpm.ActDate="",EOMONTH(G$5,0)&lt;_xlpm.StartDate,_xlpm.Remaining&lt;=0),0,MIN(_xlpm.MonthlyEnroll,_xlpm.Remaining))),0))</f>
        <v/>
      </c>
      <c r="H43" s="21" t="str">
        <f>IF($B43="","",IFERROR(_xlfn.LET(_xlpm.Site,$B43,_xlpm.ActDate,_xlfn.XLOOKUP(_xlpm.Site,tblSites[Current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43:INDEX($1:$1048576,ROW(),COLUMN()-1))),_xlpm.Remaining,MAX(0,_xlpm.MaxPts-_xlpm.PriorEnrolled),IF(OR(_xlpm.ActDate="",EOMONTH(H$5,0)&lt;_xlpm.StartDate,_xlpm.Remaining&lt;=0),0,MIN(_xlpm.MonthlyEnroll,_xlpm.Remaining))),0))</f>
        <v/>
      </c>
      <c r="I43" s="21" t="str">
        <f>IF($B43="","",IFERROR(_xlfn.LET(_xlpm.Site,$B43,_xlpm.ActDate,_xlfn.XLOOKUP(_xlpm.Site,tblSites[Include?],tblSites[Scenario?],""),_xlpm.ScreenDays,N('Study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43:INDEX($1:$1048576,ROW(),COLUMN()-1))),_xlpm.Remaining,MAX(0,_xlpm.MaxPts-_xlpm.PriorEnrolled),IF(OR(_xlpm.ActDate="",EOMONTH(I$5,0)&lt;_xlpm.StartDate,_xlpm.Remaining&lt;=0),0,MIN(_xlpm.MonthlyEnroll,_xlpm.Remaining))),0))</f>
        <v/>
      </c>
      <c r="J43" s="21" t="str">
        <f>IF($B43="","",IFERROR(_xlfn.LET(_xlpm.Site,$B43,_xlpm.ActDate,_xlfn.XLOOKUP(_xlpm.Site,tblSites[Scenario?],tblSites[Check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43:INDEX($1:$1048576,ROW(),COLUMN()-1))),_xlpm.Remaining,MAX(0,_xlpm.MaxPts-_xlpm.PriorEnrolled),IF(OR(_xlpm.ActDate="",EOMONTH(J$5,0)&lt;_xlpm.StartDate,_xlpm.Remaining&lt;=0),0,MIN(_xlpm.MonthlyEnroll,_xlpm.Remaining))),0))</f>
        <v/>
      </c>
      <c r="K43" s="21" t="str">
        <f>IF($B43="","",IFERROR(_xlfn.LET(_xlpm.Site,$B43,_xlpm.ActDate,_xlfn.XLOOKUP(_xlpm.Site,tblSites[Check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43:INDEX($1:$1048576,ROW(),COLUMN()-1))),_xlpm.Remaining,MAX(0,_xlpm.MaxPts-_xlpm.PriorEnrolled),IF(OR(_xlpm.ActDate="",EOMONTH(K$5,0)&lt;_xlpm.StartDate,_xlpm.Remaining&lt;=0),0,MIN(_xlpm.MonthlyEnroll,_xlpm.Remaining))),0))</f>
        <v/>
      </c>
      <c r="L43" s="21" t="str">
        <f>IF($B43="","",IFERROR(_xlfn.LET(_xlpm.Site,$B43,_xlpm.ActDate,_xlfn.XLOOKUP(_xlpm.Site,tblSites[Site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43:INDEX($1:$1048576,ROW(),COLUMN()-1))),_xlpm.Remaining,MAX(0,_xlpm.MaxPts-_xlpm.PriorEnrolled),IF(OR(_xlpm.ActDate="",EOMONTH(L$5,0)&lt;_xlpm.StartDate,_xlpm.Remaining&lt;=0),0,MIN(_xlpm.MonthlyEnroll,_xlpm.Remaining))),0))</f>
        <v/>
      </c>
      <c r="M43" s="21" t="str">
        <f>IF($B43="","",IFERROR(_xlfn.LET(_xlpm.Site,$B43,_xlpm.ActDate,_xlfn.XLOOKUP(_xlpm.Site,#REF!,tblSites[Country],""),_xlpm.ScreenDays,N('Study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43:INDEX($1:$1048576,ROW(),COLUMN()-1))),_xlpm.Remaining,MAX(0,_xlpm.MaxPts-_xlpm.PriorEnrolled),IF(OR(_xlpm.ActDate="",EOMONTH(M$5,0)&lt;_xlpm.StartDate,_xlpm.Remaining&lt;=0),0,MIN(_xlpm.MonthlyEnroll,_xlpm.Remaining))),0))</f>
        <v/>
      </c>
      <c r="N43" s="21" t="str">
        <f>IF($B43="","",IFERROR(_xlfn.LET(_xlpm.Site,$B43,_xlpm.ActDate,_xlfn.XLOOKUP(_xlpm.Site,tblSites[Country],tblSites[Site],""),_xlpm.ScreenDays,N('Study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43:INDEX($1:$1048576,ROW(),COLUMN()-1))),_xlpm.Remaining,MAX(0,_xlpm.MaxPts-_xlpm.PriorEnrolled),IF(OR(_xlpm.ActDate="",EOMONTH(N$5,0)&lt;_xlpm.StartDate,_xlpm.Remaining&lt;=0),0,MIN(_xlpm.MonthlyEnroll,_xlpm.Remaining))),0))</f>
        <v/>
      </c>
      <c r="O43" s="21" t="str">
        <f>IF($B43="","",IFERROR(_xlfn.LET(_xlpm.Site,$B43,_xlpm.ActDate,_xlfn.XLOOKUP(_xlpm.Site,tblSites[Site],tblSites[Site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43:INDEX($1:$1048576,ROW(),COLUMN()-1))),_xlpm.Remaining,MAX(0,_xlpm.MaxPts-_xlpm.PriorEnrolled),IF(OR(_xlpm.ActDate="",EOMONTH(O$5,0)&lt;_xlpm.StartDate,_xlpm.Remaining&lt;=0),0,MIN(_xlpm.MonthlyEnroll,_xlpm.Remaining))),0))</f>
        <v/>
      </c>
      <c r="P43" s="21" t="str">
        <f>IF($B43="","",IFERROR(_xlfn.LET(_xlpm.Site,$B43,_xlpm.ActDate,_xlfn.XLOOKUP(_xlpm.Site,tblSites[Site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43:INDEX($1:$1048576,ROW(),COLUMN()-1))),_xlpm.Remaining,MAX(0,_xlpm.MaxPts-_xlpm.PriorEnrolled),IF(OR(_xlpm.ActDate="",EOMONTH(P$5,0)&lt;_xlpm.StartDate,_xlpm.Remaining&lt;=0),0,MIN(_xlpm.MonthlyEnroll,_xlpm.Remaining))),0))</f>
        <v/>
      </c>
      <c r="Q43" s="21" t="str">
        <f>IF($B43="","",IFERROR(_xlfn.LET(_xlpm.Site,$B43,_xlpm.ActDate,_xlfn.XLOOKUP(_xlpm.Site,tblSites[Monthly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43:INDEX($1:$1048576,ROW(),COLUMN()-1))),_xlpm.Remaining,MAX(0,_xlpm.MaxPts-_xlpm.PriorEnrolled),IF(OR(_xlpm.ActDate="",EOMONTH(Q$5,0)&lt;_xlpm.StartDate,_xlpm.Remaining&lt;=0),0,MIN(_xlpm.MonthlyEnroll,_xlpm.Remaining))),0))</f>
        <v/>
      </c>
      <c r="R43" s="21" t="str">
        <f>IF($B43="","",IFERROR(_xlfn.LET(_xlpm.Site,$B43,_xlpm.ActDate,_xlfn.XLOOKUP(_xlpm.Site,tblSites[Site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43:INDEX($1:$1048576,ROW(),COLUMN()-1))),_xlpm.Remaining,MAX(0,_xlpm.MaxPts-_xlpm.PriorEnrolled),IF(OR(_xlpm.ActDate="",EOMONTH(R$5,0)&lt;_xlpm.StartDate,_xlpm.Remaining&lt;=0),0,MIN(_xlpm.MonthlyEnroll,_xlpm.Remaining))),0))</f>
        <v/>
      </c>
      <c r="S43" s="21" t="str">
        <f>IF($B43="","",IFERROR(_xlfn.LET(_xlpm.Site,$B43,_xlpm.ActDate,_xlfn.XLOOKUP(_xlpm.Site,tblSites[Max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43:INDEX($1:$1048576,ROW(),COLUMN()-1))),_xlpm.Remaining,MAX(0,_xlpm.MaxPts-_xlpm.PriorEnrolled),IF(OR(_xlpm.ActDate="",EOMONTH(S$5,0)&lt;_xlpm.StartDate,_xlpm.Remaining&lt;=0),0,MIN(_xlpm.MonthlyEnroll,_xlpm.Remaining))),0))</f>
        <v/>
      </c>
      <c r="T43" s="21" t="str">
        <f>IF($B43="","",IFERROR(_xlfn.LET(_xlpm.Site,$B43,_xlpm.ActDate,_xlfn.XLOOKUP(_xlpm.Site,tblSites[Current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43:INDEX($1:$1048576,ROW(),COLUMN()-1))),_xlpm.Remaining,MAX(0,_xlpm.MaxPts-_xlpm.PriorEnrolled),IF(OR(_xlpm.ActDate="",EOMONTH(T$5,0)&lt;_xlpm.StartDate,_xlpm.Remaining&lt;=0),0,MIN(_xlpm.MonthlyEnroll,_xlpm.Remaining))),0))</f>
        <v/>
      </c>
      <c r="U43" s="21" t="str">
        <f>IF($B43="","",IFERROR(_xlfn.LET(_xlpm.Site,$B43,_xlpm.ActDate,_xlfn.XLOOKUP(_xlpm.Site,tblSites[Include?],tblSites[Scenario?],""),_xlpm.ScreenDays,N('Study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43:INDEX($1:$1048576,ROW(),COLUMN()-1))),_xlpm.Remaining,MAX(0,_xlpm.MaxPts-_xlpm.PriorEnrolled),IF(OR(_xlpm.ActDate="",EOMONTH(U$5,0)&lt;_xlpm.StartDate,_xlpm.Remaining&lt;=0),0,MIN(_xlpm.MonthlyEnroll,_xlpm.Remaining))),0))</f>
        <v/>
      </c>
      <c r="V43" s="21" t="str">
        <f>IF($B43="","",IFERROR(_xlfn.LET(_xlpm.Site,$B43,_xlpm.ActDate,_xlfn.XLOOKUP(_xlpm.Site,tblSites[Scenario?],tblSites[Check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43:INDEX($1:$1048576,ROW(),COLUMN()-1))),_xlpm.Remaining,MAX(0,_xlpm.MaxPts-_xlpm.PriorEnrolled),IF(OR(_xlpm.ActDate="",EOMONTH(V$5,0)&lt;_xlpm.StartDate,_xlpm.Remaining&lt;=0),0,MIN(_xlpm.MonthlyEnroll,_xlpm.Remaining))),0))</f>
        <v/>
      </c>
      <c r="W43" s="21" t="str">
        <f>IF($B43="","",IFERROR(_xlfn.LET(_xlpm.Site,$B43,_xlpm.ActDate,_xlfn.XLOOKUP(_xlpm.Site,tblSites[Check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43:INDEX($1:$1048576,ROW(),COLUMN()-1))),_xlpm.Remaining,MAX(0,_xlpm.MaxPts-_xlpm.PriorEnrolled),IF(OR(_xlpm.ActDate="",EOMONTH(W$5,0)&lt;_xlpm.StartDate,_xlpm.Remaining&lt;=0),0,MIN(_xlpm.MonthlyEnroll,_xlpm.Remaining))),0))</f>
        <v/>
      </c>
      <c r="X43" s="21" t="str">
        <f>IF($B43="","",IFERROR(_xlfn.LET(_xlpm.Site,$B43,_xlpm.ActDate,_xlfn.XLOOKUP(_xlpm.Site,tblSites[Site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43:INDEX($1:$1048576,ROW(),COLUMN()-1))),_xlpm.Remaining,MAX(0,_xlpm.MaxPts-_xlpm.PriorEnrolled),IF(OR(_xlpm.ActDate="",EOMONTH(X$5,0)&lt;_xlpm.StartDate,_xlpm.Remaining&lt;=0),0,MIN(_xlpm.MonthlyEnroll,_xlpm.Remaining))),0))</f>
        <v/>
      </c>
      <c r="Y43" s="21" t="str">
        <f>IF($B43="","",IFERROR(_xlfn.LET(_xlpm.Site,$B43,_xlpm.ActDate,_xlfn.XLOOKUP(_xlpm.Site,#REF!,tblSites[Country],""),_xlpm.ScreenDays,N('Study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43:INDEX($1:$1048576,ROW(),COLUMN()-1))),_xlpm.Remaining,MAX(0,_xlpm.MaxPts-_xlpm.PriorEnrolled),IF(OR(_xlpm.ActDate="",EOMONTH(Y$5,0)&lt;_xlpm.StartDate,_xlpm.Remaining&lt;=0),0,MIN(_xlpm.MonthlyEnroll,_xlpm.Remaining))),0))</f>
        <v/>
      </c>
      <c r="Z43" s="21" t="str">
        <f>IF($B43="","",IFERROR(_xlfn.LET(_xlpm.Site,$B43,_xlpm.ActDate,_xlfn.XLOOKUP(_xlpm.Site,tblSites[Country],tblSites[Site],""),_xlpm.ScreenDays,N('Study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43:INDEX($1:$1048576,ROW(),COLUMN()-1))),_xlpm.Remaining,MAX(0,_xlpm.MaxPts-_xlpm.PriorEnrolled),IF(OR(_xlpm.ActDate="",EOMONTH(Z$5,0)&lt;_xlpm.StartDate,_xlpm.Remaining&lt;=0),0,MIN(_xlpm.MonthlyEnroll,_xlpm.Remaining))),0))</f>
        <v/>
      </c>
      <c r="AA43" s="21" t="str">
        <f>IF($B43="","",IFERROR(_xlfn.LET(_xlpm.Site,$B43,_xlpm.ActDate,_xlfn.XLOOKUP(_xlpm.Site,tblSites[Site],tblSites[Site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43:INDEX($1:$1048576,ROW(),COLUMN()-1))),_xlpm.Remaining,MAX(0,_xlpm.MaxPts-_xlpm.PriorEnrolled),IF(OR(_xlpm.ActDate="",EOMONTH(AA$5,0)&lt;_xlpm.StartDate,_xlpm.Remaining&lt;=0),0,MIN(_xlpm.MonthlyEnroll,_xlpm.Remaining))),0))</f>
        <v/>
      </c>
      <c r="AB43" s="21" t="str">
        <f>IF($B43="","",IFERROR(_xlfn.LET(_xlpm.Site,$B43,_xlpm.ActDate,_xlfn.XLOOKUP(_xlpm.Site,tblSites[Site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43:INDEX($1:$1048576,ROW(),COLUMN()-1))),_xlpm.Remaining,MAX(0,_xlpm.MaxPts-_xlpm.PriorEnrolled),IF(OR(_xlpm.ActDate="",EOMONTH(AB$5,0)&lt;_xlpm.StartDate,_xlpm.Remaining&lt;=0),0,MIN(_xlpm.MonthlyEnroll,_xlpm.Remaining))),0))</f>
        <v/>
      </c>
      <c r="AC43" s="21" t="str">
        <f>IF($B43="","",IFERROR(_xlfn.LET(_xlpm.Site,$B43,_xlpm.ActDate,_xlfn.XLOOKUP(_xlpm.Site,tblSites[Monthly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43:INDEX($1:$1048576,ROW(),COLUMN()-1))),_xlpm.Remaining,MAX(0,_xlpm.MaxPts-_xlpm.PriorEnrolled),IF(OR(_xlpm.ActDate="",EOMONTH(AC$5,0)&lt;_xlpm.StartDate,_xlpm.Remaining&lt;=0),0,MIN(_xlpm.MonthlyEnroll,_xlpm.Remaining))),0))</f>
        <v/>
      </c>
    </row>
    <row r="44" spans="3:29" x14ac:dyDescent="0.25">
      <c r="C44" s="21" t="str">
        <f>IF($B44="","",IFERROR(_xlfn.LET(_xlpm.Site,$B44,_xlpm.ActDate,_xlfn.XLOOKUP(_xlpm.Site,tblSites[Site],tblSites[Site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44:INDEX($1:$1048576,ROW(),COLUMN()-1))),_xlpm.Remaining,MAX(0,_xlpm.MaxPts-_xlpm.PriorEnrolled),IF(OR(_xlpm.ActDate="",EOMONTH(C$5,0)&lt;_xlpm.StartDate,_xlpm.Remaining&lt;=0),0,MIN(_xlpm.MonthlyEnroll,_xlpm.Remaining))),0))</f>
        <v/>
      </c>
      <c r="D44" s="21" t="str">
        <f>IF($B44="","",IFERROR(_xlfn.LET(_xlpm.Site,$B44,_xlpm.ActDate,_xlfn.XLOOKUP(_xlpm.Site,tblSites[Site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44:INDEX($1:$1048576,ROW(),COLUMN()-1))),_xlpm.Remaining,MAX(0,_xlpm.MaxPts-_xlpm.PriorEnrolled),IF(OR(_xlpm.ActDate="",EOMONTH(D$5,0)&lt;_xlpm.StartDate,_xlpm.Remaining&lt;=0),0,MIN(_xlpm.MonthlyEnroll,_xlpm.Remaining))),0))</f>
        <v/>
      </c>
      <c r="E44" s="21" t="str">
        <f>IF($B44="","",IFERROR(_xlfn.LET(_xlpm.Site,$B44,_xlpm.ActDate,_xlfn.XLOOKUP(_xlpm.Site,tblSites[Monthly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44:INDEX($1:$1048576,ROW(),COLUMN()-1))),_xlpm.Remaining,MAX(0,_xlpm.MaxPts-_xlpm.PriorEnrolled),IF(OR(_xlpm.ActDate="",EOMONTH(E$5,0)&lt;_xlpm.StartDate,_xlpm.Remaining&lt;=0),0,MIN(_xlpm.MonthlyEnroll,_xlpm.Remaining))),0))</f>
        <v/>
      </c>
      <c r="F44" s="21" t="str">
        <f>IF($B44="","",IFERROR(_xlfn.LET(_xlpm.Site,$B44,_xlpm.ActDate,_xlfn.XLOOKUP(_xlpm.Site,tblSites[Site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44:INDEX($1:$1048576,ROW(),COLUMN()-1))),_xlpm.Remaining,MAX(0,_xlpm.MaxPts-_xlpm.PriorEnrolled),IF(OR(_xlpm.ActDate="",EOMONTH(F$5,0)&lt;_xlpm.StartDate,_xlpm.Remaining&lt;=0),0,MIN(_xlpm.MonthlyEnroll,_xlpm.Remaining))),0))</f>
        <v/>
      </c>
      <c r="G44" s="21" t="str">
        <f>IF($B44="","",IFERROR(_xlfn.LET(_xlpm.Site,$B44,_xlpm.ActDate,_xlfn.XLOOKUP(_xlpm.Site,tblSites[Max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44:INDEX($1:$1048576,ROW(),COLUMN()-1))),_xlpm.Remaining,MAX(0,_xlpm.MaxPts-_xlpm.PriorEnrolled),IF(OR(_xlpm.ActDate="",EOMONTH(G$5,0)&lt;_xlpm.StartDate,_xlpm.Remaining&lt;=0),0,MIN(_xlpm.MonthlyEnroll,_xlpm.Remaining))),0))</f>
        <v/>
      </c>
      <c r="H44" s="21" t="str">
        <f>IF($B44="","",IFERROR(_xlfn.LET(_xlpm.Site,$B44,_xlpm.ActDate,_xlfn.XLOOKUP(_xlpm.Site,tblSites[Current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44:INDEX($1:$1048576,ROW(),COLUMN()-1))),_xlpm.Remaining,MAX(0,_xlpm.MaxPts-_xlpm.PriorEnrolled),IF(OR(_xlpm.ActDate="",EOMONTH(H$5,0)&lt;_xlpm.StartDate,_xlpm.Remaining&lt;=0),0,MIN(_xlpm.MonthlyEnroll,_xlpm.Remaining))),0))</f>
        <v/>
      </c>
      <c r="I44" s="21" t="str">
        <f>IF($B44="","",IFERROR(_xlfn.LET(_xlpm.Site,$B44,_xlpm.ActDate,_xlfn.XLOOKUP(_xlpm.Site,tblSites[Include?],tblSites[Scenario?],""),_xlpm.ScreenDays,N('Study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44:INDEX($1:$1048576,ROW(),COLUMN()-1))),_xlpm.Remaining,MAX(0,_xlpm.MaxPts-_xlpm.PriorEnrolled),IF(OR(_xlpm.ActDate="",EOMONTH(I$5,0)&lt;_xlpm.StartDate,_xlpm.Remaining&lt;=0),0,MIN(_xlpm.MonthlyEnroll,_xlpm.Remaining))),0))</f>
        <v/>
      </c>
      <c r="J44" s="21" t="str">
        <f>IF($B44="","",IFERROR(_xlfn.LET(_xlpm.Site,$B44,_xlpm.ActDate,_xlfn.XLOOKUP(_xlpm.Site,tblSites[Scenario?],tblSites[Check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44:INDEX($1:$1048576,ROW(),COLUMN()-1))),_xlpm.Remaining,MAX(0,_xlpm.MaxPts-_xlpm.PriorEnrolled),IF(OR(_xlpm.ActDate="",EOMONTH(J$5,0)&lt;_xlpm.StartDate,_xlpm.Remaining&lt;=0),0,MIN(_xlpm.MonthlyEnroll,_xlpm.Remaining))),0))</f>
        <v/>
      </c>
      <c r="K44" s="21" t="str">
        <f>IF($B44="","",IFERROR(_xlfn.LET(_xlpm.Site,$B44,_xlpm.ActDate,_xlfn.XLOOKUP(_xlpm.Site,tblSites[Check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44:INDEX($1:$1048576,ROW(),COLUMN()-1))),_xlpm.Remaining,MAX(0,_xlpm.MaxPts-_xlpm.PriorEnrolled),IF(OR(_xlpm.ActDate="",EOMONTH(K$5,0)&lt;_xlpm.StartDate,_xlpm.Remaining&lt;=0),0,MIN(_xlpm.MonthlyEnroll,_xlpm.Remaining))),0))</f>
        <v/>
      </c>
      <c r="L44" s="21" t="str">
        <f>IF($B44="","",IFERROR(_xlfn.LET(_xlpm.Site,$B44,_xlpm.ActDate,_xlfn.XLOOKUP(_xlpm.Site,tblSites[Site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44:INDEX($1:$1048576,ROW(),COLUMN()-1))),_xlpm.Remaining,MAX(0,_xlpm.MaxPts-_xlpm.PriorEnrolled),IF(OR(_xlpm.ActDate="",EOMONTH(L$5,0)&lt;_xlpm.StartDate,_xlpm.Remaining&lt;=0),0,MIN(_xlpm.MonthlyEnroll,_xlpm.Remaining))),0))</f>
        <v/>
      </c>
      <c r="M44" s="21" t="str">
        <f>IF($B44="","",IFERROR(_xlfn.LET(_xlpm.Site,$B44,_xlpm.ActDate,_xlfn.XLOOKUP(_xlpm.Site,#REF!,tblSites[Country],""),_xlpm.ScreenDays,N('Study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44:INDEX($1:$1048576,ROW(),COLUMN()-1))),_xlpm.Remaining,MAX(0,_xlpm.MaxPts-_xlpm.PriorEnrolled),IF(OR(_xlpm.ActDate="",EOMONTH(M$5,0)&lt;_xlpm.StartDate,_xlpm.Remaining&lt;=0),0,MIN(_xlpm.MonthlyEnroll,_xlpm.Remaining))),0))</f>
        <v/>
      </c>
      <c r="N44" s="21" t="str">
        <f>IF($B44="","",IFERROR(_xlfn.LET(_xlpm.Site,$B44,_xlpm.ActDate,_xlfn.XLOOKUP(_xlpm.Site,tblSites[Country],tblSites[Site],""),_xlpm.ScreenDays,N('Study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44:INDEX($1:$1048576,ROW(),COLUMN()-1))),_xlpm.Remaining,MAX(0,_xlpm.MaxPts-_xlpm.PriorEnrolled),IF(OR(_xlpm.ActDate="",EOMONTH(N$5,0)&lt;_xlpm.StartDate,_xlpm.Remaining&lt;=0),0,MIN(_xlpm.MonthlyEnroll,_xlpm.Remaining))),0))</f>
        <v/>
      </c>
      <c r="O44" s="21" t="str">
        <f>IF($B44="","",IFERROR(_xlfn.LET(_xlpm.Site,$B44,_xlpm.ActDate,_xlfn.XLOOKUP(_xlpm.Site,tblSites[Site],tblSites[Site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44:INDEX($1:$1048576,ROW(),COLUMN()-1))),_xlpm.Remaining,MAX(0,_xlpm.MaxPts-_xlpm.PriorEnrolled),IF(OR(_xlpm.ActDate="",EOMONTH(O$5,0)&lt;_xlpm.StartDate,_xlpm.Remaining&lt;=0),0,MIN(_xlpm.MonthlyEnroll,_xlpm.Remaining))),0))</f>
        <v/>
      </c>
      <c r="P44" s="21" t="str">
        <f>IF($B44="","",IFERROR(_xlfn.LET(_xlpm.Site,$B44,_xlpm.ActDate,_xlfn.XLOOKUP(_xlpm.Site,tblSites[Site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44:INDEX($1:$1048576,ROW(),COLUMN()-1))),_xlpm.Remaining,MAX(0,_xlpm.MaxPts-_xlpm.PriorEnrolled),IF(OR(_xlpm.ActDate="",EOMONTH(P$5,0)&lt;_xlpm.StartDate,_xlpm.Remaining&lt;=0),0,MIN(_xlpm.MonthlyEnroll,_xlpm.Remaining))),0))</f>
        <v/>
      </c>
      <c r="Q44" s="21" t="str">
        <f>IF($B44="","",IFERROR(_xlfn.LET(_xlpm.Site,$B44,_xlpm.ActDate,_xlfn.XLOOKUP(_xlpm.Site,tblSites[Monthly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44:INDEX($1:$1048576,ROW(),COLUMN()-1))),_xlpm.Remaining,MAX(0,_xlpm.MaxPts-_xlpm.PriorEnrolled),IF(OR(_xlpm.ActDate="",EOMONTH(Q$5,0)&lt;_xlpm.StartDate,_xlpm.Remaining&lt;=0),0,MIN(_xlpm.MonthlyEnroll,_xlpm.Remaining))),0))</f>
        <v/>
      </c>
      <c r="R44" s="21" t="str">
        <f>IF($B44="","",IFERROR(_xlfn.LET(_xlpm.Site,$B44,_xlpm.ActDate,_xlfn.XLOOKUP(_xlpm.Site,tblSites[Site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44:INDEX($1:$1048576,ROW(),COLUMN()-1))),_xlpm.Remaining,MAX(0,_xlpm.MaxPts-_xlpm.PriorEnrolled),IF(OR(_xlpm.ActDate="",EOMONTH(R$5,0)&lt;_xlpm.StartDate,_xlpm.Remaining&lt;=0),0,MIN(_xlpm.MonthlyEnroll,_xlpm.Remaining))),0))</f>
        <v/>
      </c>
      <c r="S44" s="21" t="str">
        <f>IF($B44="","",IFERROR(_xlfn.LET(_xlpm.Site,$B44,_xlpm.ActDate,_xlfn.XLOOKUP(_xlpm.Site,tblSites[Max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44:INDEX($1:$1048576,ROW(),COLUMN()-1))),_xlpm.Remaining,MAX(0,_xlpm.MaxPts-_xlpm.PriorEnrolled),IF(OR(_xlpm.ActDate="",EOMONTH(S$5,0)&lt;_xlpm.StartDate,_xlpm.Remaining&lt;=0),0,MIN(_xlpm.MonthlyEnroll,_xlpm.Remaining))),0))</f>
        <v/>
      </c>
      <c r="T44" s="21" t="str">
        <f>IF($B44="","",IFERROR(_xlfn.LET(_xlpm.Site,$B44,_xlpm.ActDate,_xlfn.XLOOKUP(_xlpm.Site,tblSites[Current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44:INDEX($1:$1048576,ROW(),COLUMN()-1))),_xlpm.Remaining,MAX(0,_xlpm.MaxPts-_xlpm.PriorEnrolled),IF(OR(_xlpm.ActDate="",EOMONTH(T$5,0)&lt;_xlpm.StartDate,_xlpm.Remaining&lt;=0),0,MIN(_xlpm.MonthlyEnroll,_xlpm.Remaining))),0))</f>
        <v/>
      </c>
      <c r="U44" s="21" t="str">
        <f>IF($B44="","",IFERROR(_xlfn.LET(_xlpm.Site,$B44,_xlpm.ActDate,_xlfn.XLOOKUP(_xlpm.Site,tblSites[Include?],tblSites[Scenario?],""),_xlpm.ScreenDays,N('Study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44:INDEX($1:$1048576,ROW(),COLUMN()-1))),_xlpm.Remaining,MAX(0,_xlpm.MaxPts-_xlpm.PriorEnrolled),IF(OR(_xlpm.ActDate="",EOMONTH(U$5,0)&lt;_xlpm.StartDate,_xlpm.Remaining&lt;=0),0,MIN(_xlpm.MonthlyEnroll,_xlpm.Remaining))),0))</f>
        <v/>
      </c>
      <c r="V44" s="21" t="str">
        <f>IF($B44="","",IFERROR(_xlfn.LET(_xlpm.Site,$B44,_xlpm.ActDate,_xlfn.XLOOKUP(_xlpm.Site,tblSites[Scenario?],tblSites[Check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44:INDEX($1:$1048576,ROW(),COLUMN()-1))),_xlpm.Remaining,MAX(0,_xlpm.MaxPts-_xlpm.PriorEnrolled),IF(OR(_xlpm.ActDate="",EOMONTH(V$5,0)&lt;_xlpm.StartDate,_xlpm.Remaining&lt;=0),0,MIN(_xlpm.MonthlyEnroll,_xlpm.Remaining))),0))</f>
        <v/>
      </c>
      <c r="W44" s="21" t="str">
        <f>IF($B44="","",IFERROR(_xlfn.LET(_xlpm.Site,$B44,_xlpm.ActDate,_xlfn.XLOOKUP(_xlpm.Site,tblSites[Check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44:INDEX($1:$1048576,ROW(),COLUMN()-1))),_xlpm.Remaining,MAX(0,_xlpm.MaxPts-_xlpm.PriorEnrolled),IF(OR(_xlpm.ActDate="",EOMONTH(W$5,0)&lt;_xlpm.StartDate,_xlpm.Remaining&lt;=0),0,MIN(_xlpm.MonthlyEnroll,_xlpm.Remaining))),0))</f>
        <v/>
      </c>
      <c r="X44" s="21" t="str">
        <f>IF($B44="","",IFERROR(_xlfn.LET(_xlpm.Site,$B44,_xlpm.ActDate,_xlfn.XLOOKUP(_xlpm.Site,tblSites[Site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44:INDEX($1:$1048576,ROW(),COLUMN()-1))),_xlpm.Remaining,MAX(0,_xlpm.MaxPts-_xlpm.PriorEnrolled),IF(OR(_xlpm.ActDate="",EOMONTH(X$5,0)&lt;_xlpm.StartDate,_xlpm.Remaining&lt;=0),0,MIN(_xlpm.MonthlyEnroll,_xlpm.Remaining))),0))</f>
        <v/>
      </c>
      <c r="Y44" s="21" t="str">
        <f>IF($B44="","",IFERROR(_xlfn.LET(_xlpm.Site,$B44,_xlpm.ActDate,_xlfn.XLOOKUP(_xlpm.Site,#REF!,tblSites[Country],""),_xlpm.ScreenDays,N('Study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44:INDEX($1:$1048576,ROW(),COLUMN()-1))),_xlpm.Remaining,MAX(0,_xlpm.MaxPts-_xlpm.PriorEnrolled),IF(OR(_xlpm.ActDate="",EOMONTH(Y$5,0)&lt;_xlpm.StartDate,_xlpm.Remaining&lt;=0),0,MIN(_xlpm.MonthlyEnroll,_xlpm.Remaining))),0))</f>
        <v/>
      </c>
      <c r="Z44" s="21" t="str">
        <f>IF($B44="","",IFERROR(_xlfn.LET(_xlpm.Site,$B44,_xlpm.ActDate,_xlfn.XLOOKUP(_xlpm.Site,tblSites[Country],tblSites[Site],""),_xlpm.ScreenDays,N('Study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44:INDEX($1:$1048576,ROW(),COLUMN()-1))),_xlpm.Remaining,MAX(0,_xlpm.MaxPts-_xlpm.PriorEnrolled),IF(OR(_xlpm.ActDate="",EOMONTH(Z$5,0)&lt;_xlpm.StartDate,_xlpm.Remaining&lt;=0),0,MIN(_xlpm.MonthlyEnroll,_xlpm.Remaining))),0))</f>
        <v/>
      </c>
      <c r="AA44" s="21" t="str">
        <f>IF($B44="","",IFERROR(_xlfn.LET(_xlpm.Site,$B44,_xlpm.ActDate,_xlfn.XLOOKUP(_xlpm.Site,tblSites[Site],tblSites[Site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44:INDEX($1:$1048576,ROW(),COLUMN()-1))),_xlpm.Remaining,MAX(0,_xlpm.MaxPts-_xlpm.PriorEnrolled),IF(OR(_xlpm.ActDate="",EOMONTH(AA$5,0)&lt;_xlpm.StartDate,_xlpm.Remaining&lt;=0),0,MIN(_xlpm.MonthlyEnroll,_xlpm.Remaining))),0))</f>
        <v/>
      </c>
      <c r="AB44" s="21" t="str">
        <f>IF($B44="","",IFERROR(_xlfn.LET(_xlpm.Site,$B44,_xlpm.ActDate,_xlfn.XLOOKUP(_xlpm.Site,tblSites[Site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44:INDEX($1:$1048576,ROW(),COLUMN()-1))),_xlpm.Remaining,MAX(0,_xlpm.MaxPts-_xlpm.PriorEnrolled),IF(OR(_xlpm.ActDate="",EOMONTH(AB$5,0)&lt;_xlpm.StartDate,_xlpm.Remaining&lt;=0),0,MIN(_xlpm.MonthlyEnroll,_xlpm.Remaining))),0))</f>
        <v/>
      </c>
      <c r="AC44" s="21" t="str">
        <f>IF($B44="","",IFERROR(_xlfn.LET(_xlpm.Site,$B44,_xlpm.ActDate,_xlfn.XLOOKUP(_xlpm.Site,tblSites[Monthly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44:INDEX($1:$1048576,ROW(),COLUMN()-1))),_xlpm.Remaining,MAX(0,_xlpm.MaxPts-_xlpm.PriorEnrolled),IF(OR(_xlpm.ActDate="",EOMONTH(AC$5,0)&lt;_xlpm.StartDate,_xlpm.Remaining&lt;=0),0,MIN(_xlpm.MonthlyEnroll,_xlpm.Remaining))),0))</f>
        <v/>
      </c>
    </row>
    <row r="45" spans="3:29" x14ac:dyDescent="0.25">
      <c r="C45" s="21" t="str">
        <f>IF($B45="","",IFERROR(_xlfn.LET(_xlpm.Site,$B45,_xlpm.ActDate,_xlfn.XLOOKUP(_xlpm.Site,tblSites[Site],tblSites[Site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45:INDEX($1:$1048576,ROW(),COLUMN()-1))),_xlpm.Remaining,MAX(0,_xlpm.MaxPts-_xlpm.PriorEnrolled),IF(OR(_xlpm.ActDate="",EOMONTH(C$5,0)&lt;_xlpm.StartDate,_xlpm.Remaining&lt;=0),0,MIN(_xlpm.MonthlyEnroll,_xlpm.Remaining))),0))</f>
        <v/>
      </c>
      <c r="D45" s="21" t="str">
        <f>IF($B45="","",IFERROR(_xlfn.LET(_xlpm.Site,$B45,_xlpm.ActDate,_xlfn.XLOOKUP(_xlpm.Site,tblSites[Site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45:INDEX($1:$1048576,ROW(),COLUMN()-1))),_xlpm.Remaining,MAX(0,_xlpm.MaxPts-_xlpm.PriorEnrolled),IF(OR(_xlpm.ActDate="",EOMONTH(D$5,0)&lt;_xlpm.StartDate,_xlpm.Remaining&lt;=0),0,MIN(_xlpm.MonthlyEnroll,_xlpm.Remaining))),0))</f>
        <v/>
      </c>
      <c r="E45" s="21" t="str">
        <f>IF($B45="","",IFERROR(_xlfn.LET(_xlpm.Site,$B45,_xlpm.ActDate,_xlfn.XLOOKUP(_xlpm.Site,tblSites[Monthly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45:INDEX($1:$1048576,ROW(),COLUMN()-1))),_xlpm.Remaining,MAX(0,_xlpm.MaxPts-_xlpm.PriorEnrolled),IF(OR(_xlpm.ActDate="",EOMONTH(E$5,0)&lt;_xlpm.StartDate,_xlpm.Remaining&lt;=0),0,MIN(_xlpm.MonthlyEnroll,_xlpm.Remaining))),0))</f>
        <v/>
      </c>
      <c r="F45" s="21" t="str">
        <f>IF($B45="","",IFERROR(_xlfn.LET(_xlpm.Site,$B45,_xlpm.ActDate,_xlfn.XLOOKUP(_xlpm.Site,tblSites[Site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45:INDEX($1:$1048576,ROW(),COLUMN()-1))),_xlpm.Remaining,MAX(0,_xlpm.MaxPts-_xlpm.PriorEnrolled),IF(OR(_xlpm.ActDate="",EOMONTH(F$5,0)&lt;_xlpm.StartDate,_xlpm.Remaining&lt;=0),0,MIN(_xlpm.MonthlyEnroll,_xlpm.Remaining))),0))</f>
        <v/>
      </c>
      <c r="G45" s="21" t="str">
        <f>IF($B45="","",IFERROR(_xlfn.LET(_xlpm.Site,$B45,_xlpm.ActDate,_xlfn.XLOOKUP(_xlpm.Site,tblSites[Max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45:INDEX($1:$1048576,ROW(),COLUMN()-1))),_xlpm.Remaining,MAX(0,_xlpm.MaxPts-_xlpm.PriorEnrolled),IF(OR(_xlpm.ActDate="",EOMONTH(G$5,0)&lt;_xlpm.StartDate,_xlpm.Remaining&lt;=0),0,MIN(_xlpm.MonthlyEnroll,_xlpm.Remaining))),0))</f>
        <v/>
      </c>
      <c r="H45" s="21" t="str">
        <f>IF($B45="","",IFERROR(_xlfn.LET(_xlpm.Site,$B45,_xlpm.ActDate,_xlfn.XLOOKUP(_xlpm.Site,tblSites[Current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45:INDEX($1:$1048576,ROW(),COLUMN()-1))),_xlpm.Remaining,MAX(0,_xlpm.MaxPts-_xlpm.PriorEnrolled),IF(OR(_xlpm.ActDate="",EOMONTH(H$5,0)&lt;_xlpm.StartDate,_xlpm.Remaining&lt;=0),0,MIN(_xlpm.MonthlyEnroll,_xlpm.Remaining))),0))</f>
        <v/>
      </c>
      <c r="I45" s="21" t="str">
        <f>IF($B45="","",IFERROR(_xlfn.LET(_xlpm.Site,$B45,_xlpm.ActDate,_xlfn.XLOOKUP(_xlpm.Site,tblSites[Include?],tblSites[Scenario?],""),_xlpm.ScreenDays,N('Study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45:INDEX($1:$1048576,ROW(),COLUMN()-1))),_xlpm.Remaining,MAX(0,_xlpm.MaxPts-_xlpm.PriorEnrolled),IF(OR(_xlpm.ActDate="",EOMONTH(I$5,0)&lt;_xlpm.StartDate,_xlpm.Remaining&lt;=0),0,MIN(_xlpm.MonthlyEnroll,_xlpm.Remaining))),0))</f>
        <v/>
      </c>
      <c r="J45" s="21" t="str">
        <f>IF($B45="","",IFERROR(_xlfn.LET(_xlpm.Site,$B45,_xlpm.ActDate,_xlfn.XLOOKUP(_xlpm.Site,tblSites[Scenario?],tblSites[Check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45:INDEX($1:$1048576,ROW(),COLUMN()-1))),_xlpm.Remaining,MAX(0,_xlpm.MaxPts-_xlpm.PriorEnrolled),IF(OR(_xlpm.ActDate="",EOMONTH(J$5,0)&lt;_xlpm.StartDate,_xlpm.Remaining&lt;=0),0,MIN(_xlpm.MonthlyEnroll,_xlpm.Remaining))),0))</f>
        <v/>
      </c>
      <c r="K45" s="21" t="str">
        <f>IF($B45="","",IFERROR(_xlfn.LET(_xlpm.Site,$B45,_xlpm.ActDate,_xlfn.XLOOKUP(_xlpm.Site,tblSites[Check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45:INDEX($1:$1048576,ROW(),COLUMN()-1))),_xlpm.Remaining,MAX(0,_xlpm.MaxPts-_xlpm.PriorEnrolled),IF(OR(_xlpm.ActDate="",EOMONTH(K$5,0)&lt;_xlpm.StartDate,_xlpm.Remaining&lt;=0),0,MIN(_xlpm.MonthlyEnroll,_xlpm.Remaining))),0))</f>
        <v/>
      </c>
      <c r="L45" s="21" t="str">
        <f>IF($B45="","",IFERROR(_xlfn.LET(_xlpm.Site,$B45,_xlpm.ActDate,_xlfn.XLOOKUP(_xlpm.Site,tblSites[Site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45:INDEX($1:$1048576,ROW(),COLUMN()-1))),_xlpm.Remaining,MAX(0,_xlpm.MaxPts-_xlpm.PriorEnrolled),IF(OR(_xlpm.ActDate="",EOMONTH(L$5,0)&lt;_xlpm.StartDate,_xlpm.Remaining&lt;=0),0,MIN(_xlpm.MonthlyEnroll,_xlpm.Remaining))),0))</f>
        <v/>
      </c>
      <c r="M45" s="21" t="str">
        <f>IF($B45="","",IFERROR(_xlfn.LET(_xlpm.Site,$B45,_xlpm.ActDate,_xlfn.XLOOKUP(_xlpm.Site,#REF!,tblSites[Country],""),_xlpm.ScreenDays,N('Study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45:INDEX($1:$1048576,ROW(),COLUMN()-1))),_xlpm.Remaining,MAX(0,_xlpm.MaxPts-_xlpm.PriorEnrolled),IF(OR(_xlpm.ActDate="",EOMONTH(M$5,0)&lt;_xlpm.StartDate,_xlpm.Remaining&lt;=0),0,MIN(_xlpm.MonthlyEnroll,_xlpm.Remaining))),0))</f>
        <v/>
      </c>
      <c r="N45" s="21" t="str">
        <f>IF($B45="","",IFERROR(_xlfn.LET(_xlpm.Site,$B45,_xlpm.ActDate,_xlfn.XLOOKUP(_xlpm.Site,tblSites[Country],tblSites[Site],""),_xlpm.ScreenDays,N('Study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45:INDEX($1:$1048576,ROW(),COLUMN()-1))),_xlpm.Remaining,MAX(0,_xlpm.MaxPts-_xlpm.PriorEnrolled),IF(OR(_xlpm.ActDate="",EOMONTH(N$5,0)&lt;_xlpm.StartDate,_xlpm.Remaining&lt;=0),0,MIN(_xlpm.MonthlyEnroll,_xlpm.Remaining))),0))</f>
        <v/>
      </c>
      <c r="O45" s="21" t="str">
        <f>IF($B45="","",IFERROR(_xlfn.LET(_xlpm.Site,$B45,_xlpm.ActDate,_xlfn.XLOOKUP(_xlpm.Site,tblSites[Site],tblSites[Site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45:INDEX($1:$1048576,ROW(),COLUMN()-1))),_xlpm.Remaining,MAX(0,_xlpm.MaxPts-_xlpm.PriorEnrolled),IF(OR(_xlpm.ActDate="",EOMONTH(O$5,0)&lt;_xlpm.StartDate,_xlpm.Remaining&lt;=0),0,MIN(_xlpm.MonthlyEnroll,_xlpm.Remaining))),0))</f>
        <v/>
      </c>
      <c r="P45" s="21" t="str">
        <f>IF($B45="","",IFERROR(_xlfn.LET(_xlpm.Site,$B45,_xlpm.ActDate,_xlfn.XLOOKUP(_xlpm.Site,tblSites[Site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45:INDEX($1:$1048576,ROW(),COLUMN()-1))),_xlpm.Remaining,MAX(0,_xlpm.MaxPts-_xlpm.PriorEnrolled),IF(OR(_xlpm.ActDate="",EOMONTH(P$5,0)&lt;_xlpm.StartDate,_xlpm.Remaining&lt;=0),0,MIN(_xlpm.MonthlyEnroll,_xlpm.Remaining))),0))</f>
        <v/>
      </c>
      <c r="Q45" s="21" t="str">
        <f>IF($B45="","",IFERROR(_xlfn.LET(_xlpm.Site,$B45,_xlpm.ActDate,_xlfn.XLOOKUP(_xlpm.Site,tblSites[Monthly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45:INDEX($1:$1048576,ROW(),COLUMN()-1))),_xlpm.Remaining,MAX(0,_xlpm.MaxPts-_xlpm.PriorEnrolled),IF(OR(_xlpm.ActDate="",EOMONTH(Q$5,0)&lt;_xlpm.StartDate,_xlpm.Remaining&lt;=0),0,MIN(_xlpm.MonthlyEnroll,_xlpm.Remaining))),0))</f>
        <v/>
      </c>
      <c r="R45" s="21" t="str">
        <f>IF($B45="","",IFERROR(_xlfn.LET(_xlpm.Site,$B45,_xlpm.ActDate,_xlfn.XLOOKUP(_xlpm.Site,tblSites[Site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45:INDEX($1:$1048576,ROW(),COLUMN()-1))),_xlpm.Remaining,MAX(0,_xlpm.MaxPts-_xlpm.PriorEnrolled),IF(OR(_xlpm.ActDate="",EOMONTH(R$5,0)&lt;_xlpm.StartDate,_xlpm.Remaining&lt;=0),0,MIN(_xlpm.MonthlyEnroll,_xlpm.Remaining))),0))</f>
        <v/>
      </c>
      <c r="S45" s="21" t="str">
        <f>IF($B45="","",IFERROR(_xlfn.LET(_xlpm.Site,$B45,_xlpm.ActDate,_xlfn.XLOOKUP(_xlpm.Site,tblSites[Max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45:INDEX($1:$1048576,ROW(),COLUMN()-1))),_xlpm.Remaining,MAX(0,_xlpm.MaxPts-_xlpm.PriorEnrolled),IF(OR(_xlpm.ActDate="",EOMONTH(S$5,0)&lt;_xlpm.StartDate,_xlpm.Remaining&lt;=0),0,MIN(_xlpm.MonthlyEnroll,_xlpm.Remaining))),0))</f>
        <v/>
      </c>
      <c r="T45" s="21" t="str">
        <f>IF($B45="","",IFERROR(_xlfn.LET(_xlpm.Site,$B45,_xlpm.ActDate,_xlfn.XLOOKUP(_xlpm.Site,tblSites[Current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45:INDEX($1:$1048576,ROW(),COLUMN()-1))),_xlpm.Remaining,MAX(0,_xlpm.MaxPts-_xlpm.PriorEnrolled),IF(OR(_xlpm.ActDate="",EOMONTH(T$5,0)&lt;_xlpm.StartDate,_xlpm.Remaining&lt;=0),0,MIN(_xlpm.MonthlyEnroll,_xlpm.Remaining))),0))</f>
        <v/>
      </c>
      <c r="U45" s="21" t="str">
        <f>IF($B45="","",IFERROR(_xlfn.LET(_xlpm.Site,$B45,_xlpm.ActDate,_xlfn.XLOOKUP(_xlpm.Site,tblSites[Include?],tblSites[Scenario?],""),_xlpm.ScreenDays,N('Study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45:INDEX($1:$1048576,ROW(),COLUMN()-1))),_xlpm.Remaining,MAX(0,_xlpm.MaxPts-_xlpm.PriorEnrolled),IF(OR(_xlpm.ActDate="",EOMONTH(U$5,0)&lt;_xlpm.StartDate,_xlpm.Remaining&lt;=0),0,MIN(_xlpm.MonthlyEnroll,_xlpm.Remaining))),0))</f>
        <v/>
      </c>
      <c r="V45" s="21" t="str">
        <f>IF($B45="","",IFERROR(_xlfn.LET(_xlpm.Site,$B45,_xlpm.ActDate,_xlfn.XLOOKUP(_xlpm.Site,tblSites[Scenario?],tblSites[Check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45:INDEX($1:$1048576,ROW(),COLUMN()-1))),_xlpm.Remaining,MAX(0,_xlpm.MaxPts-_xlpm.PriorEnrolled),IF(OR(_xlpm.ActDate="",EOMONTH(V$5,0)&lt;_xlpm.StartDate,_xlpm.Remaining&lt;=0),0,MIN(_xlpm.MonthlyEnroll,_xlpm.Remaining))),0))</f>
        <v/>
      </c>
      <c r="W45" s="21" t="str">
        <f>IF($B45="","",IFERROR(_xlfn.LET(_xlpm.Site,$B45,_xlpm.ActDate,_xlfn.XLOOKUP(_xlpm.Site,tblSites[Check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45:INDEX($1:$1048576,ROW(),COLUMN()-1))),_xlpm.Remaining,MAX(0,_xlpm.MaxPts-_xlpm.PriorEnrolled),IF(OR(_xlpm.ActDate="",EOMONTH(W$5,0)&lt;_xlpm.StartDate,_xlpm.Remaining&lt;=0),0,MIN(_xlpm.MonthlyEnroll,_xlpm.Remaining))),0))</f>
        <v/>
      </c>
      <c r="X45" s="21" t="str">
        <f>IF($B45="","",IFERROR(_xlfn.LET(_xlpm.Site,$B45,_xlpm.ActDate,_xlfn.XLOOKUP(_xlpm.Site,tblSites[Site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45:INDEX($1:$1048576,ROW(),COLUMN()-1))),_xlpm.Remaining,MAX(0,_xlpm.MaxPts-_xlpm.PriorEnrolled),IF(OR(_xlpm.ActDate="",EOMONTH(X$5,0)&lt;_xlpm.StartDate,_xlpm.Remaining&lt;=0),0,MIN(_xlpm.MonthlyEnroll,_xlpm.Remaining))),0))</f>
        <v/>
      </c>
      <c r="Y45" s="21" t="str">
        <f>IF($B45="","",IFERROR(_xlfn.LET(_xlpm.Site,$B45,_xlpm.ActDate,_xlfn.XLOOKUP(_xlpm.Site,#REF!,tblSites[Country],""),_xlpm.ScreenDays,N('Study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45:INDEX($1:$1048576,ROW(),COLUMN()-1))),_xlpm.Remaining,MAX(0,_xlpm.MaxPts-_xlpm.PriorEnrolled),IF(OR(_xlpm.ActDate="",EOMONTH(Y$5,0)&lt;_xlpm.StartDate,_xlpm.Remaining&lt;=0),0,MIN(_xlpm.MonthlyEnroll,_xlpm.Remaining))),0))</f>
        <v/>
      </c>
      <c r="Z45" s="21" t="str">
        <f>IF($B45="","",IFERROR(_xlfn.LET(_xlpm.Site,$B45,_xlpm.ActDate,_xlfn.XLOOKUP(_xlpm.Site,tblSites[Country],tblSites[Site],""),_xlpm.ScreenDays,N('Study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45:INDEX($1:$1048576,ROW(),COLUMN()-1))),_xlpm.Remaining,MAX(0,_xlpm.MaxPts-_xlpm.PriorEnrolled),IF(OR(_xlpm.ActDate="",EOMONTH(Z$5,0)&lt;_xlpm.StartDate,_xlpm.Remaining&lt;=0),0,MIN(_xlpm.MonthlyEnroll,_xlpm.Remaining))),0))</f>
        <v/>
      </c>
      <c r="AA45" s="21" t="str">
        <f>IF($B45="","",IFERROR(_xlfn.LET(_xlpm.Site,$B45,_xlpm.ActDate,_xlfn.XLOOKUP(_xlpm.Site,tblSites[Site],tblSites[Site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45:INDEX($1:$1048576,ROW(),COLUMN()-1))),_xlpm.Remaining,MAX(0,_xlpm.MaxPts-_xlpm.PriorEnrolled),IF(OR(_xlpm.ActDate="",EOMONTH(AA$5,0)&lt;_xlpm.StartDate,_xlpm.Remaining&lt;=0),0,MIN(_xlpm.MonthlyEnroll,_xlpm.Remaining))),0))</f>
        <v/>
      </c>
      <c r="AB45" s="21" t="str">
        <f>IF($B45="","",IFERROR(_xlfn.LET(_xlpm.Site,$B45,_xlpm.ActDate,_xlfn.XLOOKUP(_xlpm.Site,tblSites[Site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45:INDEX($1:$1048576,ROW(),COLUMN()-1))),_xlpm.Remaining,MAX(0,_xlpm.MaxPts-_xlpm.PriorEnrolled),IF(OR(_xlpm.ActDate="",EOMONTH(AB$5,0)&lt;_xlpm.StartDate,_xlpm.Remaining&lt;=0),0,MIN(_xlpm.MonthlyEnroll,_xlpm.Remaining))),0))</f>
        <v/>
      </c>
      <c r="AC45" s="21" t="str">
        <f>IF($B45="","",IFERROR(_xlfn.LET(_xlpm.Site,$B45,_xlpm.ActDate,_xlfn.XLOOKUP(_xlpm.Site,tblSites[Monthly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45:INDEX($1:$1048576,ROW(),COLUMN()-1))),_xlpm.Remaining,MAX(0,_xlpm.MaxPts-_xlpm.PriorEnrolled),IF(OR(_xlpm.ActDate="",EOMONTH(AC$5,0)&lt;_xlpm.StartDate,_xlpm.Remaining&lt;=0),0,MIN(_xlpm.MonthlyEnroll,_xlpm.Remaining))),0))</f>
        <v/>
      </c>
    </row>
    <row r="54" spans="8:8" x14ac:dyDescent="0.25">
      <c r="H54" s="2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425E-077C-483C-9795-04C02D7E83F8}">
  <sheetPr codeName="Sheet5"/>
  <dimension ref="A1:AP20"/>
  <sheetViews>
    <sheetView workbookViewId="0">
      <selection activeCell="B15" sqref="B15"/>
    </sheetView>
  </sheetViews>
  <sheetFormatPr defaultRowHeight="15" x14ac:dyDescent="0.25"/>
  <cols>
    <col min="2" max="2" width="26.42578125" bestFit="1" customWidth="1"/>
    <col min="3" max="3" width="16.140625" customWidth="1"/>
    <col min="4" max="4" width="14.140625" bestFit="1" customWidth="1"/>
    <col min="5" max="5" width="23.140625" bestFit="1" customWidth="1"/>
    <col min="6" max="6" width="20.42578125" bestFit="1" customWidth="1"/>
    <col min="7" max="7" width="23" bestFit="1" customWidth="1"/>
    <col min="8" max="30" width="14.7109375" bestFit="1" customWidth="1"/>
    <col min="31" max="36" width="13.7109375" bestFit="1" customWidth="1"/>
  </cols>
  <sheetData>
    <row r="1" spans="1:42" x14ac:dyDescent="0.25">
      <c r="D1" t="s">
        <v>57</v>
      </c>
      <c r="E1" s="10">
        <f>AVERAGE('Site Information'!$D:$D)</f>
        <v>0.22027027027027024</v>
      </c>
    </row>
    <row r="2" spans="1:42" x14ac:dyDescent="0.25">
      <c r="B2" t="s">
        <v>56</v>
      </c>
      <c r="C2" t="s">
        <v>59</v>
      </c>
      <c r="D2" s="4">
        <f>'Enrollment Forecast'!C5</f>
        <v>46023</v>
      </c>
      <c r="E2" s="4">
        <f>'Enrollment Forecast'!D5</f>
        <v>46054</v>
      </c>
      <c r="F2" s="4">
        <f>'Enrollment Forecast'!E5</f>
        <v>46082</v>
      </c>
      <c r="G2" s="4">
        <f>'Enrollment Forecast'!F5</f>
        <v>46113</v>
      </c>
      <c r="H2" s="4">
        <f>'Enrollment Forecast'!G5</f>
        <v>46143</v>
      </c>
      <c r="I2" s="4">
        <f>'Enrollment Forecast'!H5</f>
        <v>46174</v>
      </c>
      <c r="J2" s="4">
        <f>'Enrollment Forecast'!I5</f>
        <v>46204</v>
      </c>
      <c r="K2" s="4">
        <f>'Enrollment Forecast'!J5</f>
        <v>46235</v>
      </c>
      <c r="L2" s="4">
        <f>'Enrollment Forecast'!K5</f>
        <v>46266</v>
      </c>
      <c r="M2" s="4">
        <f>'Enrollment Forecast'!L5</f>
        <v>46296</v>
      </c>
      <c r="N2" s="4">
        <f>'Enrollment Forecast'!M5</f>
        <v>46327</v>
      </c>
      <c r="O2" s="4">
        <f>'Enrollment Forecast'!N5</f>
        <v>46357</v>
      </c>
      <c r="P2" s="4">
        <f>'Enrollment Forecast'!O5</f>
        <v>46388</v>
      </c>
      <c r="Q2" s="4">
        <f>'Enrollment Forecast'!P5</f>
        <v>46419</v>
      </c>
      <c r="R2" s="4">
        <f>'Enrollment Forecast'!Q5</f>
        <v>46447</v>
      </c>
      <c r="S2" s="4">
        <f>'Enrollment Forecast'!R5</f>
        <v>46478</v>
      </c>
      <c r="T2" s="4">
        <f>'Enrollment Forecast'!S5</f>
        <v>46508</v>
      </c>
      <c r="U2" s="4">
        <f>'Enrollment Forecast'!T5</f>
        <v>46539</v>
      </c>
      <c r="V2" s="4">
        <f>'Enrollment Forecast'!U5</f>
        <v>46569</v>
      </c>
      <c r="W2" s="4">
        <f>'Enrollment Forecast'!V5</f>
        <v>46600</v>
      </c>
      <c r="X2" s="4">
        <f>'Enrollment Forecast'!W5</f>
        <v>46631</v>
      </c>
      <c r="Y2" s="4">
        <f>'Enrollment Forecast'!X5</f>
        <v>46661</v>
      </c>
      <c r="Z2" s="4">
        <f>'Enrollment Forecast'!Y5</f>
        <v>46692</v>
      </c>
      <c r="AA2" s="4">
        <f>'Enrollment Forecast'!Z5</f>
        <v>46722</v>
      </c>
      <c r="AB2" s="4">
        <f>'Enrollment Forecast'!AA5</f>
        <v>46753</v>
      </c>
      <c r="AC2" s="4">
        <f>'Enrollment Forecast'!AB5</f>
        <v>46784</v>
      </c>
      <c r="AD2" s="4">
        <f>'Enrollment Forecast'!AC5</f>
        <v>46813</v>
      </c>
      <c r="AE2" s="4">
        <f>'Enrollment Forecast'!AD5</f>
        <v>0</v>
      </c>
      <c r="AF2" s="4">
        <f>'Enrollment Forecast'!AE5</f>
        <v>0</v>
      </c>
      <c r="AG2" s="4">
        <f>'Enrollment Forecast'!AF5</f>
        <v>0</v>
      </c>
      <c r="AH2" s="4">
        <f>'Enrollment Forecast'!AG5</f>
        <v>0</v>
      </c>
      <c r="AI2" s="4">
        <f>'Enrollment Forecast'!AH5</f>
        <v>0</v>
      </c>
      <c r="AJ2" s="4">
        <f>'Enrollment Forecast'!AI5</f>
        <v>0</v>
      </c>
    </row>
    <row r="3" spans="1:42" x14ac:dyDescent="0.25">
      <c r="B3" t="s">
        <v>25</v>
      </c>
      <c r="C3" s="3">
        <f>'Enrollment Forecast'!A3</f>
        <v>46388</v>
      </c>
      <c r="D3" s="9">
        <f>'Enrollment Forecast'!C3</f>
        <v>100</v>
      </c>
      <c r="E3" s="9">
        <f>'Enrollment Forecast'!D3</f>
        <v>100</v>
      </c>
      <c r="F3" s="9">
        <f>'Enrollment Forecast'!E3</f>
        <v>100</v>
      </c>
      <c r="G3" s="9">
        <f>'Enrollment Forecast'!F3</f>
        <v>100</v>
      </c>
      <c r="H3" s="9">
        <f>'Enrollment Forecast'!G3</f>
        <v>100</v>
      </c>
      <c r="I3" s="9">
        <f>'Enrollment Forecast'!H3</f>
        <v>100</v>
      </c>
      <c r="J3" s="9">
        <f>'Enrollment Forecast'!I3</f>
        <v>100</v>
      </c>
      <c r="K3" s="9">
        <f>'Enrollment Forecast'!J3</f>
        <v>100</v>
      </c>
      <c r="L3" s="9">
        <f>'Enrollment Forecast'!K3</f>
        <v>100</v>
      </c>
      <c r="M3" s="9">
        <f>'Enrollment Forecast'!L3</f>
        <v>100</v>
      </c>
      <c r="N3" s="9">
        <f>'Enrollment Forecast'!M3</f>
        <v>100</v>
      </c>
      <c r="O3" s="9">
        <f>'Enrollment Forecast'!N3</f>
        <v>100</v>
      </c>
      <c r="P3" s="9">
        <f>'Enrollment Forecast'!O3</f>
        <v>100</v>
      </c>
      <c r="Q3" s="9">
        <f>'Enrollment Forecast'!P3</f>
        <v>100</v>
      </c>
      <c r="R3" s="9">
        <f>'Enrollment Forecast'!Q3</f>
        <v>100</v>
      </c>
      <c r="S3" s="9">
        <f>'Enrollment Forecast'!R3</f>
        <v>100</v>
      </c>
      <c r="T3" s="9">
        <f>'Enrollment Forecast'!S3</f>
        <v>100</v>
      </c>
      <c r="U3" s="9">
        <f>'Enrollment Forecast'!T3</f>
        <v>100</v>
      </c>
      <c r="V3" s="9">
        <f>'Enrollment Forecast'!U3</f>
        <v>100</v>
      </c>
      <c r="W3" s="9">
        <f>'Enrollment Forecast'!V3</f>
        <v>100</v>
      </c>
      <c r="X3" s="9">
        <f>'Enrollment Forecast'!W3</f>
        <v>100</v>
      </c>
      <c r="Y3" s="9">
        <f>'Enrollment Forecast'!X3</f>
        <v>100</v>
      </c>
      <c r="Z3" s="9">
        <f>'Enrollment Forecast'!Y3</f>
        <v>100</v>
      </c>
      <c r="AA3" s="9">
        <f>'Enrollment Forecast'!Z3</f>
        <v>100</v>
      </c>
      <c r="AB3" s="9">
        <f>'Enrollment Forecast'!AA3</f>
        <v>100</v>
      </c>
      <c r="AC3" s="9">
        <f>'Enrollment Forecast'!AB3</f>
        <v>100</v>
      </c>
      <c r="AD3" s="9">
        <f>'Enrollment Forecast'!AC3</f>
        <v>100</v>
      </c>
      <c r="AE3" s="9">
        <f>'Enrollment Forecast'!AD3</f>
        <v>0</v>
      </c>
      <c r="AF3" s="9">
        <f>'Enrollment Forecast'!AE3</f>
        <v>0</v>
      </c>
      <c r="AG3" s="9">
        <f>'Enrollment Forecast'!AF3</f>
        <v>0</v>
      </c>
      <c r="AH3" s="9">
        <f>'Enrollment Forecast'!AG3</f>
        <v>0</v>
      </c>
      <c r="AI3" s="9">
        <f>'Enrollment Forecast'!AH3</f>
        <v>0</v>
      </c>
      <c r="AJ3" s="4"/>
      <c r="AK3" s="4"/>
      <c r="AL3" s="4"/>
      <c r="AM3" s="4"/>
      <c r="AN3" s="4"/>
      <c r="AO3" s="4"/>
      <c r="AP3" s="4"/>
    </row>
    <row r="4" spans="1:42" x14ac:dyDescent="0.25">
      <c r="B4" t="s">
        <v>58</v>
      </c>
      <c r="D4" s="9">
        <f ca="1">'Enrollment Forecast'!C2</f>
        <v>0</v>
      </c>
      <c r="E4" s="9">
        <f ca="1">'Enrollment Forecast'!D2</f>
        <v>0</v>
      </c>
      <c r="F4" s="9">
        <f ca="1">'Enrollment Forecast'!E2</f>
        <v>0</v>
      </c>
      <c r="G4" s="9">
        <f ca="1">'Enrollment Forecast'!F2</f>
        <v>0</v>
      </c>
      <c r="H4" s="9">
        <f ca="1">'Enrollment Forecast'!G2</f>
        <v>0</v>
      </c>
      <c r="I4" s="9">
        <f ca="1">'Enrollment Forecast'!H2</f>
        <v>0</v>
      </c>
      <c r="J4" s="9">
        <f ca="1">'Enrollment Forecast'!I2</f>
        <v>0</v>
      </c>
      <c r="K4" s="9">
        <f ca="1">'Enrollment Forecast'!J2</f>
        <v>18</v>
      </c>
      <c r="L4" s="9">
        <f ca="1">'Enrollment Forecast'!K2</f>
        <v>33</v>
      </c>
      <c r="M4" s="9">
        <f ca="1">'Enrollment Forecast'!L2</f>
        <v>45</v>
      </c>
      <c r="N4" s="9">
        <f ca="1">'Enrollment Forecast'!M2</f>
        <v>57</v>
      </c>
      <c r="O4" s="9">
        <f ca="1">'Enrollment Forecast'!N2</f>
        <v>70</v>
      </c>
      <c r="P4" s="9">
        <f ca="1">'Enrollment Forecast'!O2</f>
        <v>84</v>
      </c>
      <c r="Q4" s="9">
        <f ca="1">'Enrollment Forecast'!P2</f>
        <v>90</v>
      </c>
      <c r="R4" s="9">
        <f ca="1">'Enrollment Forecast'!Q2</f>
        <v>95</v>
      </c>
      <c r="S4" s="9">
        <f ca="1">'Enrollment Forecast'!R2</f>
        <v>99</v>
      </c>
      <c r="T4" s="9">
        <f ca="1">'Enrollment Forecast'!S2</f>
        <v>101</v>
      </c>
      <c r="U4" s="9">
        <f ca="1">'Enrollment Forecast'!T2</f>
        <v>101</v>
      </c>
      <c r="V4" s="9">
        <f ca="1">'Enrollment Forecast'!U2</f>
        <v>101</v>
      </c>
      <c r="W4" s="9">
        <f ca="1">'Enrollment Forecast'!V2</f>
        <v>101</v>
      </c>
      <c r="X4" s="9">
        <f ca="1">'Enrollment Forecast'!W2</f>
        <v>101</v>
      </c>
      <c r="Y4" s="9">
        <f ca="1">'Enrollment Forecast'!X2</f>
        <v>101</v>
      </c>
      <c r="Z4" s="9">
        <f ca="1">'Enrollment Forecast'!Y2</f>
        <v>101</v>
      </c>
      <c r="AA4" s="9">
        <f ca="1">'Enrollment Forecast'!Z2</f>
        <v>101</v>
      </c>
      <c r="AB4" s="9">
        <f ca="1">'Enrollment Forecast'!AA2</f>
        <v>101</v>
      </c>
      <c r="AC4" s="9">
        <f ca="1">'Enrollment Forecast'!AB2</f>
        <v>101</v>
      </c>
      <c r="AD4" s="9">
        <f ca="1">'Enrollment Forecast'!AC2</f>
        <v>101</v>
      </c>
      <c r="AE4" s="9">
        <f>'Enrollment Forecast'!AD2</f>
        <v>0</v>
      </c>
      <c r="AF4" s="9">
        <f>'Enrollment Forecast'!AE2</f>
        <v>0</v>
      </c>
      <c r="AG4" s="9">
        <f>'Enrollment Forecast'!AF2</f>
        <v>0</v>
      </c>
      <c r="AH4" s="9">
        <f>'Enrollment Forecast'!AG2</f>
        <v>0</v>
      </c>
      <c r="AI4" s="9">
        <f>'Enrollment Forecast'!AH2</f>
        <v>0</v>
      </c>
      <c r="AJ4" s="9">
        <f>'Enrollment Forecast'!AI2</f>
        <v>0</v>
      </c>
      <c r="AK4" s="9"/>
      <c r="AL4" s="9"/>
    </row>
    <row r="5" spans="1:42" x14ac:dyDescent="0.25">
      <c r="B5" t="s">
        <v>127</v>
      </c>
      <c r="D5" s="9">
        <f ca="1">'Scenario Enrollment Forecast'!C2</f>
        <v>0</v>
      </c>
      <c r="E5" s="9">
        <f ca="1">'Scenario Enrollment Forecast'!D2</f>
        <v>0</v>
      </c>
      <c r="F5" s="9">
        <f ca="1">'Scenario Enrollment Forecast'!E2</f>
        <v>0</v>
      </c>
      <c r="G5" s="9">
        <f ca="1">'Scenario Enrollment Forecast'!F2</f>
        <v>0</v>
      </c>
      <c r="H5" s="9">
        <f ca="1">'Scenario Enrollment Forecast'!G2</f>
        <v>0</v>
      </c>
      <c r="I5" s="9">
        <f ca="1">'Scenario Enrollment Forecast'!H2</f>
        <v>0</v>
      </c>
      <c r="J5" s="9">
        <f ca="1">'Scenario Enrollment Forecast'!I2</f>
        <v>0</v>
      </c>
      <c r="K5" s="9">
        <f ca="1">'Scenario Enrollment Forecast'!J2</f>
        <v>24</v>
      </c>
      <c r="L5" s="9">
        <f ca="1">'Scenario Enrollment Forecast'!K2</f>
        <v>46</v>
      </c>
      <c r="M5" s="9">
        <f ca="1">'Scenario Enrollment Forecast'!L2</f>
        <v>65</v>
      </c>
      <c r="N5" s="9">
        <f ca="1">'Scenario Enrollment Forecast'!M2</f>
        <v>85</v>
      </c>
      <c r="O5" s="9">
        <f ca="1">'Scenario Enrollment Forecast'!N2</f>
        <v>106</v>
      </c>
      <c r="P5" s="9">
        <f ca="1">'Scenario Enrollment Forecast'!O2</f>
        <v>128</v>
      </c>
      <c r="Q5" s="9">
        <f ca="1">'Scenario Enrollment Forecast'!P2</f>
        <v>139</v>
      </c>
      <c r="R5" s="9">
        <f ca="1">'Scenario Enrollment Forecast'!Q2</f>
        <v>147</v>
      </c>
      <c r="S5" s="9">
        <f ca="1">'Scenario Enrollment Forecast'!R2</f>
        <v>153</v>
      </c>
      <c r="T5" s="9">
        <f ca="1">'Scenario Enrollment Forecast'!S2</f>
        <v>157</v>
      </c>
      <c r="U5" s="9">
        <f ca="1">'Scenario Enrollment Forecast'!T2</f>
        <v>159</v>
      </c>
      <c r="V5" s="9">
        <f ca="1">'Scenario Enrollment Forecast'!U2</f>
        <v>160</v>
      </c>
      <c r="W5" s="9">
        <f ca="1">'Scenario Enrollment Forecast'!V2</f>
        <v>161</v>
      </c>
      <c r="X5" s="9">
        <f ca="1">'Scenario Enrollment Forecast'!W2</f>
        <v>162</v>
      </c>
      <c r="Y5" s="9">
        <f ca="1">'Scenario Enrollment Forecast'!X2</f>
        <v>163</v>
      </c>
      <c r="Z5" s="9">
        <f ca="1">'Scenario Enrollment Forecast'!Y2</f>
        <v>164</v>
      </c>
      <c r="AA5" s="9">
        <f ca="1">'Scenario Enrollment Forecast'!Z2</f>
        <v>165</v>
      </c>
      <c r="AB5" s="9">
        <f ca="1">'Scenario Enrollment Forecast'!AA2</f>
        <v>166</v>
      </c>
      <c r="AC5" s="9">
        <f ca="1">'Scenario Enrollment Forecast'!AB2</f>
        <v>167</v>
      </c>
      <c r="AD5" s="9">
        <f ca="1">'Scenario Enrollment Forecast'!AC2</f>
        <v>168</v>
      </c>
      <c r="AE5" s="9"/>
      <c r="AF5" s="9"/>
      <c r="AG5" s="9"/>
      <c r="AH5" s="9"/>
      <c r="AI5" s="9"/>
      <c r="AJ5" s="9"/>
      <c r="AK5" s="9"/>
      <c r="AL5" s="9"/>
    </row>
    <row r="6" spans="1:42" x14ac:dyDescent="0.25">
      <c r="A6" t="b">
        <f>'Scenario Tool'!A28</f>
        <v>1</v>
      </c>
      <c r="B6" s="7">
        <f>IF(A6=TRUE,'Scenario Tool'!C28,"")</f>
        <v>0.15</v>
      </c>
      <c r="C6" s="5" t="str" cm="1">
        <f t="array" aca="1" ref="C6" ca="1">IF(COUNTIF($D6:$XFD6,"&gt;="&amp;$D$3)=0,
"Target Not Met",
INDEX($D$2:$XFD$2,
MATCH(TRUE,
INDEX($D6:$XFD6&gt;=$D$3:$XFD$3,0),0))
)</f>
        <v>Target Not Met</v>
      </c>
      <c r="D6" s="9">
        <f ca="1">D$4/$E$1*$B6</f>
        <v>0</v>
      </c>
      <c r="E6" s="9">
        <f t="shared" ref="E6:AJ13" ca="1" si="0">E$4/$E$1*$B6</f>
        <v>0</v>
      </c>
      <c r="F6" s="9">
        <f t="shared" ca="1" si="0"/>
        <v>0</v>
      </c>
      <c r="G6" s="9">
        <f t="shared" ca="1" si="0"/>
        <v>0</v>
      </c>
      <c r="H6" s="9">
        <f t="shared" ca="1" si="0"/>
        <v>0</v>
      </c>
      <c r="I6" s="9">
        <f t="shared" ca="1" si="0"/>
        <v>0</v>
      </c>
      <c r="J6" s="9">
        <f t="shared" ca="1" si="0"/>
        <v>0</v>
      </c>
      <c r="K6" s="9">
        <f t="shared" ca="1" si="0"/>
        <v>12.257668711656443</v>
      </c>
      <c r="L6" s="9">
        <f t="shared" ca="1" si="0"/>
        <v>22.472392638036812</v>
      </c>
      <c r="M6" s="9">
        <f t="shared" ca="1" si="0"/>
        <v>30.644171779141107</v>
      </c>
      <c r="N6" s="9">
        <f t="shared" ca="1" si="0"/>
        <v>38.815950920245406</v>
      </c>
      <c r="O6" s="9">
        <f t="shared" ca="1" si="0"/>
        <v>47.668711656441722</v>
      </c>
      <c r="P6" s="9">
        <f t="shared" ca="1" si="0"/>
        <v>57.202453987730067</v>
      </c>
      <c r="Q6" s="9">
        <f t="shared" ca="1" si="0"/>
        <v>61.288343558282214</v>
      </c>
      <c r="R6" s="9">
        <f t="shared" ca="1" si="0"/>
        <v>64.693251533742341</v>
      </c>
      <c r="S6" s="9">
        <f t="shared" ca="1" si="0"/>
        <v>67.417177914110439</v>
      </c>
      <c r="T6" s="9">
        <f t="shared" ca="1" si="0"/>
        <v>68.779141104294482</v>
      </c>
      <c r="U6" s="9">
        <f t="shared" ca="1" si="0"/>
        <v>68.779141104294482</v>
      </c>
      <c r="V6" s="9">
        <f t="shared" ca="1" si="0"/>
        <v>68.779141104294482</v>
      </c>
      <c r="W6" s="9">
        <f t="shared" ca="1" si="0"/>
        <v>68.779141104294482</v>
      </c>
      <c r="X6" s="9">
        <f t="shared" ca="1" si="0"/>
        <v>68.779141104294482</v>
      </c>
      <c r="Y6" s="9">
        <f t="shared" ca="1" si="0"/>
        <v>68.779141104294482</v>
      </c>
      <c r="Z6" s="9">
        <f t="shared" ca="1" si="0"/>
        <v>68.779141104294482</v>
      </c>
      <c r="AA6" s="9">
        <f t="shared" ca="1" si="0"/>
        <v>68.779141104294482</v>
      </c>
      <c r="AB6" s="9">
        <f t="shared" ca="1" si="0"/>
        <v>68.779141104294482</v>
      </c>
      <c r="AC6" s="9">
        <f t="shared" ca="1" si="0"/>
        <v>68.779141104294482</v>
      </c>
      <c r="AD6" s="9">
        <f t="shared" ca="1" si="0"/>
        <v>68.779141104294482</v>
      </c>
      <c r="AE6" s="9">
        <f t="shared" si="0"/>
        <v>0</v>
      </c>
      <c r="AF6" s="9">
        <f t="shared" si="0"/>
        <v>0</v>
      </c>
      <c r="AG6" s="9">
        <f t="shared" si="0"/>
        <v>0</v>
      </c>
      <c r="AH6" s="9">
        <f t="shared" si="0"/>
        <v>0</v>
      </c>
      <c r="AI6" s="8">
        <f t="shared" si="0"/>
        <v>0</v>
      </c>
      <c r="AJ6" s="8">
        <f t="shared" si="0"/>
        <v>0</v>
      </c>
    </row>
    <row r="7" spans="1:42" x14ac:dyDescent="0.25">
      <c r="A7" t="b">
        <f>'Scenario Tool'!A29</f>
        <v>1</v>
      </c>
      <c r="B7" s="7">
        <f>IF(A7=TRUE,'Scenario Tool'!C29,"")</f>
        <v>0.19</v>
      </c>
      <c r="C7" s="5" t="str" cm="1">
        <f t="array" aca="1" ref="C7" ca="1">IF(COUNTIF($D7:$XFD7,"&gt;="&amp;$D$3)=0,
"Target Not Met",
INDEX($D$2:$XFD$2,
MATCH(TRUE,
INDEX($D7:$XFD7&gt;=$D$3:$XFD$3,0),0))
)</f>
        <v>Target Not Met</v>
      </c>
      <c r="D7" s="9">
        <f t="shared" ref="D7:S13" ca="1" si="1">D$4/$E$1*$B7</f>
        <v>0</v>
      </c>
      <c r="E7" s="9">
        <f t="shared" ca="1" si="1"/>
        <v>0</v>
      </c>
      <c r="F7" s="9">
        <f t="shared" ca="1" si="1"/>
        <v>0</v>
      </c>
      <c r="G7" s="9">
        <f t="shared" ca="1" si="1"/>
        <v>0</v>
      </c>
      <c r="H7" s="9">
        <f t="shared" ca="1" si="1"/>
        <v>0</v>
      </c>
      <c r="I7" s="9">
        <f t="shared" ca="1" si="1"/>
        <v>0</v>
      </c>
      <c r="J7" s="9">
        <f t="shared" ca="1" si="1"/>
        <v>0</v>
      </c>
      <c r="K7" s="9">
        <f t="shared" ca="1" si="1"/>
        <v>15.526380368098161</v>
      </c>
      <c r="L7" s="9">
        <f t="shared" ca="1" si="1"/>
        <v>28.465030674846631</v>
      </c>
      <c r="M7" s="9">
        <f t="shared" ca="1" si="1"/>
        <v>38.815950920245406</v>
      </c>
      <c r="N7" s="9">
        <f t="shared" ca="1" si="1"/>
        <v>49.166871165644181</v>
      </c>
      <c r="O7" s="9">
        <f t="shared" ca="1" si="1"/>
        <v>60.380368098159522</v>
      </c>
      <c r="P7" s="9">
        <f t="shared" ca="1" si="1"/>
        <v>72.456441717791421</v>
      </c>
      <c r="Q7" s="9">
        <f t="shared" ca="1" si="1"/>
        <v>77.631901840490812</v>
      </c>
      <c r="R7" s="9">
        <f t="shared" ca="1" si="1"/>
        <v>81.944785276073631</v>
      </c>
      <c r="S7" s="9">
        <f t="shared" ca="1" si="1"/>
        <v>85.395092024539892</v>
      </c>
      <c r="T7" s="9">
        <f t="shared" ca="1" si="0"/>
        <v>87.120245398773022</v>
      </c>
      <c r="U7" s="9">
        <f t="shared" ca="1" si="0"/>
        <v>87.120245398773022</v>
      </c>
      <c r="V7" s="9">
        <f t="shared" ca="1" si="0"/>
        <v>87.120245398773022</v>
      </c>
      <c r="W7" s="9">
        <f t="shared" ca="1" si="0"/>
        <v>87.120245398773022</v>
      </c>
      <c r="X7" s="9">
        <f t="shared" ca="1" si="0"/>
        <v>87.120245398773022</v>
      </c>
      <c r="Y7" s="9">
        <f t="shared" ca="1" si="0"/>
        <v>87.120245398773022</v>
      </c>
      <c r="Z7" s="9">
        <f t="shared" ca="1" si="0"/>
        <v>87.120245398773022</v>
      </c>
      <c r="AA7" s="9">
        <f t="shared" ca="1" si="0"/>
        <v>87.120245398773022</v>
      </c>
      <c r="AB7" s="9">
        <f t="shared" ca="1" si="0"/>
        <v>87.120245398773022</v>
      </c>
      <c r="AC7" s="9">
        <f t="shared" ca="1" si="0"/>
        <v>87.120245398773022</v>
      </c>
      <c r="AD7" s="9">
        <f t="shared" ca="1" si="0"/>
        <v>87.120245398773022</v>
      </c>
      <c r="AE7" s="9">
        <f t="shared" si="0"/>
        <v>0</v>
      </c>
      <c r="AF7" s="9">
        <f t="shared" si="0"/>
        <v>0</v>
      </c>
      <c r="AG7" s="9">
        <f t="shared" si="0"/>
        <v>0</v>
      </c>
      <c r="AH7" s="9">
        <f t="shared" si="0"/>
        <v>0</v>
      </c>
      <c r="AI7" s="8">
        <f t="shared" si="0"/>
        <v>0</v>
      </c>
      <c r="AJ7" s="8">
        <f t="shared" si="0"/>
        <v>0</v>
      </c>
    </row>
    <row r="8" spans="1:42" x14ac:dyDescent="0.25">
      <c r="A8" t="b">
        <f>'Scenario Tool'!A30</f>
        <v>1</v>
      </c>
      <c r="B8" s="7">
        <f>IF(A8=TRUE,'Scenario Tool'!C30,"")</f>
        <v>0.22</v>
      </c>
      <c r="C8" s="5" cm="1">
        <f t="array" aca="1" ref="C8" ca="1">IF(COUNTIF($D8:$XFD8,"&gt;="&amp;$D$3)=0,
"Target Not Met",
INDEX($D$2:$XFD$2,
MATCH(TRUE,
INDEX($D8:$XFD8&gt;=$D$3:$XFD$3,0),0))
)</f>
        <v>46508</v>
      </c>
      <c r="D8" s="9">
        <f t="shared" ca="1" si="1"/>
        <v>0</v>
      </c>
      <c r="E8" s="9">
        <f t="shared" ca="1" si="0"/>
        <v>0</v>
      </c>
      <c r="F8" s="9">
        <f t="shared" ca="1" si="0"/>
        <v>0</v>
      </c>
      <c r="G8" s="9">
        <f t="shared" ca="1" si="0"/>
        <v>0</v>
      </c>
      <c r="H8" s="9">
        <f t="shared" ca="1" si="0"/>
        <v>0</v>
      </c>
      <c r="I8" s="9">
        <f t="shared" ca="1" si="0"/>
        <v>0</v>
      </c>
      <c r="J8" s="9">
        <f t="shared" ca="1" si="0"/>
        <v>0</v>
      </c>
      <c r="K8" s="9">
        <f t="shared" ca="1" si="0"/>
        <v>17.977914110429449</v>
      </c>
      <c r="L8" s="9">
        <f t="shared" ca="1" si="0"/>
        <v>32.959509202453994</v>
      </c>
      <c r="M8" s="9">
        <f t="shared" ca="1" si="0"/>
        <v>44.944785276073624</v>
      </c>
      <c r="N8" s="9">
        <f t="shared" ca="1" si="0"/>
        <v>56.930061349693261</v>
      </c>
      <c r="O8" s="9">
        <f t="shared" ca="1" si="0"/>
        <v>69.914110429447859</v>
      </c>
      <c r="P8" s="9">
        <f t="shared" ca="1" si="0"/>
        <v>83.896932515337426</v>
      </c>
      <c r="Q8" s="9">
        <f t="shared" ca="1" si="0"/>
        <v>89.889570552147248</v>
      </c>
      <c r="R8" s="9">
        <f t="shared" ca="1" si="0"/>
        <v>94.883435582822102</v>
      </c>
      <c r="S8" s="9">
        <f t="shared" ca="1" si="0"/>
        <v>98.878527607361988</v>
      </c>
      <c r="T8" s="9">
        <f t="shared" ca="1" si="0"/>
        <v>100.87607361963191</v>
      </c>
      <c r="U8" s="9">
        <f t="shared" ca="1" si="0"/>
        <v>100.87607361963191</v>
      </c>
      <c r="V8" s="9">
        <f t="shared" ca="1" si="0"/>
        <v>100.87607361963191</v>
      </c>
      <c r="W8" s="9">
        <f t="shared" ca="1" si="0"/>
        <v>100.87607361963191</v>
      </c>
      <c r="X8" s="9">
        <f t="shared" ca="1" si="0"/>
        <v>100.87607361963191</v>
      </c>
      <c r="Y8" s="9">
        <f t="shared" ca="1" si="0"/>
        <v>100.87607361963191</v>
      </c>
      <c r="Z8" s="9">
        <f ca="1">Z$4/$E$1*$B8</f>
        <v>100.87607361963191</v>
      </c>
      <c r="AA8" s="9">
        <f t="shared" ca="1" si="0"/>
        <v>100.87607361963191</v>
      </c>
      <c r="AB8" s="9">
        <f t="shared" ca="1" si="0"/>
        <v>100.87607361963191</v>
      </c>
      <c r="AC8" s="9">
        <f t="shared" ca="1" si="0"/>
        <v>100.87607361963191</v>
      </c>
      <c r="AD8" s="9">
        <f t="shared" ca="1" si="0"/>
        <v>100.87607361963191</v>
      </c>
      <c r="AE8" s="9">
        <f t="shared" si="0"/>
        <v>0</v>
      </c>
      <c r="AF8" s="9">
        <f t="shared" si="0"/>
        <v>0</v>
      </c>
      <c r="AG8" s="9">
        <f t="shared" si="0"/>
        <v>0</v>
      </c>
      <c r="AH8" s="9">
        <f t="shared" si="0"/>
        <v>0</v>
      </c>
      <c r="AI8" s="8">
        <f t="shared" si="0"/>
        <v>0</v>
      </c>
      <c r="AJ8" s="8">
        <f t="shared" si="0"/>
        <v>0</v>
      </c>
    </row>
    <row r="9" spans="1:42" x14ac:dyDescent="0.25">
      <c r="A9" t="b">
        <f>'Scenario Tool'!A31</f>
        <v>1</v>
      </c>
      <c r="B9" s="7">
        <f>IF(A9=TRUE,'Scenario Tool'!C31,"")</f>
        <v>0.3</v>
      </c>
      <c r="C9" s="5" cm="1">
        <f t="array" aca="1" ref="C9" ca="1">IF(COUNTIF($D9:$XFD9,"&gt;="&amp;$D$3)=0,
"Target Not Met",
INDEX($D$2:$XFD$2,
MATCH(TRUE,
INDEX($D9:$XFD9&gt;=$D$3:$XFD$3,0),0))
)</f>
        <v>46388</v>
      </c>
      <c r="D9" s="9">
        <f t="shared" ca="1" si="1"/>
        <v>0</v>
      </c>
      <c r="E9" s="9">
        <f t="shared" ca="1" si="0"/>
        <v>0</v>
      </c>
      <c r="F9" s="9">
        <f t="shared" ca="1" si="0"/>
        <v>0</v>
      </c>
      <c r="G9" s="9">
        <f t="shared" ca="1" si="0"/>
        <v>0</v>
      </c>
      <c r="H9" s="9">
        <f t="shared" ca="1" si="0"/>
        <v>0</v>
      </c>
      <c r="I9" s="9">
        <f t="shared" ca="1" si="0"/>
        <v>0</v>
      </c>
      <c r="J9" s="9">
        <f t="shared" ca="1" si="0"/>
        <v>0</v>
      </c>
      <c r="K9" s="9">
        <f t="shared" ca="1" si="0"/>
        <v>24.515337423312886</v>
      </c>
      <c r="L9" s="9">
        <f t="shared" ca="1" si="0"/>
        <v>44.944785276073624</v>
      </c>
      <c r="M9" s="9">
        <f t="shared" ca="1" si="0"/>
        <v>61.288343558282214</v>
      </c>
      <c r="N9" s="9">
        <f t="shared" ca="1" si="0"/>
        <v>77.631901840490812</v>
      </c>
      <c r="O9" s="9">
        <f t="shared" ca="1" si="0"/>
        <v>95.337423312883445</v>
      </c>
      <c r="P9" s="9">
        <f t="shared" ca="1" si="0"/>
        <v>114.40490797546013</v>
      </c>
      <c r="Q9" s="9">
        <f t="shared" ca="1" si="0"/>
        <v>122.57668711656443</v>
      </c>
      <c r="R9" s="9">
        <f t="shared" ca="1" si="0"/>
        <v>129.38650306748468</v>
      </c>
      <c r="S9" s="9">
        <f t="shared" ca="1" si="0"/>
        <v>134.83435582822088</v>
      </c>
      <c r="T9" s="9">
        <f t="shared" ca="1" si="0"/>
        <v>137.55828220858896</v>
      </c>
      <c r="U9" s="9">
        <f t="shared" ca="1" si="0"/>
        <v>137.55828220858896</v>
      </c>
      <c r="V9" s="9">
        <f t="shared" ca="1" si="0"/>
        <v>137.55828220858896</v>
      </c>
      <c r="W9" s="9">
        <f t="shared" ca="1" si="0"/>
        <v>137.55828220858896</v>
      </c>
      <c r="X9" s="9">
        <f t="shared" ca="1" si="0"/>
        <v>137.55828220858896</v>
      </c>
      <c r="Y9" s="9">
        <f t="shared" ca="1" si="0"/>
        <v>137.55828220858896</v>
      </c>
      <c r="Z9" s="9">
        <f t="shared" ca="1" si="0"/>
        <v>137.55828220858896</v>
      </c>
      <c r="AA9" s="9">
        <f t="shared" ca="1" si="0"/>
        <v>137.55828220858896</v>
      </c>
      <c r="AB9" s="9">
        <f t="shared" ca="1" si="0"/>
        <v>137.55828220858896</v>
      </c>
      <c r="AC9" s="9">
        <f t="shared" ca="1" si="0"/>
        <v>137.55828220858896</v>
      </c>
      <c r="AD9" s="9">
        <f t="shared" ca="1" si="0"/>
        <v>137.55828220858896</v>
      </c>
      <c r="AE9" s="9">
        <f t="shared" si="0"/>
        <v>0</v>
      </c>
      <c r="AF9" s="9">
        <f t="shared" si="0"/>
        <v>0</v>
      </c>
      <c r="AG9" s="9">
        <f t="shared" si="0"/>
        <v>0</v>
      </c>
      <c r="AH9" s="9">
        <f t="shared" si="0"/>
        <v>0</v>
      </c>
      <c r="AI9" s="8">
        <f t="shared" si="0"/>
        <v>0</v>
      </c>
      <c r="AJ9" s="8">
        <f t="shared" si="0"/>
        <v>0</v>
      </c>
    </row>
    <row r="10" spans="1:42" x14ac:dyDescent="0.25">
      <c r="C10" s="5" t="str" cm="1">
        <f t="array" aca="1" ref="C10" ca="1">IF(COUNTIF($D10:$XFD10,"&gt;="&amp;$D$3)=0,
"Target Not Met",
INDEX($D$2:$XFD$2,
MATCH(TRUE,
INDEX($D10:$XFD10&gt;=$D$3:$XFD$3,0),0))
)</f>
        <v>Target Not Met</v>
      </c>
      <c r="D10" s="9">
        <f t="shared" ca="1" si="1"/>
        <v>0</v>
      </c>
      <c r="E10" s="9">
        <f t="shared" ca="1" si="0"/>
        <v>0</v>
      </c>
      <c r="F10" s="9">
        <f t="shared" ca="1" si="0"/>
        <v>0</v>
      </c>
      <c r="G10" s="9">
        <f t="shared" ca="1" si="0"/>
        <v>0</v>
      </c>
      <c r="H10" s="9">
        <f t="shared" ca="1" si="0"/>
        <v>0</v>
      </c>
      <c r="I10" s="9">
        <f t="shared" ca="1" si="0"/>
        <v>0</v>
      </c>
      <c r="J10" s="9">
        <f t="shared" ca="1" si="0"/>
        <v>0</v>
      </c>
      <c r="K10" s="9">
        <f t="shared" ca="1" si="0"/>
        <v>0</v>
      </c>
      <c r="L10" s="9">
        <f t="shared" ca="1" si="0"/>
        <v>0</v>
      </c>
      <c r="M10" s="9">
        <f t="shared" ca="1" si="0"/>
        <v>0</v>
      </c>
      <c r="N10" s="9">
        <f t="shared" ca="1" si="0"/>
        <v>0</v>
      </c>
      <c r="O10" s="9">
        <f t="shared" ca="1" si="0"/>
        <v>0</v>
      </c>
      <c r="P10" s="9">
        <f t="shared" ca="1" si="0"/>
        <v>0</v>
      </c>
      <c r="Q10" s="9">
        <f t="shared" ca="1" si="0"/>
        <v>0</v>
      </c>
      <c r="R10" s="9">
        <f t="shared" ca="1" si="0"/>
        <v>0</v>
      </c>
      <c r="S10" s="9">
        <f t="shared" ca="1" si="0"/>
        <v>0</v>
      </c>
      <c r="T10" s="9">
        <f t="shared" ca="1" si="0"/>
        <v>0</v>
      </c>
      <c r="U10" s="9">
        <f t="shared" ca="1" si="0"/>
        <v>0</v>
      </c>
      <c r="V10" s="9">
        <f t="shared" ca="1" si="0"/>
        <v>0</v>
      </c>
      <c r="W10" s="9">
        <f t="shared" ca="1" si="0"/>
        <v>0</v>
      </c>
      <c r="X10" s="9">
        <f t="shared" ca="1" si="0"/>
        <v>0</v>
      </c>
      <c r="Y10" s="9">
        <f t="shared" ca="1" si="0"/>
        <v>0</v>
      </c>
      <c r="Z10" s="9">
        <f t="shared" ca="1" si="0"/>
        <v>0</v>
      </c>
      <c r="AA10" s="9">
        <f t="shared" ca="1" si="0"/>
        <v>0</v>
      </c>
      <c r="AB10" s="9">
        <f t="shared" ca="1" si="0"/>
        <v>0</v>
      </c>
      <c r="AC10" s="9">
        <f t="shared" ca="1" si="0"/>
        <v>0</v>
      </c>
      <c r="AD10" s="9">
        <f t="shared" ca="1" si="0"/>
        <v>0</v>
      </c>
      <c r="AE10" s="9">
        <f t="shared" si="0"/>
        <v>0</v>
      </c>
      <c r="AF10" s="9">
        <f t="shared" si="0"/>
        <v>0</v>
      </c>
      <c r="AG10" s="9">
        <f t="shared" si="0"/>
        <v>0</v>
      </c>
      <c r="AH10" s="9">
        <f t="shared" si="0"/>
        <v>0</v>
      </c>
      <c r="AI10" s="8">
        <f t="shared" si="0"/>
        <v>0</v>
      </c>
      <c r="AJ10" s="8">
        <f t="shared" si="0"/>
        <v>0</v>
      </c>
    </row>
    <row r="11" spans="1:42" x14ac:dyDescent="0.25">
      <c r="C11" s="5" t="str" cm="1">
        <f t="array" aca="1" ref="C11" ca="1">IF(COUNTIF($D11:$XFD11,"&gt;="&amp;$D$3)=0,
"Target Not Met",
INDEX($D$2:$XFD$2,
MATCH(TRUE,
INDEX($D11:$XFD11&gt;=$D$3:$XFD$3,0),0))
)</f>
        <v>Target Not Met</v>
      </c>
      <c r="D11" s="9">
        <f t="shared" ca="1" si="1"/>
        <v>0</v>
      </c>
      <c r="E11" s="9">
        <f t="shared" ca="1" si="0"/>
        <v>0</v>
      </c>
      <c r="F11" s="9">
        <f t="shared" ca="1" si="0"/>
        <v>0</v>
      </c>
      <c r="G11" s="9">
        <f t="shared" ca="1" si="0"/>
        <v>0</v>
      </c>
      <c r="H11" s="9">
        <f t="shared" ca="1" si="0"/>
        <v>0</v>
      </c>
      <c r="I11" s="9">
        <f t="shared" ca="1" si="0"/>
        <v>0</v>
      </c>
      <c r="J11" s="9">
        <f t="shared" ca="1" si="0"/>
        <v>0</v>
      </c>
      <c r="K11" s="9">
        <f t="shared" ca="1" si="0"/>
        <v>0</v>
      </c>
      <c r="L11" s="9">
        <f t="shared" ca="1" si="0"/>
        <v>0</v>
      </c>
      <c r="M11" s="9">
        <f t="shared" ca="1" si="0"/>
        <v>0</v>
      </c>
      <c r="N11" s="9">
        <f t="shared" ca="1" si="0"/>
        <v>0</v>
      </c>
      <c r="O11" s="9">
        <f t="shared" ca="1" si="0"/>
        <v>0</v>
      </c>
      <c r="P11" s="9">
        <f t="shared" ca="1" si="0"/>
        <v>0</v>
      </c>
      <c r="Q11" s="9">
        <f t="shared" ca="1" si="0"/>
        <v>0</v>
      </c>
      <c r="R11" s="9">
        <f t="shared" ca="1" si="0"/>
        <v>0</v>
      </c>
      <c r="S11" s="9">
        <f t="shared" ca="1" si="0"/>
        <v>0</v>
      </c>
      <c r="T11" s="9">
        <f t="shared" ca="1" si="0"/>
        <v>0</v>
      </c>
      <c r="U11" s="9">
        <f t="shared" ca="1" si="0"/>
        <v>0</v>
      </c>
      <c r="V11" s="9">
        <f t="shared" ca="1" si="0"/>
        <v>0</v>
      </c>
      <c r="W11" s="9">
        <f t="shared" ca="1" si="0"/>
        <v>0</v>
      </c>
      <c r="X11" s="9">
        <f t="shared" ca="1" si="0"/>
        <v>0</v>
      </c>
      <c r="Y11" s="9">
        <f t="shared" ca="1" si="0"/>
        <v>0</v>
      </c>
      <c r="Z11" s="9">
        <f t="shared" ca="1" si="0"/>
        <v>0</v>
      </c>
      <c r="AA11" s="9">
        <f t="shared" ca="1" si="0"/>
        <v>0</v>
      </c>
      <c r="AB11" s="9">
        <f t="shared" ca="1" si="0"/>
        <v>0</v>
      </c>
      <c r="AC11" s="9">
        <f t="shared" ca="1" si="0"/>
        <v>0</v>
      </c>
      <c r="AD11" s="9">
        <f t="shared" ca="1" si="0"/>
        <v>0</v>
      </c>
      <c r="AE11" s="9">
        <f t="shared" si="0"/>
        <v>0</v>
      </c>
      <c r="AF11" s="9">
        <f t="shared" si="0"/>
        <v>0</v>
      </c>
      <c r="AG11" s="9">
        <f t="shared" si="0"/>
        <v>0</v>
      </c>
      <c r="AH11" s="9">
        <f t="shared" si="0"/>
        <v>0</v>
      </c>
      <c r="AI11" s="8">
        <f t="shared" si="0"/>
        <v>0</v>
      </c>
      <c r="AJ11" s="8">
        <f t="shared" si="0"/>
        <v>0</v>
      </c>
    </row>
    <row r="12" spans="1:42" x14ac:dyDescent="0.25">
      <c r="C12" s="5" t="str" cm="1">
        <f t="array" aca="1" ref="C12" ca="1">IF(COUNTIF($D12:$XFD12,"&gt;="&amp;$D$3)=0,
"Target Not Met",
INDEX($D$2:$XFD$2,
MATCH(TRUE,
INDEX($D12:$XFD12&gt;=$D$3:$XFD$3,0),0))
)</f>
        <v>Target Not Met</v>
      </c>
      <c r="D12" s="9">
        <f t="shared" ca="1" si="1"/>
        <v>0</v>
      </c>
      <c r="E12" s="9">
        <f t="shared" ca="1" si="0"/>
        <v>0</v>
      </c>
      <c r="F12" s="9">
        <f t="shared" ca="1" si="0"/>
        <v>0</v>
      </c>
      <c r="G12" s="9">
        <f t="shared" ca="1" si="0"/>
        <v>0</v>
      </c>
      <c r="H12" s="9">
        <f t="shared" ca="1" si="0"/>
        <v>0</v>
      </c>
      <c r="I12" s="9">
        <f t="shared" ca="1" si="0"/>
        <v>0</v>
      </c>
      <c r="J12" s="9">
        <f t="shared" ca="1" si="0"/>
        <v>0</v>
      </c>
      <c r="K12" s="9">
        <f t="shared" ca="1" si="0"/>
        <v>0</v>
      </c>
      <c r="L12" s="9">
        <f t="shared" ca="1" si="0"/>
        <v>0</v>
      </c>
      <c r="M12" s="9">
        <f t="shared" ca="1" si="0"/>
        <v>0</v>
      </c>
      <c r="N12" s="9">
        <f t="shared" ca="1" si="0"/>
        <v>0</v>
      </c>
      <c r="O12" s="9">
        <f t="shared" ca="1" si="0"/>
        <v>0</v>
      </c>
      <c r="P12" s="9">
        <f t="shared" ca="1" si="0"/>
        <v>0</v>
      </c>
      <c r="Q12" s="9">
        <f t="shared" ca="1" si="0"/>
        <v>0</v>
      </c>
      <c r="R12" s="9">
        <f t="shared" ca="1" si="0"/>
        <v>0</v>
      </c>
      <c r="S12" s="9">
        <f t="shared" ca="1" si="0"/>
        <v>0</v>
      </c>
      <c r="T12" s="9">
        <f t="shared" ca="1" si="0"/>
        <v>0</v>
      </c>
      <c r="U12" s="9">
        <f t="shared" ca="1" si="0"/>
        <v>0</v>
      </c>
      <c r="V12" s="9">
        <f t="shared" ca="1" si="0"/>
        <v>0</v>
      </c>
      <c r="W12" s="9">
        <f t="shared" ca="1" si="0"/>
        <v>0</v>
      </c>
      <c r="X12" s="9">
        <f t="shared" ca="1" si="0"/>
        <v>0</v>
      </c>
      <c r="Y12" s="9">
        <f t="shared" ca="1" si="0"/>
        <v>0</v>
      </c>
      <c r="Z12" s="9">
        <f t="shared" ca="1" si="0"/>
        <v>0</v>
      </c>
      <c r="AA12" s="9">
        <f t="shared" ca="1" si="0"/>
        <v>0</v>
      </c>
      <c r="AB12" s="9">
        <f t="shared" ca="1" si="0"/>
        <v>0</v>
      </c>
      <c r="AC12" s="9">
        <f t="shared" ca="1" si="0"/>
        <v>0</v>
      </c>
      <c r="AD12" s="9">
        <f t="shared" ca="1" si="0"/>
        <v>0</v>
      </c>
      <c r="AE12" s="9">
        <f t="shared" si="0"/>
        <v>0</v>
      </c>
      <c r="AF12" s="9">
        <f t="shared" si="0"/>
        <v>0</v>
      </c>
      <c r="AG12" s="9">
        <f t="shared" si="0"/>
        <v>0</v>
      </c>
      <c r="AH12" s="9">
        <f t="shared" si="0"/>
        <v>0</v>
      </c>
      <c r="AI12" s="8">
        <f t="shared" si="0"/>
        <v>0</v>
      </c>
      <c r="AJ12" s="8">
        <f t="shared" si="0"/>
        <v>0</v>
      </c>
    </row>
    <row r="13" spans="1:42" x14ac:dyDescent="0.25">
      <c r="A13" s="72" t="s">
        <v>128</v>
      </c>
      <c r="B13" s="72"/>
      <c r="C13" s="5" t="str" cm="1">
        <f t="array" aca="1" ref="C13" ca="1">IF(COUNTIF($D13:$XFD13,"&gt;="&amp;$D$3)=0,
"Target Not Met",
INDEX($D$2:$XFD$2,
MATCH(TRUE,
INDEX($D13:$XFD13&gt;=$D$3:$XFD$3,0),0))
)</f>
        <v>Target Not Met</v>
      </c>
      <c r="D13" s="9">
        <f t="shared" ca="1" si="1"/>
        <v>0</v>
      </c>
      <c r="E13" s="9">
        <f t="shared" ca="1" si="0"/>
        <v>0</v>
      </c>
      <c r="F13" s="9">
        <f t="shared" ca="1" si="0"/>
        <v>0</v>
      </c>
      <c r="G13" s="9">
        <f t="shared" ca="1" si="0"/>
        <v>0</v>
      </c>
      <c r="H13" s="9">
        <f t="shared" ca="1" si="0"/>
        <v>0</v>
      </c>
      <c r="I13" s="9">
        <f t="shared" ca="1" si="0"/>
        <v>0</v>
      </c>
      <c r="J13" s="9">
        <f t="shared" ca="1" si="0"/>
        <v>0</v>
      </c>
      <c r="K13" s="9">
        <f t="shared" ca="1" si="0"/>
        <v>0</v>
      </c>
      <c r="L13" s="9">
        <f t="shared" ca="1" si="0"/>
        <v>0</v>
      </c>
      <c r="M13" s="9">
        <f t="shared" ca="1" si="0"/>
        <v>0</v>
      </c>
      <c r="N13" s="9">
        <f t="shared" ca="1" si="0"/>
        <v>0</v>
      </c>
      <c r="O13" s="9">
        <f t="shared" ca="1" si="0"/>
        <v>0</v>
      </c>
      <c r="P13" s="9">
        <f t="shared" ca="1" si="0"/>
        <v>0</v>
      </c>
      <c r="Q13" s="9">
        <f t="shared" ca="1" si="0"/>
        <v>0</v>
      </c>
      <c r="R13" s="9">
        <f t="shared" ca="1" si="0"/>
        <v>0</v>
      </c>
      <c r="S13" s="9">
        <f t="shared" ca="1" si="0"/>
        <v>0</v>
      </c>
      <c r="T13" s="9">
        <f t="shared" ca="1" si="0"/>
        <v>0</v>
      </c>
      <c r="U13" s="9">
        <f t="shared" ca="1" si="0"/>
        <v>0</v>
      </c>
      <c r="V13" s="9">
        <f t="shared" ca="1" si="0"/>
        <v>0</v>
      </c>
      <c r="W13" s="9">
        <f t="shared" ca="1" si="0"/>
        <v>0</v>
      </c>
      <c r="X13" s="9">
        <f t="shared" ca="1" si="0"/>
        <v>0</v>
      </c>
      <c r="Y13" s="9">
        <f t="shared" ca="1" si="0"/>
        <v>0</v>
      </c>
      <c r="Z13" s="9">
        <f t="shared" ca="1" si="0"/>
        <v>0</v>
      </c>
      <c r="AA13" s="9">
        <f t="shared" ca="1" si="0"/>
        <v>0</v>
      </c>
      <c r="AB13" s="9">
        <f t="shared" ca="1" si="0"/>
        <v>0</v>
      </c>
      <c r="AC13" s="9">
        <f t="shared" ca="1" si="0"/>
        <v>0</v>
      </c>
      <c r="AD13" s="9">
        <f t="shared" ca="1" si="0"/>
        <v>0</v>
      </c>
      <c r="AE13" s="9">
        <f t="shared" si="0"/>
        <v>0</v>
      </c>
      <c r="AF13" s="9">
        <f t="shared" si="0"/>
        <v>0</v>
      </c>
      <c r="AG13" s="9">
        <f t="shared" si="0"/>
        <v>0</v>
      </c>
      <c r="AH13" s="9">
        <f t="shared" si="0"/>
        <v>0</v>
      </c>
      <c r="AI13" s="8">
        <f t="shared" si="0"/>
        <v>0</v>
      </c>
      <c r="AJ13" s="8">
        <f t="shared" si="0"/>
        <v>0</v>
      </c>
    </row>
    <row r="14" spans="1:42" x14ac:dyDescent="0.25">
      <c r="B14" s="7">
        <f>B6</f>
        <v>0.15</v>
      </c>
      <c r="C14" s="5" cm="1">
        <f t="array" aca="1" ref="C14" ca="1">IF(COUNTIF($D14:$XFD14,"&gt;="&amp;$D$3)=0,
"Target Not Met",
INDEX($D$2:$XFD$2,
MATCH(TRUE,
INDEX($D14:$XFD14&gt;=$D$3:$XFD$3,0),0))
)</f>
        <v>46447</v>
      </c>
      <c r="D14" s="9">
        <f ca="1">D$5/$E$1*$B14</f>
        <v>0</v>
      </c>
      <c r="E14" s="9">
        <f t="shared" ref="E14:AG20" ca="1" si="2">E$5/$E$1*$B14</f>
        <v>0</v>
      </c>
      <c r="F14" s="9">
        <f t="shared" ca="1" si="2"/>
        <v>0</v>
      </c>
      <c r="G14" s="9">
        <f t="shared" ca="1" si="2"/>
        <v>0</v>
      </c>
      <c r="H14" s="9">
        <f t="shared" ca="1" si="2"/>
        <v>0</v>
      </c>
      <c r="I14" s="9">
        <f t="shared" ca="1" si="2"/>
        <v>0</v>
      </c>
      <c r="J14" s="9">
        <f t="shared" ca="1" si="2"/>
        <v>0</v>
      </c>
      <c r="K14" s="9">
        <f t="shared" ca="1" si="2"/>
        <v>16.343558282208591</v>
      </c>
      <c r="L14" s="9">
        <f t="shared" ca="1" si="2"/>
        <v>31.325153374233132</v>
      </c>
      <c r="M14" s="9">
        <f t="shared" ca="1" si="2"/>
        <v>44.263803680981603</v>
      </c>
      <c r="N14" s="9">
        <f t="shared" ca="1" si="2"/>
        <v>57.883435582822088</v>
      </c>
      <c r="O14" s="9">
        <f t="shared" ca="1" si="2"/>
        <v>72.184049079754615</v>
      </c>
      <c r="P14" s="9">
        <f t="shared" ca="1" si="2"/>
        <v>87.165644171779149</v>
      </c>
      <c r="Q14" s="9">
        <f t="shared" ca="1" si="2"/>
        <v>94.656441717791424</v>
      </c>
      <c r="R14" s="9">
        <f t="shared" ca="1" si="2"/>
        <v>100.10429447852762</v>
      </c>
      <c r="S14" s="9">
        <f t="shared" ca="1" si="2"/>
        <v>104.19018404907976</v>
      </c>
      <c r="T14" s="9">
        <f t="shared" ca="1" si="2"/>
        <v>106.91411042944787</v>
      </c>
      <c r="U14" s="9">
        <f t="shared" ca="1" si="2"/>
        <v>108.2760736196319</v>
      </c>
      <c r="V14" s="9">
        <f t="shared" ca="1" si="2"/>
        <v>108.95705521472394</v>
      </c>
      <c r="W14" s="9">
        <f t="shared" ca="1" si="2"/>
        <v>109.63803680981596</v>
      </c>
      <c r="X14" s="9">
        <f t="shared" ca="1" si="2"/>
        <v>110.31901840490799</v>
      </c>
      <c r="Y14" s="9">
        <f t="shared" ca="1" si="2"/>
        <v>111.00000000000001</v>
      </c>
      <c r="Z14" s="9">
        <f t="shared" ca="1" si="2"/>
        <v>111.68098159509204</v>
      </c>
      <c r="AA14" s="9">
        <f t="shared" ca="1" si="2"/>
        <v>112.36196319018407</v>
      </c>
      <c r="AB14" s="9">
        <f t="shared" ca="1" si="2"/>
        <v>113.04294478527608</v>
      </c>
      <c r="AC14" s="9">
        <f t="shared" ca="1" si="2"/>
        <v>113.7239263803681</v>
      </c>
      <c r="AD14" s="9">
        <f t="shared" ca="1" si="2"/>
        <v>114.40490797546013</v>
      </c>
      <c r="AE14" s="9">
        <f t="shared" si="2"/>
        <v>0</v>
      </c>
      <c r="AF14" s="9">
        <f t="shared" si="2"/>
        <v>0</v>
      </c>
      <c r="AG14" s="9">
        <f t="shared" si="2"/>
        <v>0</v>
      </c>
      <c r="AH14" s="9">
        <f t="shared" ref="AH14:AH20" si="3">AH$4/$E$1*$B14</f>
        <v>0</v>
      </c>
      <c r="AI14" s="8">
        <f t="shared" ref="AI14:AJ20" si="4">AI$4/$E$1*$B14</f>
        <v>0</v>
      </c>
      <c r="AJ14" s="8">
        <f t="shared" si="4"/>
        <v>0</v>
      </c>
    </row>
    <row r="15" spans="1:42" x14ac:dyDescent="0.25">
      <c r="B15" s="7">
        <f t="shared" ref="B15:B20" si="5">B7</f>
        <v>0.19</v>
      </c>
      <c r="C15" s="5" cm="1">
        <f t="array" aca="1" ref="C15" ca="1">IF(COUNTIF($D15:$XFD15,"&gt;="&amp;$D$3)=0,
"Target Not Met",
INDEX($D$2:$XFD$2,
MATCH(TRUE,
INDEX($D15:$XFD15&gt;=$D$3:$XFD$3,0),0))
)</f>
        <v>46388</v>
      </c>
      <c r="D15" s="9">
        <f t="shared" ref="D15:D20" ca="1" si="6">D$5/$E$1*$B15</f>
        <v>0</v>
      </c>
      <c r="E15" s="9">
        <f t="shared" ca="1" si="2"/>
        <v>0</v>
      </c>
      <c r="F15" s="9">
        <f t="shared" ca="1" si="2"/>
        <v>0</v>
      </c>
      <c r="G15" s="9">
        <f t="shared" ca="1" si="2"/>
        <v>0</v>
      </c>
      <c r="H15" s="9">
        <f t="shared" ca="1" si="2"/>
        <v>0</v>
      </c>
      <c r="I15" s="9">
        <f t="shared" ca="1" si="2"/>
        <v>0</v>
      </c>
      <c r="J15" s="9">
        <f t="shared" ca="1" si="2"/>
        <v>0</v>
      </c>
      <c r="K15" s="9">
        <f t="shared" ca="1" si="2"/>
        <v>20.701840490797547</v>
      </c>
      <c r="L15" s="9">
        <f t="shared" ca="1" si="2"/>
        <v>39.678527607361964</v>
      </c>
      <c r="M15" s="9">
        <f t="shared" ca="1" si="2"/>
        <v>56.067484662576696</v>
      </c>
      <c r="N15" s="9">
        <f t="shared" ca="1" si="2"/>
        <v>73.319018404907993</v>
      </c>
      <c r="O15" s="9">
        <f t="shared" ca="1" si="2"/>
        <v>91.433128834355841</v>
      </c>
      <c r="P15" s="9">
        <f t="shared" ca="1" si="2"/>
        <v>110.40981595092026</v>
      </c>
      <c r="Q15" s="9">
        <f t="shared" ca="1" si="2"/>
        <v>119.89815950920247</v>
      </c>
      <c r="R15" s="9">
        <f t="shared" ca="1" si="2"/>
        <v>126.79877300613499</v>
      </c>
      <c r="S15" s="9">
        <f t="shared" ca="1" si="2"/>
        <v>131.97423312883438</v>
      </c>
      <c r="T15" s="9">
        <f t="shared" ca="1" si="2"/>
        <v>135.42453987730065</v>
      </c>
      <c r="U15" s="9">
        <f t="shared" ca="1" si="2"/>
        <v>137.14969325153376</v>
      </c>
      <c r="V15" s="9">
        <f t="shared" ca="1" si="2"/>
        <v>138.01226993865032</v>
      </c>
      <c r="W15" s="9">
        <f t="shared" ca="1" si="2"/>
        <v>138.87484662576688</v>
      </c>
      <c r="X15" s="9">
        <f t="shared" ca="1" si="2"/>
        <v>139.73742331288346</v>
      </c>
      <c r="Y15" s="9">
        <f t="shared" ca="1" si="2"/>
        <v>140.60000000000002</v>
      </c>
      <c r="Z15" s="9">
        <f t="shared" ca="1" si="2"/>
        <v>141.46257668711658</v>
      </c>
      <c r="AA15" s="9">
        <f t="shared" ca="1" si="2"/>
        <v>142.32515337423317</v>
      </c>
      <c r="AB15" s="9">
        <f t="shared" ca="1" si="2"/>
        <v>143.1877300613497</v>
      </c>
      <c r="AC15" s="9">
        <f t="shared" ca="1" si="2"/>
        <v>144.05030674846628</v>
      </c>
      <c r="AD15" s="9">
        <f t="shared" ca="1" si="2"/>
        <v>144.91288343558284</v>
      </c>
      <c r="AE15" s="9">
        <f t="shared" si="2"/>
        <v>0</v>
      </c>
      <c r="AF15" s="9">
        <f t="shared" si="2"/>
        <v>0</v>
      </c>
      <c r="AG15" s="9">
        <f t="shared" si="2"/>
        <v>0</v>
      </c>
      <c r="AH15" s="9">
        <f t="shared" si="3"/>
        <v>0</v>
      </c>
      <c r="AI15" s="8">
        <f t="shared" si="4"/>
        <v>0</v>
      </c>
      <c r="AJ15" s="8">
        <f t="shared" si="4"/>
        <v>0</v>
      </c>
    </row>
    <row r="16" spans="1:42" x14ac:dyDescent="0.25">
      <c r="B16" s="7">
        <f t="shared" si="5"/>
        <v>0.22</v>
      </c>
      <c r="C16" s="5" cm="1">
        <f t="array" aca="1" ref="C16" ca="1">IF(COUNTIF($D16:$XFD16,"&gt;="&amp;$D$3)=0,
"Target Not Met",
INDEX($D$2:$XFD$2,
MATCH(TRUE,
INDEX($D16:$XFD16&gt;=$D$3:$XFD$3,0),0))
)</f>
        <v>46357</v>
      </c>
      <c r="D16" s="9">
        <f t="shared" ca="1" si="6"/>
        <v>0</v>
      </c>
      <c r="E16" s="9">
        <f t="shared" ca="1" si="2"/>
        <v>0</v>
      </c>
      <c r="F16" s="9">
        <f t="shared" ca="1" si="2"/>
        <v>0</v>
      </c>
      <c r="G16" s="9">
        <f t="shared" ca="1" si="2"/>
        <v>0</v>
      </c>
      <c r="H16" s="9">
        <f t="shared" ca="1" si="2"/>
        <v>0</v>
      </c>
      <c r="I16" s="9">
        <f t="shared" ca="1" si="2"/>
        <v>0</v>
      </c>
      <c r="J16" s="9">
        <f t="shared" ca="1" si="2"/>
        <v>0</v>
      </c>
      <c r="K16" s="9">
        <f t="shared" ca="1" si="2"/>
        <v>23.970552147239268</v>
      </c>
      <c r="L16" s="9">
        <f t="shared" ca="1" si="2"/>
        <v>45.943558282208592</v>
      </c>
      <c r="M16" s="9">
        <f t="shared" ca="1" si="2"/>
        <v>64.920245398773019</v>
      </c>
      <c r="N16" s="9">
        <f t="shared" ca="1" si="2"/>
        <v>84.895705521472408</v>
      </c>
      <c r="O16" s="9">
        <f t="shared" ca="1" si="2"/>
        <v>105.86993865030676</v>
      </c>
      <c r="P16" s="9">
        <f t="shared" ca="1" si="2"/>
        <v>127.84294478527609</v>
      </c>
      <c r="Q16" s="9">
        <f t="shared" ca="1" si="2"/>
        <v>138.82944785276075</v>
      </c>
      <c r="R16" s="9">
        <f t="shared" ca="1" si="2"/>
        <v>146.81963190184052</v>
      </c>
      <c r="S16" s="9">
        <f t="shared" ca="1" si="2"/>
        <v>152.81226993865033</v>
      </c>
      <c r="T16" s="9">
        <f t="shared" ca="1" si="2"/>
        <v>156.8073619631902</v>
      </c>
      <c r="U16" s="9">
        <f t="shared" ca="1" si="2"/>
        <v>158.80490797546014</v>
      </c>
      <c r="V16" s="9">
        <f t="shared" ca="1" si="2"/>
        <v>159.80368098159511</v>
      </c>
      <c r="W16" s="9">
        <f t="shared" ca="1" si="2"/>
        <v>160.80245398773008</v>
      </c>
      <c r="X16" s="9">
        <f t="shared" ca="1" si="2"/>
        <v>161.80122699386504</v>
      </c>
      <c r="Y16" s="9">
        <f t="shared" ca="1" si="2"/>
        <v>162.80000000000004</v>
      </c>
      <c r="Z16" s="9">
        <f t="shared" ca="1" si="2"/>
        <v>163.79877300613501</v>
      </c>
      <c r="AA16" s="9">
        <f t="shared" ca="1" si="2"/>
        <v>164.79754601226998</v>
      </c>
      <c r="AB16" s="9">
        <f t="shared" ca="1" si="2"/>
        <v>165.79631901840492</v>
      </c>
      <c r="AC16" s="9">
        <f t="shared" ca="1" si="2"/>
        <v>166.79509202453988</v>
      </c>
      <c r="AD16" s="9">
        <f t="shared" ca="1" si="2"/>
        <v>167.79386503067485</v>
      </c>
      <c r="AE16" s="9">
        <f t="shared" si="2"/>
        <v>0</v>
      </c>
      <c r="AF16" s="9">
        <f t="shared" si="2"/>
        <v>0</v>
      </c>
      <c r="AG16" s="9">
        <f t="shared" si="2"/>
        <v>0</v>
      </c>
      <c r="AH16" s="9">
        <f t="shared" si="3"/>
        <v>0</v>
      </c>
      <c r="AI16" s="8">
        <f t="shared" si="4"/>
        <v>0</v>
      </c>
      <c r="AJ16" s="8">
        <f t="shared" si="4"/>
        <v>0</v>
      </c>
    </row>
    <row r="17" spans="2:36" x14ac:dyDescent="0.25">
      <c r="B17" s="7">
        <f t="shared" si="5"/>
        <v>0.3</v>
      </c>
      <c r="C17" s="5" cm="1">
        <f t="array" aca="1" ref="C17" ca="1">IF(COUNTIF($D17:$XFD17,"&gt;="&amp;$D$3)=0,
"Target Not Met",
INDEX($D$2:$XFD$2,
MATCH(TRUE,
INDEX($D17:$XFD17&gt;=$D$3:$XFD$3,0),0))
)</f>
        <v>46327</v>
      </c>
      <c r="D17" s="9">
        <f t="shared" ca="1" si="6"/>
        <v>0</v>
      </c>
      <c r="E17" s="9">
        <f t="shared" ca="1" si="2"/>
        <v>0</v>
      </c>
      <c r="F17" s="9">
        <f t="shared" ca="1" si="2"/>
        <v>0</v>
      </c>
      <c r="G17" s="9">
        <f t="shared" ca="1" si="2"/>
        <v>0</v>
      </c>
      <c r="H17" s="9">
        <f t="shared" ca="1" si="2"/>
        <v>0</v>
      </c>
      <c r="I17" s="9">
        <f t="shared" ca="1" si="2"/>
        <v>0</v>
      </c>
      <c r="J17" s="9">
        <f t="shared" ca="1" si="2"/>
        <v>0</v>
      </c>
      <c r="K17" s="9">
        <f t="shared" ca="1" si="2"/>
        <v>32.687116564417181</v>
      </c>
      <c r="L17" s="9">
        <f t="shared" ca="1" si="2"/>
        <v>62.650306748466264</v>
      </c>
      <c r="M17" s="9">
        <f t="shared" ca="1" si="2"/>
        <v>88.527607361963206</v>
      </c>
      <c r="N17" s="9">
        <f t="shared" ca="1" si="2"/>
        <v>115.76687116564418</v>
      </c>
      <c r="O17" s="9">
        <f t="shared" ca="1" si="2"/>
        <v>144.36809815950923</v>
      </c>
      <c r="P17" s="9">
        <f t="shared" ca="1" si="2"/>
        <v>174.3312883435583</v>
      </c>
      <c r="Q17" s="9">
        <f t="shared" ca="1" si="2"/>
        <v>189.31288343558285</v>
      </c>
      <c r="R17" s="9">
        <f t="shared" ca="1" si="2"/>
        <v>200.20858895705524</v>
      </c>
      <c r="S17" s="9">
        <f t="shared" ca="1" si="2"/>
        <v>208.38036809815952</v>
      </c>
      <c r="T17" s="9">
        <f t="shared" ca="1" si="2"/>
        <v>213.82822085889575</v>
      </c>
      <c r="U17" s="9">
        <f t="shared" ca="1" si="2"/>
        <v>216.5521472392638</v>
      </c>
      <c r="V17" s="9">
        <f t="shared" ca="1" si="2"/>
        <v>217.91411042944787</v>
      </c>
      <c r="W17" s="9">
        <f t="shared" ca="1" si="2"/>
        <v>219.27607361963192</v>
      </c>
      <c r="X17" s="9">
        <f t="shared" ca="1" si="2"/>
        <v>220.63803680981599</v>
      </c>
      <c r="Y17" s="9">
        <f t="shared" ca="1" si="2"/>
        <v>222.00000000000003</v>
      </c>
      <c r="Z17" s="9">
        <f t="shared" ca="1" si="2"/>
        <v>223.36196319018407</v>
      </c>
      <c r="AA17" s="9">
        <f t="shared" ca="1" si="2"/>
        <v>224.72392638036814</v>
      </c>
      <c r="AB17" s="9">
        <f t="shared" ca="1" si="2"/>
        <v>226.08588957055215</v>
      </c>
      <c r="AC17" s="9">
        <f ca="1">AC$5/$E$1*$B17</f>
        <v>227.4478527607362</v>
      </c>
      <c r="AD17" s="9">
        <f t="shared" ca="1" si="2"/>
        <v>228.80981595092027</v>
      </c>
      <c r="AE17" s="9">
        <f t="shared" si="2"/>
        <v>0</v>
      </c>
      <c r="AF17" s="9">
        <f t="shared" si="2"/>
        <v>0</v>
      </c>
      <c r="AG17" s="9">
        <f t="shared" si="2"/>
        <v>0</v>
      </c>
      <c r="AH17" s="9">
        <f t="shared" si="3"/>
        <v>0</v>
      </c>
      <c r="AI17" s="8">
        <f t="shared" si="4"/>
        <v>0</v>
      </c>
      <c r="AJ17" s="8">
        <f t="shared" si="4"/>
        <v>0</v>
      </c>
    </row>
    <row r="18" spans="2:36" x14ac:dyDescent="0.25">
      <c r="B18" s="7">
        <f t="shared" si="5"/>
        <v>0</v>
      </c>
      <c r="C18" s="5" t="str" cm="1">
        <f t="array" aca="1" ref="C18" ca="1">IF(COUNTIF($D18:$XFD18,"&gt;="&amp;$D$3)=0,
"Target Not Met",
INDEX($D$2:$XFD$2,
MATCH(TRUE,
INDEX($D18:$XFD18&gt;=$D$3:$XFD$3,0),0))
)</f>
        <v>Target Not Met</v>
      </c>
      <c r="D18" s="9">
        <f t="shared" ca="1" si="6"/>
        <v>0</v>
      </c>
      <c r="E18" s="9">
        <f t="shared" ca="1" si="2"/>
        <v>0</v>
      </c>
      <c r="F18" s="9">
        <f t="shared" ca="1" si="2"/>
        <v>0</v>
      </c>
      <c r="G18" s="9">
        <f t="shared" ca="1" si="2"/>
        <v>0</v>
      </c>
      <c r="H18" s="9">
        <f t="shared" ca="1" si="2"/>
        <v>0</v>
      </c>
      <c r="I18" s="9">
        <f t="shared" ca="1" si="2"/>
        <v>0</v>
      </c>
      <c r="J18" s="9">
        <f t="shared" ca="1" si="2"/>
        <v>0</v>
      </c>
      <c r="K18" s="9">
        <f t="shared" ca="1" si="2"/>
        <v>0</v>
      </c>
      <c r="L18" s="9">
        <f t="shared" ca="1" si="2"/>
        <v>0</v>
      </c>
      <c r="M18" s="9">
        <f t="shared" ca="1" si="2"/>
        <v>0</v>
      </c>
      <c r="N18" s="9">
        <f t="shared" ca="1" si="2"/>
        <v>0</v>
      </c>
      <c r="O18" s="9">
        <f t="shared" ca="1" si="2"/>
        <v>0</v>
      </c>
      <c r="P18" s="9">
        <f t="shared" ca="1" si="2"/>
        <v>0</v>
      </c>
      <c r="Q18" s="9">
        <f t="shared" ca="1" si="2"/>
        <v>0</v>
      </c>
      <c r="R18" s="9">
        <f t="shared" ca="1" si="2"/>
        <v>0</v>
      </c>
      <c r="S18" s="9">
        <f t="shared" ca="1" si="2"/>
        <v>0</v>
      </c>
      <c r="T18" s="9">
        <f t="shared" ca="1" si="2"/>
        <v>0</v>
      </c>
      <c r="U18" s="9">
        <f t="shared" ca="1" si="2"/>
        <v>0</v>
      </c>
      <c r="V18" s="9">
        <f t="shared" ca="1" si="2"/>
        <v>0</v>
      </c>
      <c r="W18" s="9">
        <f t="shared" ca="1" si="2"/>
        <v>0</v>
      </c>
      <c r="X18" s="9">
        <f t="shared" ca="1" si="2"/>
        <v>0</v>
      </c>
      <c r="Y18" s="9">
        <f t="shared" ca="1" si="2"/>
        <v>0</v>
      </c>
      <c r="Z18" s="9">
        <f t="shared" ca="1" si="2"/>
        <v>0</v>
      </c>
      <c r="AA18" s="9">
        <f t="shared" ca="1" si="2"/>
        <v>0</v>
      </c>
      <c r="AB18" s="9">
        <f t="shared" ca="1" si="2"/>
        <v>0</v>
      </c>
      <c r="AC18" s="9">
        <f t="shared" ca="1" si="2"/>
        <v>0</v>
      </c>
      <c r="AD18" s="9">
        <f t="shared" ca="1" si="2"/>
        <v>0</v>
      </c>
      <c r="AE18" s="9">
        <f t="shared" si="2"/>
        <v>0</v>
      </c>
      <c r="AF18" s="9">
        <f t="shared" si="2"/>
        <v>0</v>
      </c>
      <c r="AG18" s="9">
        <f t="shared" si="2"/>
        <v>0</v>
      </c>
      <c r="AH18" s="9">
        <f t="shared" si="3"/>
        <v>0</v>
      </c>
      <c r="AI18" s="8">
        <f t="shared" si="4"/>
        <v>0</v>
      </c>
      <c r="AJ18" s="8">
        <f t="shared" si="4"/>
        <v>0</v>
      </c>
    </row>
    <row r="19" spans="2:36" x14ac:dyDescent="0.25">
      <c r="B19" s="7">
        <f t="shared" si="5"/>
        <v>0</v>
      </c>
      <c r="C19" s="5" t="str" cm="1">
        <f t="array" aca="1" ref="C19" ca="1">IF(COUNTIF($D19:$XFD19,"&gt;="&amp;$D$3)=0,
"Target Not Met",
INDEX($D$2:$XFD$2,
MATCH(TRUE,
INDEX($D19:$XFD19&gt;=$D$3:$XFD$3,0),0))
)</f>
        <v>Target Not Met</v>
      </c>
      <c r="D19" s="9">
        <f t="shared" ca="1" si="6"/>
        <v>0</v>
      </c>
      <c r="E19" s="9">
        <f t="shared" ca="1" si="2"/>
        <v>0</v>
      </c>
      <c r="F19" s="9">
        <f t="shared" ca="1" si="2"/>
        <v>0</v>
      </c>
      <c r="G19" s="9">
        <f t="shared" ca="1" si="2"/>
        <v>0</v>
      </c>
      <c r="H19" s="9">
        <f t="shared" ca="1" si="2"/>
        <v>0</v>
      </c>
      <c r="I19" s="9">
        <f t="shared" ca="1" si="2"/>
        <v>0</v>
      </c>
      <c r="J19" s="9">
        <f t="shared" ca="1" si="2"/>
        <v>0</v>
      </c>
      <c r="K19" s="9">
        <f t="shared" ca="1" si="2"/>
        <v>0</v>
      </c>
      <c r="L19" s="9">
        <f t="shared" ca="1" si="2"/>
        <v>0</v>
      </c>
      <c r="M19" s="9">
        <f t="shared" ca="1" si="2"/>
        <v>0</v>
      </c>
      <c r="N19" s="9">
        <f t="shared" ca="1" si="2"/>
        <v>0</v>
      </c>
      <c r="O19" s="9">
        <f t="shared" ca="1" si="2"/>
        <v>0</v>
      </c>
      <c r="P19" s="9">
        <f t="shared" ca="1" si="2"/>
        <v>0</v>
      </c>
      <c r="Q19" s="9">
        <f t="shared" ca="1" si="2"/>
        <v>0</v>
      </c>
      <c r="R19" s="9">
        <f t="shared" ca="1" si="2"/>
        <v>0</v>
      </c>
      <c r="S19" s="9">
        <f t="shared" ca="1" si="2"/>
        <v>0</v>
      </c>
      <c r="T19" s="9">
        <f t="shared" ca="1" si="2"/>
        <v>0</v>
      </c>
      <c r="U19" s="9">
        <f t="shared" ca="1" si="2"/>
        <v>0</v>
      </c>
      <c r="V19" s="9">
        <f t="shared" ca="1" si="2"/>
        <v>0</v>
      </c>
      <c r="W19" s="9">
        <f t="shared" ca="1" si="2"/>
        <v>0</v>
      </c>
      <c r="X19" s="9">
        <f t="shared" ca="1" si="2"/>
        <v>0</v>
      </c>
      <c r="Y19" s="9">
        <f t="shared" ca="1" si="2"/>
        <v>0</v>
      </c>
      <c r="Z19" s="9">
        <f t="shared" ca="1" si="2"/>
        <v>0</v>
      </c>
      <c r="AA19" s="9">
        <f t="shared" ca="1" si="2"/>
        <v>0</v>
      </c>
      <c r="AB19" s="9">
        <f t="shared" ca="1" si="2"/>
        <v>0</v>
      </c>
      <c r="AC19" s="9">
        <f t="shared" ca="1" si="2"/>
        <v>0</v>
      </c>
      <c r="AD19" s="9">
        <f t="shared" ca="1" si="2"/>
        <v>0</v>
      </c>
      <c r="AE19" s="9">
        <f t="shared" si="2"/>
        <v>0</v>
      </c>
      <c r="AF19" s="9">
        <f t="shared" si="2"/>
        <v>0</v>
      </c>
      <c r="AG19" s="9">
        <f t="shared" si="2"/>
        <v>0</v>
      </c>
      <c r="AH19" s="9">
        <f t="shared" si="3"/>
        <v>0</v>
      </c>
      <c r="AI19" s="8">
        <f t="shared" si="4"/>
        <v>0</v>
      </c>
      <c r="AJ19" s="8">
        <f t="shared" si="4"/>
        <v>0</v>
      </c>
    </row>
    <row r="20" spans="2:36" x14ac:dyDescent="0.25">
      <c r="B20" s="7">
        <f t="shared" si="5"/>
        <v>0</v>
      </c>
      <c r="C20" s="5" t="str" cm="1">
        <f t="array" aca="1" ref="C20" ca="1">IF(COUNTIF($D20:$XFD20,"&gt;="&amp;$D$3)=0,
"Target Not Met",
INDEX($D$2:$XFD$2,
MATCH(TRUE,
INDEX($D20:$XFD20&gt;=$D$3:$XFD$3,0),0))
)</f>
        <v>Target Not Met</v>
      </c>
      <c r="D20" s="9">
        <f t="shared" ca="1" si="6"/>
        <v>0</v>
      </c>
      <c r="E20" s="9">
        <f t="shared" ca="1" si="2"/>
        <v>0</v>
      </c>
      <c r="F20" s="9">
        <f t="shared" ca="1" si="2"/>
        <v>0</v>
      </c>
      <c r="G20" s="9">
        <f t="shared" ca="1" si="2"/>
        <v>0</v>
      </c>
      <c r="H20" s="9">
        <f t="shared" ca="1" si="2"/>
        <v>0</v>
      </c>
      <c r="I20" s="9">
        <f t="shared" ca="1" si="2"/>
        <v>0</v>
      </c>
      <c r="J20" s="9">
        <f t="shared" ca="1" si="2"/>
        <v>0</v>
      </c>
      <c r="K20" s="9">
        <f t="shared" ca="1" si="2"/>
        <v>0</v>
      </c>
      <c r="L20" s="9">
        <f t="shared" ca="1" si="2"/>
        <v>0</v>
      </c>
      <c r="M20" s="9">
        <f t="shared" ca="1" si="2"/>
        <v>0</v>
      </c>
      <c r="N20" s="9">
        <f t="shared" ca="1" si="2"/>
        <v>0</v>
      </c>
      <c r="O20" s="9">
        <f t="shared" ca="1" si="2"/>
        <v>0</v>
      </c>
      <c r="P20" s="9">
        <f t="shared" ca="1" si="2"/>
        <v>0</v>
      </c>
      <c r="Q20" s="9">
        <f t="shared" ca="1" si="2"/>
        <v>0</v>
      </c>
      <c r="R20" s="9">
        <f t="shared" ca="1" si="2"/>
        <v>0</v>
      </c>
      <c r="S20" s="9">
        <f t="shared" ca="1" si="2"/>
        <v>0</v>
      </c>
      <c r="T20" s="9">
        <f t="shared" ca="1" si="2"/>
        <v>0</v>
      </c>
      <c r="U20" s="9">
        <f t="shared" ca="1" si="2"/>
        <v>0</v>
      </c>
      <c r="V20" s="9">
        <f t="shared" ca="1" si="2"/>
        <v>0</v>
      </c>
      <c r="W20" s="9">
        <f t="shared" ca="1" si="2"/>
        <v>0</v>
      </c>
      <c r="X20" s="9">
        <f t="shared" ca="1" si="2"/>
        <v>0</v>
      </c>
      <c r="Y20" s="9">
        <f t="shared" ca="1" si="2"/>
        <v>0</v>
      </c>
      <c r="Z20" s="9">
        <f t="shared" ca="1" si="2"/>
        <v>0</v>
      </c>
      <c r="AA20" s="9">
        <f t="shared" ca="1" si="2"/>
        <v>0</v>
      </c>
      <c r="AB20" s="9">
        <f t="shared" ca="1" si="2"/>
        <v>0</v>
      </c>
      <c r="AC20" s="9">
        <f t="shared" ca="1" si="2"/>
        <v>0</v>
      </c>
      <c r="AD20" s="9">
        <f t="shared" ca="1" si="2"/>
        <v>0</v>
      </c>
      <c r="AE20" s="9">
        <f t="shared" si="2"/>
        <v>0</v>
      </c>
      <c r="AF20" s="9">
        <f t="shared" si="2"/>
        <v>0</v>
      </c>
      <c r="AG20" s="9">
        <f t="shared" si="2"/>
        <v>0</v>
      </c>
      <c r="AH20" s="9">
        <f t="shared" si="3"/>
        <v>0</v>
      </c>
      <c r="AI20" s="8">
        <f t="shared" si="4"/>
        <v>0</v>
      </c>
      <c r="AJ20" s="8">
        <f t="shared" si="4"/>
        <v>0</v>
      </c>
    </row>
  </sheetData>
  <mergeCells count="1">
    <mergeCell ref="A13:B13"/>
  </mergeCells>
  <pageMargins left="0.7" right="0.7" top="0.75" bottom="0.75" header="0.3" footer="0.3"/>
  <ignoredErrors>
    <ignoredError xmlns:x16r3="http://schemas.microsoft.com/office/spreadsheetml/2018/08/main" sqref="AE2:AJ2" x16r3:misleadingForma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42E1-0829-432A-A459-8F22B4AD4B02}">
  <dimension ref="A1:AC96"/>
  <sheetViews>
    <sheetView workbookViewId="0">
      <selection activeCell="P47" sqref="P47"/>
    </sheetView>
  </sheetViews>
  <sheetFormatPr defaultRowHeight="15" x14ac:dyDescent="0.25"/>
  <cols>
    <col min="1" max="2" width="21.140625" bestFit="1" customWidth="1"/>
  </cols>
  <sheetData>
    <row r="1" spans="1:29" x14ac:dyDescent="0.25">
      <c r="A1">
        <f>COUNTA(B6:B998)</f>
        <v>21</v>
      </c>
      <c r="B1" t="s">
        <v>8</v>
      </c>
      <c r="C1" s="9">
        <f ca="1">SUM(C6:INDEX(C:C,$A$1+7))</f>
        <v>0</v>
      </c>
      <c r="D1" s="9">
        <f ca="1">SUM(D6:INDEX(D:D,$A$1+7))</f>
        <v>0</v>
      </c>
      <c r="E1" s="9">
        <f ca="1">SUM(E6:INDEX(E:E,$A$1+7))</f>
        <v>0</v>
      </c>
      <c r="F1" s="9">
        <f ca="1">SUM(F6:INDEX(F:F,$A$1+7))</f>
        <v>0</v>
      </c>
      <c r="G1" s="9">
        <f ca="1">SUM(G6:INDEX(G:G,$A$1+7))</f>
        <v>0</v>
      </c>
      <c r="H1" s="9">
        <f ca="1">SUM(H6:INDEX(H:H,$A$1+7))</f>
        <v>0</v>
      </c>
      <c r="I1" s="9">
        <f ca="1">SUM(I6:INDEX(I:I,$A$1+7))</f>
        <v>0</v>
      </c>
      <c r="J1" s="9">
        <f ca="1">SUM(J6:INDEX(J:J,$A$1+7))</f>
        <v>24</v>
      </c>
      <c r="K1" s="9">
        <f ca="1">SUM(K6:INDEX(K:K,$A$1+7))</f>
        <v>22</v>
      </c>
      <c r="L1" s="9">
        <f ca="1">SUM(L6:INDEX(L:L,$A$1+7))</f>
        <v>19</v>
      </c>
      <c r="M1" s="9">
        <f ca="1">SUM(M6:INDEX(M:M,$A$1+7))</f>
        <v>20</v>
      </c>
      <c r="N1" s="9">
        <f ca="1">SUM(N6:INDEX(N:N,$A$1+7))</f>
        <v>21</v>
      </c>
      <c r="O1" s="9">
        <f ca="1">SUM(O6:INDEX(O:O,$A$1+7))</f>
        <v>22</v>
      </c>
      <c r="P1" s="9">
        <f ca="1">SUM(P6:INDEX(P:P,$A$1+7))</f>
        <v>11</v>
      </c>
      <c r="Q1" s="9">
        <f ca="1">SUM(Q6:INDEX(Q:Q,$A$1+7))</f>
        <v>8</v>
      </c>
      <c r="R1" s="9">
        <f ca="1">SUM(R6:INDEX(R:R,$A$1+7))</f>
        <v>6</v>
      </c>
      <c r="S1" s="9">
        <f ca="1">SUM(S6:INDEX(S:S,$A$1+7))</f>
        <v>4</v>
      </c>
      <c r="T1" s="9">
        <f ca="1">SUM(T6:INDEX(T:T,$A$1+7))</f>
        <v>2</v>
      </c>
      <c r="U1" s="9">
        <f ca="1">SUM(U6:INDEX(U:U,$A$1+7))</f>
        <v>1</v>
      </c>
      <c r="V1" s="9">
        <f ca="1">SUM(V6:INDEX(V:V,$A$1+7))</f>
        <v>1</v>
      </c>
      <c r="W1" s="9">
        <f ca="1">SUM(W6:INDEX(W:W,$A$1+7))</f>
        <v>1</v>
      </c>
      <c r="X1" s="9">
        <f ca="1">SUM(X6:INDEX(X:X,$A$1+7))</f>
        <v>1</v>
      </c>
      <c r="Y1" s="9">
        <f ca="1">SUM(Y6:INDEX(Y:Y,$A$1+7))</f>
        <v>1</v>
      </c>
      <c r="Z1" s="9">
        <f ca="1">SUM(Z6:INDEX(Z:Z,$A$1+7))</f>
        <v>1</v>
      </c>
      <c r="AA1" s="9">
        <f ca="1">SUM(AA6:INDEX(AA:AA,$A$1+7))</f>
        <v>1</v>
      </c>
      <c r="AB1" s="9">
        <f ca="1">SUM(AB6:INDEX(AB:AB,$A$1+7))</f>
        <v>1</v>
      </c>
      <c r="AC1" s="9">
        <f ca="1">SUM(AC6:INDEX(AC:AC,$A$1+7))</f>
        <v>1</v>
      </c>
    </row>
    <row r="2" spans="1:29" x14ac:dyDescent="0.25">
      <c r="A2" t="s">
        <v>11</v>
      </c>
      <c r="B2" t="s">
        <v>9</v>
      </c>
      <c r="C2" s="9">
        <f ca="1">C1</f>
        <v>0</v>
      </c>
      <c r="D2" s="9">
        <f ca="1">C2+D1</f>
        <v>0</v>
      </c>
      <c r="E2" s="9">
        <f t="shared" ref="E2:AC2" ca="1" si="0">D2+E1</f>
        <v>0</v>
      </c>
      <c r="F2" s="9">
        <f t="shared" ca="1" si="0"/>
        <v>0</v>
      </c>
      <c r="G2" s="9">
        <f t="shared" ca="1" si="0"/>
        <v>0</v>
      </c>
      <c r="H2" s="9">
        <f t="shared" ca="1" si="0"/>
        <v>0</v>
      </c>
      <c r="I2" s="9">
        <f t="shared" ca="1" si="0"/>
        <v>0</v>
      </c>
      <c r="J2" s="9">
        <f t="shared" ca="1" si="0"/>
        <v>24</v>
      </c>
      <c r="K2" s="9">
        <f t="shared" ca="1" si="0"/>
        <v>46</v>
      </c>
      <c r="L2" s="9">
        <f t="shared" ca="1" si="0"/>
        <v>65</v>
      </c>
      <c r="M2" s="9">
        <f t="shared" ca="1" si="0"/>
        <v>85</v>
      </c>
      <c r="N2" s="9">
        <f t="shared" ca="1" si="0"/>
        <v>106</v>
      </c>
      <c r="O2" s="9">
        <f t="shared" ca="1" si="0"/>
        <v>128</v>
      </c>
      <c r="P2" s="9">
        <f t="shared" ca="1" si="0"/>
        <v>139</v>
      </c>
      <c r="Q2" s="9">
        <f t="shared" ca="1" si="0"/>
        <v>147</v>
      </c>
      <c r="R2" s="9">
        <f t="shared" ca="1" si="0"/>
        <v>153</v>
      </c>
      <c r="S2" s="9">
        <f t="shared" ca="1" si="0"/>
        <v>157</v>
      </c>
      <c r="T2" s="9">
        <f t="shared" ca="1" si="0"/>
        <v>159</v>
      </c>
      <c r="U2" s="9">
        <f t="shared" ca="1" si="0"/>
        <v>160</v>
      </c>
      <c r="V2" s="9">
        <f t="shared" ca="1" si="0"/>
        <v>161</v>
      </c>
      <c r="W2" s="9">
        <f t="shared" ca="1" si="0"/>
        <v>162</v>
      </c>
      <c r="X2" s="9">
        <f t="shared" ca="1" si="0"/>
        <v>163</v>
      </c>
      <c r="Y2" s="9">
        <f t="shared" ca="1" si="0"/>
        <v>164</v>
      </c>
      <c r="Z2" s="9">
        <f t="shared" ca="1" si="0"/>
        <v>165</v>
      </c>
      <c r="AA2" s="9">
        <f t="shared" ca="1" si="0"/>
        <v>166</v>
      </c>
      <c r="AB2" s="9">
        <f t="shared" ca="1" si="0"/>
        <v>167</v>
      </c>
      <c r="AC2" s="9">
        <f t="shared" ca="1" si="0"/>
        <v>168</v>
      </c>
    </row>
    <row r="3" spans="1:29" x14ac:dyDescent="0.25">
      <c r="A3" s="3">
        <f>'Study Information'!$B$5</f>
        <v>46388</v>
      </c>
      <c r="B3" t="s">
        <v>10</v>
      </c>
      <c r="C3" s="9">
        <f>'Study Information'!$B$2</f>
        <v>100</v>
      </c>
      <c r="D3" s="9">
        <f>'Study Information'!$B$2</f>
        <v>100</v>
      </c>
      <c r="E3" s="9">
        <f>'Study Information'!$B$2</f>
        <v>100</v>
      </c>
      <c r="F3" s="9">
        <f>'Study Information'!$B$2</f>
        <v>100</v>
      </c>
      <c r="G3" s="9">
        <f>'Study Information'!$B$2</f>
        <v>100</v>
      </c>
      <c r="H3" s="9">
        <f>'Study Information'!$B$2</f>
        <v>100</v>
      </c>
      <c r="I3" s="9">
        <f>'Study Information'!$B$2</f>
        <v>100</v>
      </c>
      <c r="J3" s="9">
        <f>'Study Information'!$B$2</f>
        <v>100</v>
      </c>
      <c r="K3" s="9">
        <f>'Study Information'!$B$2</f>
        <v>100</v>
      </c>
      <c r="L3" s="9">
        <f>'Study Information'!$B$2</f>
        <v>100</v>
      </c>
      <c r="M3" s="9">
        <f>'Study Information'!$B$2</f>
        <v>100</v>
      </c>
      <c r="N3" s="9">
        <f>'Study Information'!$B$2</f>
        <v>100</v>
      </c>
      <c r="O3" s="9">
        <f>'Study Information'!$B$2</f>
        <v>100</v>
      </c>
      <c r="P3" s="9">
        <f>'Study Information'!$B$2</f>
        <v>100</v>
      </c>
      <c r="Q3" s="9">
        <f>'Study Information'!$B$2</f>
        <v>100</v>
      </c>
      <c r="R3" s="9">
        <f>'Study Information'!$B$2</f>
        <v>100</v>
      </c>
      <c r="S3" s="9">
        <f>'Study Information'!$B$2</f>
        <v>100</v>
      </c>
      <c r="T3" s="9">
        <f>'Study Information'!$B$2</f>
        <v>100</v>
      </c>
      <c r="U3" s="9">
        <f>'Study Information'!$B$2</f>
        <v>100</v>
      </c>
      <c r="V3" s="9">
        <f>'Study Information'!$B$2</f>
        <v>100</v>
      </c>
      <c r="W3" s="9">
        <f>'Study Information'!$B$2</f>
        <v>100</v>
      </c>
      <c r="X3" s="9">
        <f>'Study Information'!$B$2</f>
        <v>100</v>
      </c>
      <c r="Y3" s="9">
        <f>'Study Information'!$B$2</f>
        <v>100</v>
      </c>
      <c r="Z3" s="9">
        <f>'Study Information'!$B$2</f>
        <v>100</v>
      </c>
      <c r="AA3" s="9">
        <f>'Study Information'!$B$2</f>
        <v>100</v>
      </c>
      <c r="AB3" s="9">
        <f>'Study Information'!$B$2</f>
        <v>100</v>
      </c>
      <c r="AC3" s="9">
        <f>'Study Information'!$B$2</f>
        <v>100</v>
      </c>
    </row>
    <row r="4" spans="1:29" x14ac:dyDescent="0.25">
      <c r="A4" s="9" t="str">
        <f>'Site Information'!N2</f>
        <v>United States</v>
      </c>
      <c r="B4" t="s">
        <v>74</v>
      </c>
      <c r="C4" s="9">
        <f ca="1">C3-C2</f>
        <v>100</v>
      </c>
      <c r="D4" s="9">
        <f t="shared" ref="D4:AC4" ca="1" si="1">D3-D2</f>
        <v>100</v>
      </c>
      <c r="E4" s="9">
        <f t="shared" ca="1" si="1"/>
        <v>100</v>
      </c>
      <c r="F4" s="9">
        <f t="shared" ca="1" si="1"/>
        <v>100</v>
      </c>
      <c r="G4" s="9">
        <f t="shared" ca="1" si="1"/>
        <v>100</v>
      </c>
      <c r="H4" s="9">
        <f t="shared" ca="1" si="1"/>
        <v>100</v>
      </c>
      <c r="I4" s="9">
        <f t="shared" ca="1" si="1"/>
        <v>100</v>
      </c>
      <c r="J4" s="9">
        <f t="shared" ca="1" si="1"/>
        <v>76</v>
      </c>
      <c r="K4" s="9">
        <f t="shared" ca="1" si="1"/>
        <v>54</v>
      </c>
      <c r="L4" s="9">
        <f t="shared" ca="1" si="1"/>
        <v>35</v>
      </c>
      <c r="M4" s="9">
        <f t="shared" ca="1" si="1"/>
        <v>15</v>
      </c>
      <c r="N4" s="9">
        <f t="shared" ca="1" si="1"/>
        <v>-6</v>
      </c>
      <c r="O4" s="9">
        <f t="shared" ca="1" si="1"/>
        <v>-28</v>
      </c>
      <c r="P4" s="9">
        <f t="shared" ca="1" si="1"/>
        <v>-39</v>
      </c>
      <c r="Q4" s="9">
        <f t="shared" ca="1" si="1"/>
        <v>-47</v>
      </c>
      <c r="R4" s="9">
        <f t="shared" ca="1" si="1"/>
        <v>-53</v>
      </c>
      <c r="S4" s="9">
        <f t="shared" ca="1" si="1"/>
        <v>-57</v>
      </c>
      <c r="T4" s="9">
        <f t="shared" ca="1" si="1"/>
        <v>-59</v>
      </c>
      <c r="U4" s="9">
        <f t="shared" ca="1" si="1"/>
        <v>-60</v>
      </c>
      <c r="V4" s="9">
        <f t="shared" ca="1" si="1"/>
        <v>-61</v>
      </c>
      <c r="W4" s="9">
        <f t="shared" ca="1" si="1"/>
        <v>-62</v>
      </c>
      <c r="X4" s="9">
        <f t="shared" ca="1" si="1"/>
        <v>-63</v>
      </c>
      <c r="Y4" s="9">
        <f t="shared" ca="1" si="1"/>
        <v>-64</v>
      </c>
      <c r="Z4" s="9">
        <f t="shared" ca="1" si="1"/>
        <v>-65</v>
      </c>
      <c r="AA4" s="9">
        <f t="shared" ca="1" si="1"/>
        <v>-66</v>
      </c>
      <c r="AB4" s="9">
        <f t="shared" ca="1" si="1"/>
        <v>-67</v>
      </c>
      <c r="AC4" s="9">
        <f t="shared" ca="1" si="1"/>
        <v>-68</v>
      </c>
    </row>
    <row r="5" spans="1:29" s="1" customFormat="1" x14ac:dyDescent="0.25">
      <c r="A5" s="1" t="s">
        <v>0</v>
      </c>
      <c r="B5" s="1" t="s">
        <v>1</v>
      </c>
      <c r="C5" s="2">
        <f>'Study Information'!$B$3</f>
        <v>46023</v>
      </c>
      <c r="D5" s="2">
        <f>EDATE(C5,1)</f>
        <v>46054</v>
      </c>
      <c r="E5" s="2">
        <f t="shared" ref="E5:AC5" si="2">EDATE(D5,1)</f>
        <v>46082</v>
      </c>
      <c r="F5" s="2">
        <f t="shared" si="2"/>
        <v>46113</v>
      </c>
      <c r="G5" s="2">
        <f t="shared" si="2"/>
        <v>46143</v>
      </c>
      <c r="H5" s="2">
        <f t="shared" si="2"/>
        <v>46174</v>
      </c>
      <c r="I5" s="2">
        <f t="shared" si="2"/>
        <v>46204</v>
      </c>
      <c r="J5" s="2">
        <f t="shared" si="2"/>
        <v>46235</v>
      </c>
      <c r="K5" s="2">
        <f t="shared" si="2"/>
        <v>46266</v>
      </c>
      <c r="L5" s="2">
        <f t="shared" si="2"/>
        <v>46296</v>
      </c>
      <c r="M5" s="2">
        <f t="shared" si="2"/>
        <v>46327</v>
      </c>
      <c r="N5" s="2">
        <f t="shared" si="2"/>
        <v>46357</v>
      </c>
      <c r="O5" s="2">
        <f t="shared" si="2"/>
        <v>46388</v>
      </c>
      <c r="P5" s="2">
        <f t="shared" si="2"/>
        <v>46419</v>
      </c>
      <c r="Q5" s="2">
        <f t="shared" si="2"/>
        <v>46447</v>
      </c>
      <c r="R5" s="2">
        <f t="shared" si="2"/>
        <v>46478</v>
      </c>
      <c r="S5" s="2">
        <f t="shared" si="2"/>
        <v>46508</v>
      </c>
      <c r="T5" s="2">
        <f t="shared" si="2"/>
        <v>46539</v>
      </c>
      <c r="U5" s="2">
        <f t="shared" si="2"/>
        <v>46569</v>
      </c>
      <c r="V5" s="2">
        <f t="shared" si="2"/>
        <v>46600</v>
      </c>
      <c r="W5" s="2">
        <f t="shared" si="2"/>
        <v>46631</v>
      </c>
      <c r="X5" s="2">
        <f t="shared" si="2"/>
        <v>46661</v>
      </c>
      <c r="Y5" s="2">
        <f t="shared" si="2"/>
        <v>46692</v>
      </c>
      <c r="Z5" s="2">
        <f t="shared" si="2"/>
        <v>46722</v>
      </c>
      <c r="AA5" s="2">
        <f t="shared" si="2"/>
        <v>46753</v>
      </c>
      <c r="AB5" s="2">
        <f t="shared" si="2"/>
        <v>46784</v>
      </c>
      <c r="AC5" s="2">
        <f t="shared" si="2"/>
        <v>46813</v>
      </c>
    </row>
    <row r="6" spans="1:29" x14ac:dyDescent="0.25">
      <c r="A6" s="6" t="str" cm="1">
        <f t="array" ref="A6:B26">_xlfn._xlws.SORT(_xlfn.LET(_xlpm.result,_xlfn._xlws.FILTER(tblSites[[Country]:[Site]],(tblSites[Include?]="Yes")+(tblSites[Scenario?]=TRUE),""),IF(_xlpm.result=0,"",_xlpm.result)))</f>
        <v>Canada</v>
      </c>
      <c r="B6" t="str">
        <v>Canada1</v>
      </c>
      <c r="C6" s="9" cm="1">
        <f t="array" aca="1" ref="C6" ca="1">IF(C$5&lt;=TODAY(),0,IF($B6="","",IFERROR(_xlfn.LET(_xlpm.Site,$B6,_xlpm.SiteCol,INDIRECT("tblSites[Site]"),_xlpm.ActCol,INDIRECT("tblSites[Site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" s="9" cm="1">
        <f t="array" aca="1" ref="D6" ca="1">IF(D$5&lt;=TODAY(),0,IF($B6="","",IFERROR(_xlfn.LET(_xlpm.Site,$B6,_xlpm.SiteCol,INDIRECT("tblSites[Site]"),_xlpm.ActCol,INDIRECT("tblSites[Site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6" s="9" cm="1">
        <f t="array" aca="1" ref="E6" ca="1">IF(E$5&lt;=TODAY(),0,IF($B6="","",IFERROR(_xlfn.LET(_xlpm.Site,$B6,_xlpm.SiteCol,INDIRECT("tblSites[Site]"),_xlpm.ActCol,INDIRECT("tblSites[Site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6" s="9" cm="1">
        <f t="array" aca="1" ref="F6" ca="1">IF(F$5&lt;=TODAY(),0,IF($B6="","",IFERROR(_xlfn.LET(_xlpm.Site,$B6,_xlpm.SiteCol,INDIRECT("tblSites[Site]"),_xlpm.ActCol,INDIRECT("tblSites[Site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6" s="9" cm="1">
        <f t="array" aca="1" ref="G6" ca="1">IF(G$5&lt;=TODAY(),0,IF($B6="","",IFERROR(_xlfn.LET(_xlpm.Site,$B6,_xlpm.SiteCol,INDIRECT("tblSites[Site]"),_xlpm.ActCol,INDIRECT("tblSites[Site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6" s="9" cm="1">
        <f t="array" aca="1" ref="H6" ca="1">IF(H$5&lt;=TODAY(),0,IF($B6="","",IFERROR(_xlfn.LET(_xlpm.Site,$B6,_xlpm.SiteCol,INDIRECT("tblSites[Site]"),_xlpm.ActCol,INDIRECT("tblSites[Site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6" s="9" cm="1">
        <f t="array" aca="1" ref="I6" ca="1">IF(I$5&lt;=TODAY(),0,IF($B6="","",IFERROR(_xlfn.LET(_xlpm.Site,$B6,_xlpm.SiteCol,INDIRECT("tblSites[Site]"),_xlpm.ActCol,INDIRECT("tblSites[Site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6" s="9" cm="1">
        <f t="array" aca="1" ref="J6" ca="1">IF(J$5&lt;=TODAY(),0,IF($B6="","",IFERROR(_xlfn.LET(_xlpm.Site,$B6,_xlpm.SiteCol,INDIRECT("tblSites[Site]"),_xlpm.ActCol,INDIRECT("tblSites[Site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6" s="9" cm="1">
        <f t="array" aca="1" ref="K6" ca="1">IF(K$5&lt;=TODAY(),0,IF($B6="","",IFERROR(_xlfn.LET(_xlpm.Site,$B6,_xlpm.SiteCol,INDIRECT("tblSites[Site]"),_xlpm.ActCol,INDIRECT("tblSites[Site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6" s="9" cm="1">
        <f t="array" aca="1" ref="L6" ca="1">IF(L$5&lt;=TODAY(),0,IF($B6="","",IFERROR(_xlfn.LET(_xlpm.Site,$B6,_xlpm.SiteCol,INDIRECT("tblSites[Site]"),_xlpm.ActCol,INDIRECT("tblSites[Site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6" s="9" cm="1">
        <f t="array" aca="1" ref="M6" ca="1">IF(M$5&lt;=TODAY(),0,IF($B6="","",IFERROR(_xlfn.LET(_xlpm.Site,$B6,_xlpm.SiteCol,INDIRECT("tblSites[Site]"),_xlpm.ActCol,INDIRECT("tblSites[Site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6" s="9" cm="1">
        <f t="array" aca="1" ref="N6" ca="1">IF(N$5&lt;=TODAY(),0,IF($B6="","",IFERROR(_xlfn.LET(_xlpm.Site,$B6,_xlpm.SiteCol,INDIRECT("tblSites[Site]"),_xlpm.ActCol,INDIRECT("tblSites[Site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6" s="9" cm="1">
        <f t="array" aca="1" ref="O6" ca="1">IF(O$5&lt;=TODAY(),0,IF($B6="","",IFERROR(_xlfn.LET(_xlpm.Site,$B6,_xlpm.SiteCol,INDIRECT("tblSites[Site]"),_xlpm.ActCol,INDIRECT("tblSites[Site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6" s="9" cm="1">
        <f t="array" aca="1" ref="P6" ca="1">IF(P$5&lt;=TODAY(),0,IF($B6="","",IFERROR(_xlfn.LET(_xlpm.Site,$B6,_xlpm.SiteCol,INDIRECT("tblSites[Site]"),_xlpm.ActCol,INDIRECT("tblSites[Site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6" s="9" cm="1">
        <f t="array" aca="1" ref="Q6" ca="1">IF(Q$5&lt;=TODAY(),0,IF($B6="","",IFERROR(_xlfn.LET(_xlpm.Site,$B6,_xlpm.SiteCol,INDIRECT("tblSites[Site]"),_xlpm.ActCol,INDIRECT("tblSites[Site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6" s="9" cm="1">
        <f t="array" aca="1" ref="R6" ca="1">IF(R$5&lt;=TODAY(),0,IF($B6="","",IFERROR(_xlfn.LET(_xlpm.Site,$B6,_xlpm.SiteCol,INDIRECT("tblSites[Site]"),_xlpm.ActCol,INDIRECT("tblSites[Site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1</v>
      </c>
      <c r="S6" s="9" cm="1">
        <f t="array" aca="1" ref="S6" ca="1">IF(S$5&lt;=TODAY(),0,IF($B6="","",IFERROR(_xlfn.LET(_xlpm.Site,$B6,_xlpm.SiteCol,INDIRECT("tblSites[Site]"),_xlpm.ActCol,INDIRECT("tblSites[Site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6" s="9" cm="1">
        <f t="array" aca="1" ref="T6" ca="1">IF(T$5&lt;=TODAY(),0,IF($B6="","",IFERROR(_xlfn.LET(_xlpm.Site,$B6,_xlpm.SiteCol,INDIRECT("tblSites[Site]"),_xlpm.ActCol,INDIRECT("tblSites[Site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6" s="9" cm="1">
        <f t="array" aca="1" ref="U6" ca="1">IF(U$5&lt;=TODAY(),0,IF($B6="","",IFERROR(_xlfn.LET(_xlpm.Site,$B6,_xlpm.SiteCol,INDIRECT("tblSites[Site]"),_xlpm.ActCol,INDIRECT("tblSites[Site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6" s="9" cm="1">
        <f t="array" aca="1" ref="V6" ca="1">IF(V$5&lt;=TODAY(),0,IF($B6="","",IFERROR(_xlfn.LET(_xlpm.Site,$B6,_xlpm.SiteCol,INDIRECT("tblSites[Site]"),_xlpm.ActCol,INDIRECT("tblSites[Site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6" s="9" cm="1">
        <f t="array" aca="1" ref="W6" ca="1">IF(W$5&lt;=TODAY(),0,IF($B6="","",IFERROR(_xlfn.LET(_xlpm.Site,$B6,_xlpm.SiteCol,INDIRECT("tblSites[Site]"),_xlpm.ActCol,INDIRECT("tblSites[Site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6" s="9" cm="1">
        <f t="array" aca="1" ref="X6" ca="1">IF(X$5&lt;=TODAY(),0,IF($B6="","",IFERROR(_xlfn.LET(_xlpm.Site,$B6,_xlpm.SiteCol,INDIRECT("tblSites[Site]"),_xlpm.ActCol,INDIRECT("tblSites[Site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6" s="9" cm="1">
        <f t="array" aca="1" ref="Y6" ca="1">IF(Y$5&lt;=TODAY(),0,IF($B6="","",IFERROR(_xlfn.LET(_xlpm.Site,$B6,_xlpm.SiteCol,INDIRECT("tblSites[Site]"),_xlpm.ActCol,INDIRECT("tblSites[Site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6" s="9" cm="1">
        <f t="array" aca="1" ref="Z6" ca="1">IF(Z$5&lt;=TODAY(),0,IF($B6="","",IFERROR(_xlfn.LET(_xlpm.Site,$B6,_xlpm.SiteCol,INDIRECT("tblSites[Site]"),_xlpm.ActCol,INDIRECT("tblSites[Site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6" s="9" cm="1">
        <f t="array" aca="1" ref="AA6" ca="1">IF(AA$5&lt;=TODAY(),0,IF($B6="","",IFERROR(_xlfn.LET(_xlpm.Site,$B6,_xlpm.SiteCol,INDIRECT("tblSites[Site]"),_xlpm.ActCol,INDIRECT("tblSites[Site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6" s="9" cm="1">
        <f t="array" aca="1" ref="AB6" ca="1">IF(AB$5&lt;=TODAY(),0,IF($B6="","",IFERROR(_xlfn.LET(_xlpm.Site,$B6,_xlpm.SiteCol,INDIRECT("tblSites[Site]"),_xlpm.ActCol,INDIRECT("tblSites[Site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6" s="9" cm="1">
        <f t="array" aca="1" ref="AC6" ca="1">IF(AC$5&lt;=TODAY(),0,IF($B6="","",IFERROR(_xlfn.LET(_xlpm.Site,$B6,_xlpm.SiteCol,INDIRECT("tblSites[Site]"),_xlpm.ActCol,INDIRECT("tblSites[Site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7" spans="1:29" x14ac:dyDescent="0.25">
      <c r="A7" t="str">
        <v>Canada</v>
      </c>
      <c r="B7" t="str">
        <v>Canada2</v>
      </c>
      <c r="C7" s="9" cm="1">
        <f t="array" aca="1" ref="C7" ca="1">IF(C$5&lt;=TODAY(),0,IF($B7="","",IFERROR(_xlfn.LET(_xlpm.Site,$B7,_xlpm.SiteCol,INDIRECT("tblSites[Site]"),_xlpm.ActCol,INDIRECT("tblSites[Site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" s="9" cm="1">
        <f t="array" aca="1" ref="D7" ca="1">IF(D$5&lt;=TODAY(),0,IF($B7="","",IFERROR(_xlfn.LET(_xlpm.Site,$B7,_xlpm.SiteCol,INDIRECT("tblSites[Site]"),_xlpm.ActCol,INDIRECT("tblSites[Site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7" s="9" cm="1">
        <f t="array" aca="1" ref="E7" ca="1">IF(E$5&lt;=TODAY(),0,IF($B7="","",IFERROR(_xlfn.LET(_xlpm.Site,$B7,_xlpm.SiteCol,INDIRECT("tblSites[Site]"),_xlpm.ActCol,INDIRECT("tblSites[Site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7" s="9" cm="1">
        <f t="array" aca="1" ref="F7" ca="1">IF(F$5&lt;=TODAY(),0,IF($B7="","",IFERROR(_xlfn.LET(_xlpm.Site,$B7,_xlpm.SiteCol,INDIRECT("tblSites[Site]"),_xlpm.ActCol,INDIRECT("tblSites[Site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7" s="9" cm="1">
        <f t="array" aca="1" ref="G7" ca="1">IF(G$5&lt;=TODAY(),0,IF($B7="","",IFERROR(_xlfn.LET(_xlpm.Site,$B7,_xlpm.SiteCol,INDIRECT("tblSites[Site]"),_xlpm.ActCol,INDIRECT("tblSites[Site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7" s="9" cm="1">
        <f t="array" aca="1" ref="H7" ca="1">IF(H$5&lt;=TODAY(),0,IF($B7="","",IFERROR(_xlfn.LET(_xlpm.Site,$B7,_xlpm.SiteCol,INDIRECT("tblSites[Site]"),_xlpm.ActCol,INDIRECT("tblSites[Site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7" s="9" cm="1">
        <f t="array" aca="1" ref="I7" ca="1">IF(I$5&lt;=TODAY(),0,IF($B7="","",IFERROR(_xlfn.LET(_xlpm.Site,$B7,_xlpm.SiteCol,INDIRECT("tblSites[Site]"),_xlpm.ActCol,INDIRECT("tblSites[Site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7" s="9" cm="1">
        <f t="array" aca="1" ref="J7" ca="1">IF(J$5&lt;=TODAY(),0,IF($B7="","",IFERROR(_xlfn.LET(_xlpm.Site,$B7,_xlpm.SiteCol,INDIRECT("tblSites[Site]"),_xlpm.ActCol,INDIRECT("tblSites[Site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7" s="9" cm="1">
        <f t="array" aca="1" ref="K7" ca="1">IF(K$5&lt;=TODAY(),0,IF($B7="","",IFERROR(_xlfn.LET(_xlpm.Site,$B7,_xlpm.SiteCol,INDIRECT("tblSites[Site]"),_xlpm.ActCol,INDIRECT("tblSites[Site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7" s="9" cm="1">
        <f t="array" aca="1" ref="L7" ca="1">IF(L$5&lt;=TODAY(),0,IF($B7="","",IFERROR(_xlfn.LET(_xlpm.Site,$B7,_xlpm.SiteCol,INDIRECT("tblSites[Site]"),_xlpm.ActCol,INDIRECT("tblSites[Site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7" s="9" cm="1">
        <f t="array" aca="1" ref="M7" ca="1">IF(M$5&lt;=TODAY(),0,IF($B7="","",IFERROR(_xlfn.LET(_xlpm.Site,$B7,_xlpm.SiteCol,INDIRECT("tblSites[Site]"),_xlpm.ActCol,INDIRECT("tblSites[Site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7" s="9" cm="1">
        <f t="array" aca="1" ref="N7" ca="1">IF(N$5&lt;=TODAY(),0,IF($B7="","",IFERROR(_xlfn.LET(_xlpm.Site,$B7,_xlpm.SiteCol,INDIRECT("tblSites[Site]"),_xlpm.ActCol,INDIRECT("tblSites[Site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7" s="9" cm="1">
        <f t="array" aca="1" ref="O7" ca="1">IF(O$5&lt;=TODAY(),0,IF($B7="","",IFERROR(_xlfn.LET(_xlpm.Site,$B7,_xlpm.SiteCol,INDIRECT("tblSites[Site]"),_xlpm.ActCol,INDIRECT("tblSites[Site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7" s="9" cm="1">
        <f t="array" aca="1" ref="P7" ca="1">IF(P$5&lt;=TODAY(),0,IF($B7="","",IFERROR(_xlfn.LET(_xlpm.Site,$B7,_xlpm.SiteCol,INDIRECT("tblSites[Site]"),_xlpm.ActCol,INDIRECT("tblSites[Site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7" s="9" cm="1">
        <f t="array" aca="1" ref="Q7" ca="1">IF(Q$5&lt;=TODAY(),0,IF($B7="","",IFERROR(_xlfn.LET(_xlpm.Site,$B7,_xlpm.SiteCol,INDIRECT("tblSites[Site]"),_xlpm.ActCol,INDIRECT("tblSites[Site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7" s="9" cm="1">
        <f t="array" aca="1" ref="R7" ca="1">IF(R$5&lt;=TODAY(),0,IF($B7="","",IFERROR(_xlfn.LET(_xlpm.Site,$B7,_xlpm.SiteCol,INDIRECT("tblSites[Site]"),_xlpm.ActCol,INDIRECT("tblSites[Site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7" s="9" cm="1">
        <f t="array" aca="1" ref="S7" ca="1">IF(S$5&lt;=TODAY(),0,IF($B7="","",IFERROR(_xlfn.LET(_xlpm.Site,$B7,_xlpm.SiteCol,INDIRECT("tblSites[Site]"),_xlpm.ActCol,INDIRECT("tblSites[Site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7" s="9" cm="1">
        <f t="array" aca="1" ref="T7" ca="1">IF(T$5&lt;=TODAY(),0,IF($B7="","",IFERROR(_xlfn.LET(_xlpm.Site,$B7,_xlpm.SiteCol,INDIRECT("tblSites[Site]"),_xlpm.ActCol,INDIRECT("tblSites[Site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7" s="9" cm="1">
        <f t="array" aca="1" ref="U7" ca="1">IF(U$5&lt;=TODAY(),0,IF($B7="","",IFERROR(_xlfn.LET(_xlpm.Site,$B7,_xlpm.SiteCol,INDIRECT("tblSites[Site]"),_xlpm.ActCol,INDIRECT("tblSites[Site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7" s="9" cm="1">
        <f t="array" aca="1" ref="V7" ca="1">IF(V$5&lt;=TODAY(),0,IF($B7="","",IFERROR(_xlfn.LET(_xlpm.Site,$B7,_xlpm.SiteCol,INDIRECT("tblSites[Site]"),_xlpm.ActCol,INDIRECT("tblSites[Site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7" s="9" cm="1">
        <f t="array" aca="1" ref="W7" ca="1">IF(W$5&lt;=TODAY(),0,IF($B7="","",IFERROR(_xlfn.LET(_xlpm.Site,$B7,_xlpm.SiteCol,INDIRECT("tblSites[Site]"),_xlpm.ActCol,INDIRECT("tblSites[Site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7" s="9" cm="1">
        <f t="array" aca="1" ref="X7" ca="1">IF(X$5&lt;=TODAY(),0,IF($B7="","",IFERROR(_xlfn.LET(_xlpm.Site,$B7,_xlpm.SiteCol,INDIRECT("tblSites[Site]"),_xlpm.ActCol,INDIRECT("tblSites[Site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7" s="9" cm="1">
        <f t="array" aca="1" ref="Y7" ca="1">IF(Y$5&lt;=TODAY(),0,IF($B7="","",IFERROR(_xlfn.LET(_xlpm.Site,$B7,_xlpm.SiteCol,INDIRECT("tblSites[Site]"),_xlpm.ActCol,INDIRECT("tblSites[Site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7" s="9" cm="1">
        <f t="array" aca="1" ref="Z7" ca="1">IF(Z$5&lt;=TODAY(),0,IF($B7="","",IFERROR(_xlfn.LET(_xlpm.Site,$B7,_xlpm.SiteCol,INDIRECT("tblSites[Site]"),_xlpm.ActCol,INDIRECT("tblSites[Site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7" s="9" cm="1">
        <f t="array" aca="1" ref="AA7" ca="1">IF(AA$5&lt;=TODAY(),0,IF($B7="","",IFERROR(_xlfn.LET(_xlpm.Site,$B7,_xlpm.SiteCol,INDIRECT("tblSites[Site]"),_xlpm.ActCol,INDIRECT("tblSites[Site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7" s="9" cm="1">
        <f t="array" aca="1" ref="AB7" ca="1">IF(AB$5&lt;=TODAY(),0,IF($B7="","",IFERROR(_xlfn.LET(_xlpm.Site,$B7,_xlpm.SiteCol,INDIRECT("tblSites[Site]"),_xlpm.ActCol,INDIRECT("tblSites[Site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7" s="9" cm="1">
        <f t="array" aca="1" ref="AC7" ca="1">IF(AC$5&lt;=TODAY(),0,IF($B7="","",IFERROR(_xlfn.LET(_xlpm.Site,$B7,_xlpm.SiteCol,INDIRECT("tblSites[Site]"),_xlpm.ActCol,INDIRECT("tblSites[Site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8" spans="1:29" x14ac:dyDescent="0.25">
      <c r="A8" t="str">
        <v>France</v>
      </c>
      <c r="B8" t="str">
        <v>France1</v>
      </c>
      <c r="C8" s="9" cm="1">
        <f t="array" aca="1" ref="C8" ca="1">IF(C$5&lt;=TODAY(),0,IF($B8="","",IFERROR(_xlfn.LET(_xlpm.Site,$B8,_xlpm.SiteCol,INDIRECT("tblSites[Site]"),_xlpm.ActCol,INDIRECT("tblSites[Site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" s="9" cm="1">
        <f t="array" aca="1" ref="D8" ca="1">IF(D$5&lt;=TODAY(),0,IF($B8="","",IFERROR(_xlfn.LET(_xlpm.Site,$B8,_xlpm.SiteCol,INDIRECT("tblSites[Site]"),_xlpm.ActCol,INDIRECT("tblSites[Site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8" s="9" cm="1">
        <f t="array" aca="1" ref="E8" ca="1">IF(E$5&lt;=TODAY(),0,IF($B8="","",IFERROR(_xlfn.LET(_xlpm.Site,$B8,_xlpm.SiteCol,INDIRECT("tblSites[Site]"),_xlpm.ActCol,INDIRECT("tblSites[Site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8" s="9" cm="1">
        <f t="array" aca="1" ref="F8" ca="1">IF(F$5&lt;=TODAY(),0,IF($B8="","",IFERROR(_xlfn.LET(_xlpm.Site,$B8,_xlpm.SiteCol,INDIRECT("tblSites[Site]"),_xlpm.ActCol,INDIRECT("tblSites[Site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8" s="9" cm="1">
        <f t="array" aca="1" ref="G8" ca="1">IF(G$5&lt;=TODAY(),0,IF($B8="","",IFERROR(_xlfn.LET(_xlpm.Site,$B8,_xlpm.SiteCol,INDIRECT("tblSites[Site]"),_xlpm.ActCol,INDIRECT("tblSites[Site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8" s="9" cm="1">
        <f t="array" aca="1" ref="H8" ca="1">IF(H$5&lt;=TODAY(),0,IF($B8="","",IFERROR(_xlfn.LET(_xlpm.Site,$B8,_xlpm.SiteCol,INDIRECT("tblSites[Site]"),_xlpm.ActCol,INDIRECT("tblSites[Site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8" s="9" cm="1">
        <f t="array" aca="1" ref="I8" ca="1">IF(I$5&lt;=TODAY(),0,IF($B8="","",IFERROR(_xlfn.LET(_xlpm.Site,$B8,_xlpm.SiteCol,INDIRECT("tblSites[Site]"),_xlpm.ActCol,INDIRECT("tblSites[Site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8" s="9" cm="1">
        <f t="array" aca="1" ref="J8" ca="1">IF(J$5&lt;=TODAY(),0,IF($B8="","",IFERROR(_xlfn.LET(_xlpm.Site,$B8,_xlpm.SiteCol,INDIRECT("tblSites[Site]"),_xlpm.ActCol,INDIRECT("tblSites[Site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3</v>
      </c>
      <c r="K8" s="9" cm="1">
        <f t="array" aca="1" ref="K8" ca="1">IF(K$5&lt;=TODAY(),0,IF($B8="","",IFERROR(_xlfn.LET(_xlpm.Site,$B8,_xlpm.SiteCol,INDIRECT("tblSites[Site]"),_xlpm.ActCol,INDIRECT("tblSites[Site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3</v>
      </c>
      <c r="L8" s="9" cm="1">
        <f t="array" aca="1" ref="L8" ca="1">IF(L$5&lt;=TODAY(),0,IF($B8="","",IFERROR(_xlfn.LET(_xlpm.Site,$B8,_xlpm.SiteCol,INDIRECT("tblSites[Site]"),_xlpm.ActCol,INDIRECT("tblSites[Site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2</v>
      </c>
      <c r="M8" s="9" cm="1">
        <f t="array" aca="1" ref="M8" ca="1">IF(M$5&lt;=TODAY(),0,IF($B8="","",IFERROR(_xlfn.LET(_xlpm.Site,$B8,_xlpm.SiteCol,INDIRECT("tblSites[Site]"),_xlpm.ActCol,INDIRECT("tblSites[Site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2</v>
      </c>
      <c r="N8" s="9" cm="1">
        <f t="array" aca="1" ref="N8" ca="1">IF(N$5&lt;=TODAY(),0,IF($B8="","",IFERROR(_xlfn.LET(_xlpm.Site,$B8,_xlpm.SiteCol,INDIRECT("tblSites[Site]"),_xlpm.ActCol,INDIRECT("tblSites[Site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2</v>
      </c>
      <c r="O8" s="9" cm="1">
        <f t="array" aca="1" ref="O8" ca="1">IF(O$5&lt;=TODAY(),0,IF($B8="","",IFERROR(_xlfn.LET(_xlpm.Site,$B8,_xlpm.SiteCol,INDIRECT("tblSites[Site]"),_xlpm.ActCol,INDIRECT("tblSites[Site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2</v>
      </c>
      <c r="P8" s="9" cm="1">
        <f t="array" aca="1" ref="P8" ca="1">IF(P$5&lt;=TODAY(),0,IF($B8="","",IFERROR(_xlfn.LET(_xlpm.Site,$B8,_xlpm.SiteCol,INDIRECT("tblSites[Site]"),_xlpm.ActCol,INDIRECT("tblSites[Site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2</v>
      </c>
      <c r="Q8" s="9" cm="1">
        <f t="array" aca="1" ref="Q8" ca="1">IF(Q$5&lt;=TODAY(),0,IF($B8="","",IFERROR(_xlfn.LET(_xlpm.Site,$B8,_xlpm.SiteCol,INDIRECT("tblSites[Site]"),_xlpm.ActCol,INDIRECT("tblSites[Site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2</v>
      </c>
      <c r="R8" s="9" cm="1">
        <f t="array" aca="1" ref="R8" ca="1">IF(R$5&lt;=TODAY(),0,IF($B8="","",IFERROR(_xlfn.LET(_xlpm.Site,$B8,_xlpm.SiteCol,INDIRECT("tblSites[Site]"),_xlpm.ActCol,INDIRECT("tblSites[Site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2</v>
      </c>
      <c r="S8" s="9" cm="1">
        <f t="array" aca="1" ref="S8" ca="1">IF(S$5&lt;=TODAY(),0,IF($B8="","",IFERROR(_xlfn.LET(_xlpm.Site,$B8,_xlpm.SiteCol,INDIRECT("tblSites[Site]"),_xlpm.ActCol,INDIRECT("tblSites[Site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2</v>
      </c>
      <c r="T8" s="9" cm="1">
        <f t="array" aca="1" ref="T8" ca="1">IF(T$5&lt;=TODAY(),0,IF($B8="","",IFERROR(_xlfn.LET(_xlpm.Site,$B8,_xlpm.SiteCol,INDIRECT("tblSites[Site]"),_xlpm.ActCol,INDIRECT("tblSites[Site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2</v>
      </c>
      <c r="U8" s="9" cm="1">
        <f t="array" aca="1" ref="U8" ca="1">IF(U$5&lt;=TODAY(),0,IF($B8="","",IFERROR(_xlfn.LET(_xlpm.Site,$B8,_xlpm.SiteCol,INDIRECT("tblSites[Site]"),_xlpm.ActCol,INDIRECT("tblSites[Site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1</v>
      </c>
      <c r="V8" s="9" cm="1">
        <f t="array" aca="1" ref="V8" ca="1">IF(V$5&lt;=TODAY(),0,IF($B8="","",IFERROR(_xlfn.LET(_xlpm.Site,$B8,_xlpm.SiteCol,INDIRECT("tblSites[Site]"),_xlpm.ActCol,INDIRECT("tblSites[Site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1</v>
      </c>
      <c r="W8" s="9" cm="1">
        <f t="array" aca="1" ref="W8" ca="1">IF(W$5&lt;=TODAY(),0,IF($B8="","",IFERROR(_xlfn.LET(_xlpm.Site,$B8,_xlpm.SiteCol,INDIRECT("tblSites[Site]"),_xlpm.ActCol,INDIRECT("tblSites[Site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1</v>
      </c>
      <c r="X8" s="9" cm="1">
        <f t="array" aca="1" ref="X8" ca="1">IF(X$5&lt;=TODAY(),0,IF($B8="","",IFERROR(_xlfn.LET(_xlpm.Site,$B8,_xlpm.SiteCol,INDIRECT("tblSites[Site]"),_xlpm.ActCol,INDIRECT("tblSites[Site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1</v>
      </c>
      <c r="Y8" s="9" cm="1">
        <f t="array" aca="1" ref="Y8" ca="1">IF(Y$5&lt;=TODAY(),0,IF($B8="","",IFERROR(_xlfn.LET(_xlpm.Site,$B8,_xlpm.SiteCol,INDIRECT("tblSites[Site]"),_xlpm.ActCol,INDIRECT("tblSites[Site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1</v>
      </c>
      <c r="Z8" s="9" cm="1">
        <f t="array" aca="1" ref="Z8" ca="1">IF(Z$5&lt;=TODAY(),0,IF($B8="","",IFERROR(_xlfn.LET(_xlpm.Site,$B8,_xlpm.SiteCol,INDIRECT("tblSites[Site]"),_xlpm.ActCol,INDIRECT("tblSites[Site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1</v>
      </c>
      <c r="AA8" s="9" cm="1">
        <f t="array" aca="1" ref="AA8" ca="1">IF(AA$5&lt;=TODAY(),0,IF($B8="","",IFERROR(_xlfn.LET(_xlpm.Site,$B8,_xlpm.SiteCol,INDIRECT("tblSites[Site]"),_xlpm.ActCol,INDIRECT("tblSites[Site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1</v>
      </c>
      <c r="AB8" s="9" cm="1">
        <f t="array" aca="1" ref="AB8" ca="1">IF(AB$5&lt;=TODAY(),0,IF($B8="","",IFERROR(_xlfn.LET(_xlpm.Site,$B8,_xlpm.SiteCol,INDIRECT("tblSites[Site]"),_xlpm.ActCol,INDIRECT("tblSites[Site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1</v>
      </c>
      <c r="AC8" s="9" cm="1">
        <f t="array" aca="1" ref="AC8" ca="1">IF(AC$5&lt;=TODAY(),0,IF($B8="","",IFERROR(_xlfn.LET(_xlpm.Site,$B8,_xlpm.SiteCol,INDIRECT("tblSites[Site]"),_xlpm.ActCol,INDIRECT("tblSites[Site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1</v>
      </c>
    </row>
    <row r="9" spans="1:29" x14ac:dyDescent="0.25">
      <c r="A9" t="str">
        <v>Germany</v>
      </c>
      <c r="B9" t="str">
        <v>Germany1</v>
      </c>
      <c r="C9" s="9" cm="1">
        <f t="array" aca="1" ref="C9" ca="1">IF(C$5&lt;=TODAY(),0,IF($B9="","",IFERROR(_xlfn.LET(_xlpm.Site,$B9,_xlpm.SiteCol,INDIRECT("tblSites[Site]"),_xlpm.ActCol,INDIRECT("tblSites[Site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9" s="9" cm="1">
        <f t="array" aca="1" ref="D9" ca="1">IF(D$5&lt;=TODAY(),0,IF($B9="","",IFERROR(_xlfn.LET(_xlpm.Site,$B9,_xlpm.SiteCol,INDIRECT("tblSites[Site]"),_xlpm.ActCol,INDIRECT("tblSites[Site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9" s="9" cm="1">
        <f t="array" aca="1" ref="E9" ca="1">IF(E$5&lt;=TODAY(),0,IF($B9="","",IFERROR(_xlfn.LET(_xlpm.Site,$B9,_xlpm.SiteCol,INDIRECT("tblSites[Site]"),_xlpm.ActCol,INDIRECT("tblSites[Site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9" s="9" cm="1">
        <f t="array" aca="1" ref="F9" ca="1">IF(F$5&lt;=TODAY(),0,IF($B9="","",IFERROR(_xlfn.LET(_xlpm.Site,$B9,_xlpm.SiteCol,INDIRECT("tblSites[Site]"),_xlpm.ActCol,INDIRECT("tblSites[Site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9" s="9" cm="1">
        <f t="array" aca="1" ref="G9" ca="1">IF(G$5&lt;=TODAY(),0,IF($B9="","",IFERROR(_xlfn.LET(_xlpm.Site,$B9,_xlpm.SiteCol,INDIRECT("tblSites[Site]"),_xlpm.ActCol,INDIRECT("tblSites[Site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9" s="9" cm="1">
        <f t="array" aca="1" ref="H9" ca="1">IF(H$5&lt;=TODAY(),0,IF($B9="","",IFERROR(_xlfn.LET(_xlpm.Site,$B9,_xlpm.SiteCol,INDIRECT("tblSites[Site]"),_xlpm.ActCol,INDIRECT("tblSites[Site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9" s="9" cm="1">
        <f t="array" aca="1" ref="I9" ca="1">IF(I$5&lt;=TODAY(),0,IF($B9="","",IFERROR(_xlfn.LET(_xlpm.Site,$B9,_xlpm.SiteCol,INDIRECT("tblSites[Site]"),_xlpm.ActCol,INDIRECT("tblSites[Site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9" s="9" cm="1">
        <f t="array" aca="1" ref="J9" ca="1">IF(J$5&lt;=TODAY(),0,IF($B9="","",IFERROR(_xlfn.LET(_xlpm.Site,$B9,_xlpm.SiteCol,INDIRECT("tblSites[Site]"),_xlpm.ActCol,INDIRECT("tblSites[Site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9" s="9" cm="1">
        <f t="array" aca="1" ref="K9" ca="1">IF(K$5&lt;=TODAY(),0,IF($B9="","",IFERROR(_xlfn.LET(_xlpm.Site,$B9,_xlpm.SiteCol,INDIRECT("tblSites[Site]"),_xlpm.ActCol,INDIRECT("tblSites[Site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9" s="9" cm="1">
        <f t="array" aca="1" ref="L9" ca="1">IF(L$5&lt;=TODAY(),0,IF($B9="","",IFERROR(_xlfn.LET(_xlpm.Site,$B9,_xlpm.SiteCol,INDIRECT("tblSites[Site]"),_xlpm.ActCol,INDIRECT("tblSites[Site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9" s="9" cm="1">
        <f t="array" aca="1" ref="M9" ca="1">IF(M$5&lt;=TODAY(),0,IF($B9="","",IFERROR(_xlfn.LET(_xlpm.Site,$B9,_xlpm.SiteCol,INDIRECT("tblSites[Site]"),_xlpm.ActCol,INDIRECT("tblSites[Site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9" s="9" cm="1">
        <f t="array" aca="1" ref="N9" ca="1">IF(N$5&lt;=TODAY(),0,IF($B9="","",IFERROR(_xlfn.LET(_xlpm.Site,$B9,_xlpm.SiteCol,INDIRECT("tblSites[Site]"),_xlpm.ActCol,INDIRECT("tblSites[Site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9" s="9" cm="1">
        <f t="array" aca="1" ref="O9" ca="1">IF(O$5&lt;=TODAY(),0,IF($B9="","",IFERROR(_xlfn.LET(_xlpm.Site,$B9,_xlpm.SiteCol,INDIRECT("tblSites[Site]"),_xlpm.ActCol,INDIRECT("tblSites[Site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9" s="9" cm="1">
        <f t="array" aca="1" ref="P9" ca="1">IF(P$5&lt;=TODAY(),0,IF($B9="","",IFERROR(_xlfn.LET(_xlpm.Site,$B9,_xlpm.SiteCol,INDIRECT("tblSites[Site]"),_xlpm.ActCol,INDIRECT("tblSites[Site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9" s="9" cm="1">
        <f t="array" aca="1" ref="Q9" ca="1">IF(Q$5&lt;=TODAY(),0,IF($B9="","",IFERROR(_xlfn.LET(_xlpm.Site,$B9,_xlpm.SiteCol,INDIRECT("tblSites[Site]"),_xlpm.ActCol,INDIRECT("tblSites[Site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9" s="9" cm="1">
        <f t="array" aca="1" ref="R9" ca="1">IF(R$5&lt;=TODAY(),0,IF($B9="","",IFERROR(_xlfn.LET(_xlpm.Site,$B9,_xlpm.SiteCol,INDIRECT("tblSites[Site]"),_xlpm.ActCol,INDIRECT("tblSites[Site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9" s="9" cm="1">
        <f t="array" aca="1" ref="S9" ca="1">IF(S$5&lt;=TODAY(),0,IF($B9="","",IFERROR(_xlfn.LET(_xlpm.Site,$B9,_xlpm.SiteCol,INDIRECT("tblSites[Site]"),_xlpm.ActCol,INDIRECT("tblSites[Site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9" s="9" cm="1">
        <f t="array" aca="1" ref="T9" ca="1">IF(T$5&lt;=TODAY(),0,IF($B9="","",IFERROR(_xlfn.LET(_xlpm.Site,$B9,_xlpm.SiteCol,INDIRECT("tblSites[Site]"),_xlpm.ActCol,INDIRECT("tblSites[Site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9" s="9" cm="1">
        <f t="array" aca="1" ref="U9" ca="1">IF(U$5&lt;=TODAY(),0,IF($B9="","",IFERROR(_xlfn.LET(_xlpm.Site,$B9,_xlpm.SiteCol,INDIRECT("tblSites[Site]"),_xlpm.ActCol,INDIRECT("tblSites[Site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9" s="9" cm="1">
        <f t="array" aca="1" ref="V9" ca="1">IF(V$5&lt;=TODAY(),0,IF($B9="","",IFERROR(_xlfn.LET(_xlpm.Site,$B9,_xlpm.SiteCol,INDIRECT("tblSites[Site]"),_xlpm.ActCol,INDIRECT("tblSites[Site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9" s="9" cm="1">
        <f t="array" aca="1" ref="W9" ca="1">IF(W$5&lt;=TODAY(),0,IF($B9="","",IFERROR(_xlfn.LET(_xlpm.Site,$B9,_xlpm.SiteCol,INDIRECT("tblSites[Site]"),_xlpm.ActCol,INDIRECT("tblSites[Site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9" s="9" cm="1">
        <f t="array" aca="1" ref="X9" ca="1">IF(X$5&lt;=TODAY(),0,IF($B9="","",IFERROR(_xlfn.LET(_xlpm.Site,$B9,_xlpm.SiteCol,INDIRECT("tblSites[Site]"),_xlpm.ActCol,INDIRECT("tblSites[Site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9" s="9" cm="1">
        <f t="array" aca="1" ref="Y9" ca="1">IF(Y$5&lt;=TODAY(),0,IF($B9="","",IFERROR(_xlfn.LET(_xlpm.Site,$B9,_xlpm.SiteCol,INDIRECT("tblSites[Site]"),_xlpm.ActCol,INDIRECT("tblSites[Site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9" s="9" cm="1">
        <f t="array" aca="1" ref="Z9" ca="1">IF(Z$5&lt;=TODAY(),0,IF($B9="","",IFERROR(_xlfn.LET(_xlpm.Site,$B9,_xlpm.SiteCol,INDIRECT("tblSites[Site]"),_xlpm.ActCol,INDIRECT("tblSites[Site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9" s="9" cm="1">
        <f t="array" aca="1" ref="AA9" ca="1">IF(AA$5&lt;=TODAY(),0,IF($B9="","",IFERROR(_xlfn.LET(_xlpm.Site,$B9,_xlpm.SiteCol,INDIRECT("tblSites[Site]"),_xlpm.ActCol,INDIRECT("tblSites[Site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9" s="9" cm="1">
        <f t="array" aca="1" ref="AB9" ca="1">IF(AB$5&lt;=TODAY(),0,IF($B9="","",IFERROR(_xlfn.LET(_xlpm.Site,$B9,_xlpm.SiteCol,INDIRECT("tblSites[Site]"),_xlpm.ActCol,INDIRECT("tblSites[Site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9" s="9" cm="1">
        <f t="array" aca="1" ref="AC9" ca="1">IF(AC$5&lt;=TODAY(),0,IF($B9="","",IFERROR(_xlfn.LET(_xlpm.Site,$B9,_xlpm.SiteCol,INDIRECT("tblSites[Site]"),_xlpm.ActCol,INDIRECT("tblSites[Site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0" spans="1:29" x14ac:dyDescent="0.25">
      <c r="A10" t="str">
        <v>Germany</v>
      </c>
      <c r="B10" t="str">
        <v>Germany2</v>
      </c>
      <c r="C10" s="9" cm="1">
        <f t="array" aca="1" ref="C10" ca="1">IF(C$5&lt;=TODAY(),0,IF($B10="","",IFERROR(_xlfn.LET(_xlpm.Site,$B10,_xlpm.SiteCol,INDIRECT("tblSites[Site]"),_xlpm.ActCol,INDIRECT("tblSites[Site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0" s="9" cm="1">
        <f t="array" aca="1" ref="D10" ca="1">IF(D$5&lt;=TODAY(),0,IF($B10="","",IFERROR(_xlfn.LET(_xlpm.Site,$B10,_xlpm.SiteCol,INDIRECT("tblSites[Site]"),_xlpm.ActCol,INDIRECT("tblSites[Site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0" s="9" cm="1">
        <f t="array" aca="1" ref="E10" ca="1">IF(E$5&lt;=TODAY(),0,IF($B10="","",IFERROR(_xlfn.LET(_xlpm.Site,$B10,_xlpm.SiteCol,INDIRECT("tblSites[Site]"),_xlpm.ActCol,INDIRECT("tblSites[Site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0" s="9" cm="1">
        <f t="array" aca="1" ref="F10" ca="1">IF(F$5&lt;=TODAY(),0,IF($B10="","",IFERROR(_xlfn.LET(_xlpm.Site,$B10,_xlpm.SiteCol,INDIRECT("tblSites[Site]"),_xlpm.ActCol,INDIRECT("tblSites[Site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0" s="9" cm="1">
        <f t="array" aca="1" ref="G10" ca="1">IF(G$5&lt;=TODAY(),0,IF($B10="","",IFERROR(_xlfn.LET(_xlpm.Site,$B10,_xlpm.SiteCol,INDIRECT("tblSites[Site]"),_xlpm.ActCol,INDIRECT("tblSites[Site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0" s="9" cm="1">
        <f t="array" aca="1" ref="H10" ca="1">IF(H$5&lt;=TODAY(),0,IF($B10="","",IFERROR(_xlfn.LET(_xlpm.Site,$B10,_xlpm.SiteCol,INDIRECT("tblSites[Site]"),_xlpm.ActCol,INDIRECT("tblSites[Site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0" s="9" cm="1">
        <f t="array" aca="1" ref="I10" ca="1">IF(I$5&lt;=TODAY(),0,IF($B10="","",IFERROR(_xlfn.LET(_xlpm.Site,$B10,_xlpm.SiteCol,INDIRECT("tblSites[Site]"),_xlpm.ActCol,INDIRECT("tblSites[Site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0" s="9" cm="1">
        <f t="array" aca="1" ref="J10" ca="1">IF(J$5&lt;=TODAY(),0,IF($B10="","",IFERROR(_xlfn.LET(_xlpm.Site,$B10,_xlpm.SiteCol,INDIRECT("tblSites[Site]"),_xlpm.ActCol,INDIRECT("tblSites[Site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10" s="9" cm="1">
        <f t="array" aca="1" ref="K10" ca="1">IF(K$5&lt;=TODAY(),0,IF($B10="","",IFERROR(_xlfn.LET(_xlpm.Site,$B10,_xlpm.SiteCol,INDIRECT("tblSites[Site]"),_xlpm.ActCol,INDIRECT("tblSites[Site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0" s="9" cm="1">
        <f t="array" aca="1" ref="L10" ca="1">IF(L$5&lt;=TODAY(),0,IF($B10="","",IFERROR(_xlfn.LET(_xlpm.Site,$B10,_xlpm.SiteCol,INDIRECT("tblSites[Site]"),_xlpm.ActCol,INDIRECT("tblSites[Site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0" s="9" cm="1">
        <f t="array" aca="1" ref="M10" ca="1">IF(M$5&lt;=TODAY(),0,IF($B10="","",IFERROR(_xlfn.LET(_xlpm.Site,$B10,_xlpm.SiteCol,INDIRECT("tblSites[Site]"),_xlpm.ActCol,INDIRECT("tblSites[Site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0" s="9" cm="1">
        <f t="array" aca="1" ref="N10" ca="1">IF(N$5&lt;=TODAY(),0,IF($B10="","",IFERROR(_xlfn.LET(_xlpm.Site,$B10,_xlpm.SiteCol,INDIRECT("tblSites[Site]"),_xlpm.ActCol,INDIRECT("tblSites[Site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0" s="9" cm="1">
        <f t="array" aca="1" ref="O10" ca="1">IF(O$5&lt;=TODAY(),0,IF($B10="","",IFERROR(_xlfn.LET(_xlpm.Site,$B10,_xlpm.SiteCol,INDIRECT("tblSites[Site]"),_xlpm.ActCol,INDIRECT("tblSites[Site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0" s="9" cm="1">
        <f t="array" aca="1" ref="P10" ca="1">IF(P$5&lt;=TODAY(),0,IF($B10="","",IFERROR(_xlfn.LET(_xlpm.Site,$B10,_xlpm.SiteCol,INDIRECT("tblSites[Site]"),_xlpm.ActCol,INDIRECT("tblSites[Site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0" s="9" cm="1">
        <f t="array" aca="1" ref="Q10" ca="1">IF(Q$5&lt;=TODAY(),0,IF($B10="","",IFERROR(_xlfn.LET(_xlpm.Site,$B10,_xlpm.SiteCol,INDIRECT("tblSites[Site]"),_xlpm.ActCol,INDIRECT("tblSites[Site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0" s="9" cm="1">
        <f t="array" aca="1" ref="R10" ca="1">IF(R$5&lt;=TODAY(),0,IF($B10="","",IFERROR(_xlfn.LET(_xlpm.Site,$B10,_xlpm.SiteCol,INDIRECT("tblSites[Site]"),_xlpm.ActCol,INDIRECT("tblSites[Site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0" s="9" cm="1">
        <f t="array" aca="1" ref="S10" ca="1">IF(S$5&lt;=TODAY(),0,IF($B10="","",IFERROR(_xlfn.LET(_xlpm.Site,$B10,_xlpm.SiteCol,INDIRECT("tblSites[Site]"),_xlpm.ActCol,INDIRECT("tblSites[Site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0" s="9" cm="1">
        <f t="array" aca="1" ref="T10" ca="1">IF(T$5&lt;=TODAY(),0,IF($B10="","",IFERROR(_xlfn.LET(_xlpm.Site,$B10,_xlpm.SiteCol,INDIRECT("tblSites[Site]"),_xlpm.ActCol,INDIRECT("tblSites[Site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0" s="9" cm="1">
        <f t="array" aca="1" ref="U10" ca="1">IF(U$5&lt;=TODAY(),0,IF($B10="","",IFERROR(_xlfn.LET(_xlpm.Site,$B10,_xlpm.SiteCol,INDIRECT("tblSites[Site]"),_xlpm.ActCol,INDIRECT("tblSites[Site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0" s="9" cm="1">
        <f t="array" aca="1" ref="V10" ca="1">IF(V$5&lt;=TODAY(),0,IF($B10="","",IFERROR(_xlfn.LET(_xlpm.Site,$B10,_xlpm.SiteCol,INDIRECT("tblSites[Site]"),_xlpm.ActCol,INDIRECT("tblSites[Site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0" s="9" cm="1">
        <f t="array" aca="1" ref="W10" ca="1">IF(W$5&lt;=TODAY(),0,IF($B10="","",IFERROR(_xlfn.LET(_xlpm.Site,$B10,_xlpm.SiteCol,INDIRECT("tblSites[Site]"),_xlpm.ActCol,INDIRECT("tblSites[Site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0" s="9" cm="1">
        <f t="array" aca="1" ref="X10" ca="1">IF(X$5&lt;=TODAY(),0,IF($B10="","",IFERROR(_xlfn.LET(_xlpm.Site,$B10,_xlpm.SiteCol,INDIRECT("tblSites[Site]"),_xlpm.ActCol,INDIRECT("tblSites[Site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0" s="9" cm="1">
        <f t="array" aca="1" ref="Y10" ca="1">IF(Y$5&lt;=TODAY(),0,IF($B10="","",IFERROR(_xlfn.LET(_xlpm.Site,$B10,_xlpm.SiteCol,INDIRECT("tblSites[Site]"),_xlpm.ActCol,INDIRECT("tblSites[Site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0" s="9" cm="1">
        <f t="array" aca="1" ref="Z10" ca="1">IF(Z$5&lt;=TODAY(),0,IF($B10="","",IFERROR(_xlfn.LET(_xlpm.Site,$B10,_xlpm.SiteCol,INDIRECT("tblSites[Site]"),_xlpm.ActCol,INDIRECT("tblSites[Site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0" s="9" cm="1">
        <f t="array" aca="1" ref="AA10" ca="1">IF(AA$5&lt;=TODAY(),0,IF($B10="","",IFERROR(_xlfn.LET(_xlpm.Site,$B10,_xlpm.SiteCol,INDIRECT("tblSites[Site]"),_xlpm.ActCol,INDIRECT("tblSites[Site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0" s="9" cm="1">
        <f t="array" aca="1" ref="AB10" ca="1">IF(AB$5&lt;=TODAY(),0,IF($B10="","",IFERROR(_xlfn.LET(_xlpm.Site,$B10,_xlpm.SiteCol,INDIRECT("tblSites[Site]"),_xlpm.ActCol,INDIRECT("tblSites[Site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0" s="9" cm="1">
        <f t="array" aca="1" ref="AC10" ca="1">IF(AC$5&lt;=TODAY(),0,IF($B10="","",IFERROR(_xlfn.LET(_xlpm.Site,$B10,_xlpm.SiteCol,INDIRECT("tblSites[Site]"),_xlpm.ActCol,INDIRECT("tblSites[Site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1" spans="1:29" x14ac:dyDescent="0.25">
      <c r="A11" t="str">
        <v>Germany</v>
      </c>
      <c r="B11" t="str">
        <v>Germany3</v>
      </c>
      <c r="C11" s="9" cm="1">
        <f t="array" aca="1" ref="C11" ca="1">IF(C$5&lt;=TODAY(),0,IF($B11="","",IFERROR(_xlfn.LET(_xlpm.Site,$B11,_xlpm.SiteCol,INDIRECT("tblSites[Site]"),_xlpm.ActCol,INDIRECT("tblSites[Site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1" s="9" cm="1">
        <f t="array" aca="1" ref="D11" ca="1">IF(D$5&lt;=TODAY(),0,IF($B11="","",IFERROR(_xlfn.LET(_xlpm.Site,$B11,_xlpm.SiteCol,INDIRECT("tblSites[Site]"),_xlpm.ActCol,INDIRECT("tblSites[Site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1" s="9" cm="1">
        <f t="array" aca="1" ref="E11" ca="1">IF(E$5&lt;=TODAY(),0,IF($B11="","",IFERROR(_xlfn.LET(_xlpm.Site,$B11,_xlpm.SiteCol,INDIRECT("tblSites[Site]"),_xlpm.ActCol,INDIRECT("tblSites[Site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1" s="9" cm="1">
        <f t="array" aca="1" ref="F11" ca="1">IF(F$5&lt;=TODAY(),0,IF($B11="","",IFERROR(_xlfn.LET(_xlpm.Site,$B11,_xlpm.SiteCol,INDIRECT("tblSites[Site]"),_xlpm.ActCol,INDIRECT("tblSites[Site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1" s="9" cm="1">
        <f t="array" aca="1" ref="G11" ca="1">IF(G$5&lt;=TODAY(),0,IF($B11="","",IFERROR(_xlfn.LET(_xlpm.Site,$B11,_xlpm.SiteCol,INDIRECT("tblSites[Site]"),_xlpm.ActCol,INDIRECT("tblSites[Site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1" s="9" cm="1">
        <f t="array" aca="1" ref="H11" ca="1">IF(H$5&lt;=TODAY(),0,IF($B11="","",IFERROR(_xlfn.LET(_xlpm.Site,$B11,_xlpm.SiteCol,INDIRECT("tblSites[Site]"),_xlpm.ActCol,INDIRECT("tblSites[Site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1" s="9" cm="1">
        <f t="array" aca="1" ref="I11" ca="1">IF(I$5&lt;=TODAY(),0,IF($B11="","",IFERROR(_xlfn.LET(_xlpm.Site,$B11,_xlpm.SiteCol,INDIRECT("tblSites[Site]"),_xlpm.ActCol,INDIRECT("tblSites[Site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1" s="9" cm="1">
        <f t="array" aca="1" ref="J11" ca="1">IF(J$5&lt;=TODAY(),0,IF($B11="","",IFERROR(_xlfn.LET(_xlpm.Site,$B11,_xlpm.SiteCol,INDIRECT("tblSites[Site]"),_xlpm.ActCol,INDIRECT("tblSites[Site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11" s="9" cm="1">
        <f t="array" aca="1" ref="K11" ca="1">IF(K$5&lt;=TODAY(),0,IF($B11="","",IFERROR(_xlfn.LET(_xlpm.Site,$B11,_xlpm.SiteCol,INDIRECT("tblSites[Site]"),_xlpm.ActCol,INDIRECT("tblSites[Site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1" s="9" cm="1">
        <f t="array" aca="1" ref="L11" ca="1">IF(L$5&lt;=TODAY(),0,IF($B11="","",IFERROR(_xlfn.LET(_xlpm.Site,$B11,_xlpm.SiteCol,INDIRECT("tblSites[Site]"),_xlpm.ActCol,INDIRECT("tblSites[Site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1" s="9" cm="1">
        <f t="array" aca="1" ref="M11" ca="1">IF(M$5&lt;=TODAY(),0,IF($B11="","",IFERROR(_xlfn.LET(_xlpm.Site,$B11,_xlpm.SiteCol,INDIRECT("tblSites[Site]"),_xlpm.ActCol,INDIRECT("tblSites[Site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1" s="9" cm="1">
        <f t="array" aca="1" ref="N11" ca="1">IF(N$5&lt;=TODAY(),0,IF($B11="","",IFERROR(_xlfn.LET(_xlpm.Site,$B11,_xlpm.SiteCol,INDIRECT("tblSites[Site]"),_xlpm.ActCol,INDIRECT("tblSites[Site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1" s="9" cm="1">
        <f t="array" aca="1" ref="O11" ca="1">IF(O$5&lt;=TODAY(),0,IF($B11="","",IFERROR(_xlfn.LET(_xlpm.Site,$B11,_xlpm.SiteCol,INDIRECT("tblSites[Site]"),_xlpm.ActCol,INDIRECT("tblSites[Site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1" s="9" cm="1">
        <f t="array" aca="1" ref="P11" ca="1">IF(P$5&lt;=TODAY(),0,IF($B11="","",IFERROR(_xlfn.LET(_xlpm.Site,$B11,_xlpm.SiteCol,INDIRECT("tblSites[Site]"),_xlpm.ActCol,INDIRECT("tblSites[Site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1" s="9" cm="1">
        <f t="array" aca="1" ref="Q11" ca="1">IF(Q$5&lt;=TODAY(),0,IF($B11="","",IFERROR(_xlfn.LET(_xlpm.Site,$B11,_xlpm.SiteCol,INDIRECT("tblSites[Site]"),_xlpm.ActCol,INDIRECT("tblSites[Site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1" s="9" cm="1">
        <f t="array" aca="1" ref="R11" ca="1">IF(R$5&lt;=TODAY(),0,IF($B11="","",IFERROR(_xlfn.LET(_xlpm.Site,$B11,_xlpm.SiteCol,INDIRECT("tblSites[Site]"),_xlpm.ActCol,INDIRECT("tblSites[Site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1" s="9" cm="1">
        <f t="array" aca="1" ref="S11" ca="1">IF(S$5&lt;=TODAY(),0,IF($B11="","",IFERROR(_xlfn.LET(_xlpm.Site,$B11,_xlpm.SiteCol,INDIRECT("tblSites[Site]"),_xlpm.ActCol,INDIRECT("tblSites[Site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1" s="9" cm="1">
        <f t="array" aca="1" ref="T11" ca="1">IF(T$5&lt;=TODAY(),0,IF($B11="","",IFERROR(_xlfn.LET(_xlpm.Site,$B11,_xlpm.SiteCol,INDIRECT("tblSites[Site]"),_xlpm.ActCol,INDIRECT("tblSites[Site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1" s="9" cm="1">
        <f t="array" aca="1" ref="U11" ca="1">IF(U$5&lt;=TODAY(),0,IF($B11="","",IFERROR(_xlfn.LET(_xlpm.Site,$B11,_xlpm.SiteCol,INDIRECT("tblSites[Site]"),_xlpm.ActCol,INDIRECT("tblSites[Site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1" s="9" cm="1">
        <f t="array" aca="1" ref="V11" ca="1">IF(V$5&lt;=TODAY(),0,IF($B11="","",IFERROR(_xlfn.LET(_xlpm.Site,$B11,_xlpm.SiteCol,INDIRECT("tblSites[Site]"),_xlpm.ActCol,INDIRECT("tblSites[Site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1" s="9" cm="1">
        <f t="array" aca="1" ref="W11" ca="1">IF(W$5&lt;=TODAY(),0,IF($B11="","",IFERROR(_xlfn.LET(_xlpm.Site,$B11,_xlpm.SiteCol,INDIRECT("tblSites[Site]"),_xlpm.ActCol,INDIRECT("tblSites[Site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1" s="9" cm="1">
        <f t="array" aca="1" ref="X11" ca="1">IF(X$5&lt;=TODAY(),0,IF($B11="","",IFERROR(_xlfn.LET(_xlpm.Site,$B11,_xlpm.SiteCol,INDIRECT("tblSites[Site]"),_xlpm.ActCol,INDIRECT("tblSites[Site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1" s="9" cm="1">
        <f t="array" aca="1" ref="Y11" ca="1">IF(Y$5&lt;=TODAY(),0,IF($B11="","",IFERROR(_xlfn.LET(_xlpm.Site,$B11,_xlpm.SiteCol,INDIRECT("tblSites[Site]"),_xlpm.ActCol,INDIRECT("tblSites[Site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1" s="9" cm="1">
        <f t="array" aca="1" ref="Z11" ca="1">IF(Z$5&lt;=TODAY(),0,IF($B11="","",IFERROR(_xlfn.LET(_xlpm.Site,$B11,_xlpm.SiteCol,INDIRECT("tblSites[Site]"),_xlpm.ActCol,INDIRECT("tblSites[Site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1" s="9" cm="1">
        <f t="array" aca="1" ref="AA11" ca="1">IF(AA$5&lt;=TODAY(),0,IF($B11="","",IFERROR(_xlfn.LET(_xlpm.Site,$B11,_xlpm.SiteCol,INDIRECT("tblSites[Site]"),_xlpm.ActCol,INDIRECT("tblSites[Site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1" s="9" cm="1">
        <f t="array" aca="1" ref="AB11" ca="1">IF(AB$5&lt;=TODAY(),0,IF($B11="","",IFERROR(_xlfn.LET(_xlpm.Site,$B11,_xlpm.SiteCol,INDIRECT("tblSites[Site]"),_xlpm.ActCol,INDIRECT("tblSites[Site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1" s="9" cm="1">
        <f t="array" aca="1" ref="AC11" ca="1">IF(AC$5&lt;=TODAY(),0,IF($B11="","",IFERROR(_xlfn.LET(_xlpm.Site,$B11,_xlpm.SiteCol,INDIRECT("tblSites[Site]"),_xlpm.ActCol,INDIRECT("tblSites[Site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2" spans="1:29" x14ac:dyDescent="0.25">
      <c r="A12" t="str">
        <v>Germany</v>
      </c>
      <c r="B12" t="str">
        <v>Germany4</v>
      </c>
      <c r="C12" s="9" cm="1">
        <f t="array" aca="1" ref="C12" ca="1">IF(C$5&lt;=TODAY(),0,IF($B12="","",IFERROR(_xlfn.LET(_xlpm.Site,$B12,_xlpm.SiteCol,INDIRECT("tblSites[Site]"),_xlpm.ActCol,INDIRECT("tblSites[Site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2" s="9" cm="1">
        <f t="array" aca="1" ref="D12" ca="1">IF(D$5&lt;=TODAY(),0,IF($B12="","",IFERROR(_xlfn.LET(_xlpm.Site,$B12,_xlpm.SiteCol,INDIRECT("tblSites[Site]"),_xlpm.ActCol,INDIRECT("tblSites[Site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2" s="9" cm="1">
        <f t="array" aca="1" ref="E12" ca="1">IF(E$5&lt;=TODAY(),0,IF($B12="","",IFERROR(_xlfn.LET(_xlpm.Site,$B12,_xlpm.SiteCol,INDIRECT("tblSites[Site]"),_xlpm.ActCol,INDIRECT("tblSites[Site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2" s="9" cm="1">
        <f t="array" aca="1" ref="F12" ca="1">IF(F$5&lt;=TODAY(),0,IF($B12="","",IFERROR(_xlfn.LET(_xlpm.Site,$B12,_xlpm.SiteCol,INDIRECT("tblSites[Site]"),_xlpm.ActCol,INDIRECT("tblSites[Site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2" s="9" cm="1">
        <f t="array" aca="1" ref="G12" ca="1">IF(G$5&lt;=TODAY(),0,IF($B12="","",IFERROR(_xlfn.LET(_xlpm.Site,$B12,_xlpm.SiteCol,INDIRECT("tblSites[Site]"),_xlpm.ActCol,INDIRECT("tblSites[Site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2" s="9" cm="1">
        <f t="array" aca="1" ref="H12" ca="1">IF(H$5&lt;=TODAY(),0,IF($B12="","",IFERROR(_xlfn.LET(_xlpm.Site,$B12,_xlpm.SiteCol,INDIRECT("tblSites[Site]"),_xlpm.ActCol,INDIRECT("tblSites[Site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2" s="9" cm="1">
        <f t="array" aca="1" ref="I12" ca="1">IF(I$5&lt;=TODAY(),0,IF($B12="","",IFERROR(_xlfn.LET(_xlpm.Site,$B12,_xlpm.SiteCol,INDIRECT("tblSites[Site]"),_xlpm.ActCol,INDIRECT("tblSites[Site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2" s="9" cm="1">
        <f t="array" aca="1" ref="J12" ca="1">IF(J$5&lt;=TODAY(),0,IF($B12="","",IFERROR(_xlfn.LET(_xlpm.Site,$B12,_xlpm.SiteCol,INDIRECT("tblSites[Site]"),_xlpm.ActCol,INDIRECT("tblSites[Site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12" s="9" cm="1">
        <f t="array" aca="1" ref="K12" ca="1">IF(K$5&lt;=TODAY(),0,IF($B12="","",IFERROR(_xlfn.LET(_xlpm.Site,$B12,_xlpm.SiteCol,INDIRECT("tblSites[Site]"),_xlpm.ActCol,INDIRECT("tblSites[Site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2" s="9" cm="1">
        <f t="array" aca="1" ref="L12" ca="1">IF(L$5&lt;=TODAY(),0,IF($B12="","",IFERROR(_xlfn.LET(_xlpm.Site,$B12,_xlpm.SiteCol,INDIRECT("tblSites[Site]"),_xlpm.ActCol,INDIRECT("tblSites[Site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2" s="9" cm="1">
        <f t="array" aca="1" ref="M12" ca="1">IF(M$5&lt;=TODAY(),0,IF($B12="","",IFERROR(_xlfn.LET(_xlpm.Site,$B12,_xlpm.SiteCol,INDIRECT("tblSites[Site]"),_xlpm.ActCol,INDIRECT("tblSites[Site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2" s="9" cm="1">
        <f t="array" aca="1" ref="N12" ca="1">IF(N$5&lt;=TODAY(),0,IF($B12="","",IFERROR(_xlfn.LET(_xlpm.Site,$B12,_xlpm.SiteCol,INDIRECT("tblSites[Site]"),_xlpm.ActCol,INDIRECT("tblSites[Site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2" s="9" cm="1">
        <f t="array" aca="1" ref="O12" ca="1">IF(O$5&lt;=TODAY(),0,IF($B12="","",IFERROR(_xlfn.LET(_xlpm.Site,$B12,_xlpm.SiteCol,INDIRECT("tblSites[Site]"),_xlpm.ActCol,INDIRECT("tblSites[Site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2" s="9" cm="1">
        <f t="array" aca="1" ref="P12" ca="1">IF(P$5&lt;=TODAY(),0,IF($B12="","",IFERROR(_xlfn.LET(_xlpm.Site,$B12,_xlpm.SiteCol,INDIRECT("tblSites[Site]"),_xlpm.ActCol,INDIRECT("tblSites[Site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2" s="9" cm="1">
        <f t="array" aca="1" ref="Q12" ca="1">IF(Q$5&lt;=TODAY(),0,IF($B12="","",IFERROR(_xlfn.LET(_xlpm.Site,$B12,_xlpm.SiteCol,INDIRECT("tblSites[Site]"),_xlpm.ActCol,INDIRECT("tblSites[Site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2" s="9" cm="1">
        <f t="array" aca="1" ref="R12" ca="1">IF(R$5&lt;=TODAY(),0,IF($B12="","",IFERROR(_xlfn.LET(_xlpm.Site,$B12,_xlpm.SiteCol,INDIRECT("tblSites[Site]"),_xlpm.ActCol,INDIRECT("tblSites[Site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2" s="9" cm="1">
        <f t="array" aca="1" ref="S12" ca="1">IF(S$5&lt;=TODAY(),0,IF($B12="","",IFERROR(_xlfn.LET(_xlpm.Site,$B12,_xlpm.SiteCol,INDIRECT("tblSites[Site]"),_xlpm.ActCol,INDIRECT("tblSites[Site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2" s="9" cm="1">
        <f t="array" aca="1" ref="T12" ca="1">IF(T$5&lt;=TODAY(),0,IF($B12="","",IFERROR(_xlfn.LET(_xlpm.Site,$B12,_xlpm.SiteCol,INDIRECT("tblSites[Site]"),_xlpm.ActCol,INDIRECT("tblSites[Site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2" s="9" cm="1">
        <f t="array" aca="1" ref="U12" ca="1">IF(U$5&lt;=TODAY(),0,IF($B12="","",IFERROR(_xlfn.LET(_xlpm.Site,$B12,_xlpm.SiteCol,INDIRECT("tblSites[Site]"),_xlpm.ActCol,INDIRECT("tblSites[Site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2" s="9" cm="1">
        <f t="array" aca="1" ref="V12" ca="1">IF(V$5&lt;=TODAY(),0,IF($B12="","",IFERROR(_xlfn.LET(_xlpm.Site,$B12,_xlpm.SiteCol,INDIRECT("tblSites[Site]"),_xlpm.ActCol,INDIRECT("tblSites[Site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2" s="9" cm="1">
        <f t="array" aca="1" ref="W12" ca="1">IF(W$5&lt;=TODAY(),0,IF($B12="","",IFERROR(_xlfn.LET(_xlpm.Site,$B12,_xlpm.SiteCol,INDIRECT("tblSites[Site]"),_xlpm.ActCol,INDIRECT("tblSites[Site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2" s="9" cm="1">
        <f t="array" aca="1" ref="X12" ca="1">IF(X$5&lt;=TODAY(),0,IF($B12="","",IFERROR(_xlfn.LET(_xlpm.Site,$B12,_xlpm.SiteCol,INDIRECT("tblSites[Site]"),_xlpm.ActCol,INDIRECT("tblSites[Site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2" s="9" cm="1">
        <f t="array" aca="1" ref="Y12" ca="1">IF(Y$5&lt;=TODAY(),0,IF($B12="","",IFERROR(_xlfn.LET(_xlpm.Site,$B12,_xlpm.SiteCol,INDIRECT("tblSites[Site]"),_xlpm.ActCol,INDIRECT("tblSites[Site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2" s="9" cm="1">
        <f t="array" aca="1" ref="Z12" ca="1">IF(Z$5&lt;=TODAY(),0,IF($B12="","",IFERROR(_xlfn.LET(_xlpm.Site,$B12,_xlpm.SiteCol,INDIRECT("tblSites[Site]"),_xlpm.ActCol,INDIRECT("tblSites[Site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2" s="9" cm="1">
        <f t="array" aca="1" ref="AA12" ca="1">IF(AA$5&lt;=TODAY(),0,IF($B12="","",IFERROR(_xlfn.LET(_xlpm.Site,$B12,_xlpm.SiteCol,INDIRECT("tblSites[Site]"),_xlpm.ActCol,INDIRECT("tblSites[Site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2" s="9" cm="1">
        <f t="array" aca="1" ref="AB12" ca="1">IF(AB$5&lt;=TODAY(),0,IF($B12="","",IFERROR(_xlfn.LET(_xlpm.Site,$B12,_xlpm.SiteCol,INDIRECT("tblSites[Site]"),_xlpm.ActCol,INDIRECT("tblSites[Site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2" s="9" cm="1">
        <f t="array" aca="1" ref="AC12" ca="1">IF(AC$5&lt;=TODAY(),0,IF($B12="","",IFERROR(_xlfn.LET(_xlpm.Site,$B12,_xlpm.SiteCol,INDIRECT("tblSites[Site]"),_xlpm.ActCol,INDIRECT("tblSites[Site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3" spans="1:29" x14ac:dyDescent="0.25">
      <c r="A13" t="str">
        <v>Germany</v>
      </c>
      <c r="B13" t="str">
        <v>Germany5</v>
      </c>
      <c r="C13" s="9" cm="1">
        <f t="array" aca="1" ref="C13" ca="1">IF(C$5&lt;=TODAY(),0,IF($B13="","",IFERROR(_xlfn.LET(_xlpm.Site,$B13,_xlpm.SiteCol,INDIRECT("tblSites[Site]"),_xlpm.ActCol,INDIRECT("tblSites[Site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3" s="9" cm="1">
        <f t="array" aca="1" ref="D13" ca="1">IF(D$5&lt;=TODAY(),0,IF($B13="","",IFERROR(_xlfn.LET(_xlpm.Site,$B13,_xlpm.SiteCol,INDIRECT("tblSites[Site]"),_xlpm.ActCol,INDIRECT("tblSites[Site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3" s="9" cm="1">
        <f t="array" aca="1" ref="E13" ca="1">IF(E$5&lt;=TODAY(),0,IF($B13="","",IFERROR(_xlfn.LET(_xlpm.Site,$B13,_xlpm.SiteCol,INDIRECT("tblSites[Site]"),_xlpm.ActCol,INDIRECT("tblSites[Site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3" s="9" cm="1">
        <f t="array" aca="1" ref="F13" ca="1">IF(F$5&lt;=TODAY(),0,IF($B13="","",IFERROR(_xlfn.LET(_xlpm.Site,$B13,_xlpm.SiteCol,INDIRECT("tblSites[Site]"),_xlpm.ActCol,INDIRECT("tblSites[Site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3" s="9" cm="1">
        <f t="array" aca="1" ref="G13" ca="1">IF(G$5&lt;=TODAY(),0,IF($B13="","",IFERROR(_xlfn.LET(_xlpm.Site,$B13,_xlpm.SiteCol,INDIRECT("tblSites[Site]"),_xlpm.ActCol,INDIRECT("tblSites[Site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3" s="9" cm="1">
        <f t="array" aca="1" ref="H13" ca="1">IF(H$5&lt;=TODAY(),0,IF($B13="","",IFERROR(_xlfn.LET(_xlpm.Site,$B13,_xlpm.SiteCol,INDIRECT("tblSites[Site]"),_xlpm.ActCol,INDIRECT("tblSites[Site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3" s="9" cm="1">
        <f t="array" aca="1" ref="I13" ca="1">IF(I$5&lt;=TODAY(),0,IF($B13="","",IFERROR(_xlfn.LET(_xlpm.Site,$B13,_xlpm.SiteCol,INDIRECT("tblSites[Site]"),_xlpm.ActCol,INDIRECT("tblSites[Site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3" s="9" cm="1">
        <f t="array" aca="1" ref="J13" ca="1">IF(J$5&lt;=TODAY(),0,IF($B13="","",IFERROR(_xlfn.LET(_xlpm.Site,$B13,_xlpm.SiteCol,INDIRECT("tblSites[Site]"),_xlpm.ActCol,INDIRECT("tblSites[Site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13" s="9" cm="1">
        <f t="array" aca="1" ref="K13" ca="1">IF(K$5&lt;=TODAY(),0,IF($B13="","",IFERROR(_xlfn.LET(_xlpm.Site,$B13,_xlpm.SiteCol,INDIRECT("tblSites[Site]"),_xlpm.ActCol,INDIRECT("tblSites[Site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3" s="9" cm="1">
        <f t="array" aca="1" ref="L13" ca="1">IF(L$5&lt;=TODAY(),0,IF($B13="","",IFERROR(_xlfn.LET(_xlpm.Site,$B13,_xlpm.SiteCol,INDIRECT("tblSites[Site]"),_xlpm.ActCol,INDIRECT("tblSites[Site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3" s="9" cm="1">
        <f t="array" aca="1" ref="M13" ca="1">IF(M$5&lt;=TODAY(),0,IF($B13="","",IFERROR(_xlfn.LET(_xlpm.Site,$B13,_xlpm.SiteCol,INDIRECT("tblSites[Site]"),_xlpm.ActCol,INDIRECT("tblSites[Site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3" s="9" cm="1">
        <f t="array" aca="1" ref="N13" ca="1">IF(N$5&lt;=TODAY(),0,IF($B13="","",IFERROR(_xlfn.LET(_xlpm.Site,$B13,_xlpm.SiteCol,INDIRECT("tblSites[Site]"),_xlpm.ActCol,INDIRECT("tblSites[Site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3" s="9" cm="1">
        <f t="array" aca="1" ref="O13" ca="1">IF(O$5&lt;=TODAY(),0,IF($B13="","",IFERROR(_xlfn.LET(_xlpm.Site,$B13,_xlpm.SiteCol,INDIRECT("tblSites[Site]"),_xlpm.ActCol,INDIRECT("tblSites[Site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3" s="9" cm="1">
        <f t="array" aca="1" ref="P13" ca="1">IF(P$5&lt;=TODAY(),0,IF($B13="","",IFERROR(_xlfn.LET(_xlpm.Site,$B13,_xlpm.SiteCol,INDIRECT("tblSites[Site]"),_xlpm.ActCol,INDIRECT("tblSites[Site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13" s="9" cm="1">
        <f t="array" aca="1" ref="Q13" ca="1">IF(Q$5&lt;=TODAY(),0,IF($B13="","",IFERROR(_xlfn.LET(_xlpm.Site,$B13,_xlpm.SiteCol,INDIRECT("tblSites[Site]"),_xlpm.ActCol,INDIRECT("tblSites[Site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3" s="9" cm="1">
        <f t="array" aca="1" ref="R13" ca="1">IF(R$5&lt;=TODAY(),0,IF($B13="","",IFERROR(_xlfn.LET(_xlpm.Site,$B13,_xlpm.SiteCol,INDIRECT("tblSites[Site]"),_xlpm.ActCol,INDIRECT("tblSites[Site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3" s="9" cm="1">
        <f t="array" aca="1" ref="S13" ca="1">IF(S$5&lt;=TODAY(),0,IF($B13="","",IFERROR(_xlfn.LET(_xlpm.Site,$B13,_xlpm.SiteCol,INDIRECT("tblSites[Site]"),_xlpm.ActCol,INDIRECT("tblSites[Site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3" s="9" cm="1">
        <f t="array" aca="1" ref="T13" ca="1">IF(T$5&lt;=TODAY(),0,IF($B13="","",IFERROR(_xlfn.LET(_xlpm.Site,$B13,_xlpm.SiteCol,INDIRECT("tblSites[Site]"),_xlpm.ActCol,INDIRECT("tblSites[Site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3" s="9" cm="1">
        <f t="array" aca="1" ref="U13" ca="1">IF(U$5&lt;=TODAY(),0,IF($B13="","",IFERROR(_xlfn.LET(_xlpm.Site,$B13,_xlpm.SiteCol,INDIRECT("tblSites[Site]"),_xlpm.ActCol,INDIRECT("tblSites[Site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3" s="9" cm="1">
        <f t="array" aca="1" ref="V13" ca="1">IF(V$5&lt;=TODAY(),0,IF($B13="","",IFERROR(_xlfn.LET(_xlpm.Site,$B13,_xlpm.SiteCol,INDIRECT("tblSites[Site]"),_xlpm.ActCol,INDIRECT("tblSites[Site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3" s="9" cm="1">
        <f t="array" aca="1" ref="W13" ca="1">IF(W$5&lt;=TODAY(),0,IF($B13="","",IFERROR(_xlfn.LET(_xlpm.Site,$B13,_xlpm.SiteCol,INDIRECT("tblSites[Site]"),_xlpm.ActCol,INDIRECT("tblSites[Site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3" s="9" cm="1">
        <f t="array" aca="1" ref="X13" ca="1">IF(X$5&lt;=TODAY(),0,IF($B13="","",IFERROR(_xlfn.LET(_xlpm.Site,$B13,_xlpm.SiteCol,INDIRECT("tblSites[Site]"),_xlpm.ActCol,INDIRECT("tblSites[Site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3" s="9" cm="1">
        <f t="array" aca="1" ref="Y13" ca="1">IF(Y$5&lt;=TODAY(),0,IF($B13="","",IFERROR(_xlfn.LET(_xlpm.Site,$B13,_xlpm.SiteCol,INDIRECT("tblSites[Site]"),_xlpm.ActCol,INDIRECT("tblSites[Site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3" s="9" cm="1">
        <f t="array" aca="1" ref="Z13" ca="1">IF(Z$5&lt;=TODAY(),0,IF($B13="","",IFERROR(_xlfn.LET(_xlpm.Site,$B13,_xlpm.SiteCol,INDIRECT("tblSites[Site]"),_xlpm.ActCol,INDIRECT("tblSites[Site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3" s="9" cm="1">
        <f t="array" aca="1" ref="AA13" ca="1">IF(AA$5&lt;=TODAY(),0,IF($B13="","",IFERROR(_xlfn.LET(_xlpm.Site,$B13,_xlpm.SiteCol,INDIRECT("tblSites[Site]"),_xlpm.ActCol,INDIRECT("tblSites[Site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3" s="9" cm="1">
        <f t="array" aca="1" ref="AB13" ca="1">IF(AB$5&lt;=TODAY(),0,IF($B13="","",IFERROR(_xlfn.LET(_xlpm.Site,$B13,_xlpm.SiteCol,INDIRECT("tblSites[Site]"),_xlpm.ActCol,INDIRECT("tblSites[Site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3" s="9" cm="1">
        <f t="array" aca="1" ref="AC13" ca="1">IF(AC$5&lt;=TODAY(),0,IF($B13="","",IFERROR(_xlfn.LET(_xlpm.Site,$B13,_xlpm.SiteCol,INDIRECT("tblSites[Site]"),_xlpm.ActCol,INDIRECT("tblSites[Site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4" spans="1:29" x14ac:dyDescent="0.25">
      <c r="A14" t="str">
        <v>Germany</v>
      </c>
      <c r="B14" t="str">
        <v>Germany6</v>
      </c>
      <c r="C14" s="9" cm="1">
        <f t="array" aca="1" ref="C14" ca="1">IF(C$5&lt;=TODAY(),0,IF($B14="","",IFERROR(_xlfn.LET(_xlpm.Site,$B14,_xlpm.SiteCol,INDIRECT("tblSites[Site]"),_xlpm.ActCol,INDIRECT("tblSites[Site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4" s="9" cm="1">
        <f t="array" aca="1" ref="D14" ca="1">IF(D$5&lt;=TODAY(),0,IF($B14="","",IFERROR(_xlfn.LET(_xlpm.Site,$B14,_xlpm.SiteCol,INDIRECT("tblSites[Site]"),_xlpm.ActCol,INDIRECT("tblSites[Site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4" s="9" cm="1">
        <f t="array" aca="1" ref="E14" ca="1">IF(E$5&lt;=TODAY(),0,IF($B14="","",IFERROR(_xlfn.LET(_xlpm.Site,$B14,_xlpm.SiteCol,INDIRECT("tblSites[Site]"),_xlpm.ActCol,INDIRECT("tblSites[Site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4" s="9" cm="1">
        <f t="array" aca="1" ref="F14" ca="1">IF(F$5&lt;=TODAY(),0,IF($B14="","",IFERROR(_xlfn.LET(_xlpm.Site,$B14,_xlpm.SiteCol,INDIRECT("tblSites[Site]"),_xlpm.ActCol,INDIRECT("tblSites[Site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4" s="9" cm="1">
        <f t="array" aca="1" ref="G14" ca="1">IF(G$5&lt;=TODAY(),0,IF($B14="","",IFERROR(_xlfn.LET(_xlpm.Site,$B14,_xlpm.SiteCol,INDIRECT("tblSites[Site]"),_xlpm.ActCol,INDIRECT("tblSites[Site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4" s="9" cm="1">
        <f t="array" aca="1" ref="H14" ca="1">IF(H$5&lt;=TODAY(),0,IF($B14="","",IFERROR(_xlfn.LET(_xlpm.Site,$B14,_xlpm.SiteCol,INDIRECT("tblSites[Site]"),_xlpm.ActCol,INDIRECT("tblSites[Site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4" s="9" cm="1">
        <f t="array" aca="1" ref="I14" ca="1">IF(I$5&lt;=TODAY(),0,IF($B14="","",IFERROR(_xlfn.LET(_xlpm.Site,$B14,_xlpm.SiteCol,INDIRECT("tblSites[Site]"),_xlpm.ActCol,INDIRECT("tblSites[Site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4" s="9" cm="1">
        <f t="array" aca="1" ref="J14" ca="1">IF(J$5&lt;=TODAY(),0,IF($B14="","",IFERROR(_xlfn.LET(_xlpm.Site,$B14,_xlpm.SiteCol,INDIRECT("tblSites[Site]"),_xlpm.ActCol,INDIRECT("tblSites[Site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14" s="9" cm="1">
        <f t="array" aca="1" ref="K14" ca="1">IF(K$5&lt;=TODAY(),0,IF($B14="","",IFERROR(_xlfn.LET(_xlpm.Site,$B14,_xlpm.SiteCol,INDIRECT("tblSites[Site]"),_xlpm.ActCol,INDIRECT("tblSites[Site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0</v>
      </c>
      <c r="L14" s="9" cm="1">
        <f t="array" aca="1" ref="L14" ca="1">IF(L$5&lt;=TODAY(),0,IF($B14="","",IFERROR(_xlfn.LET(_xlpm.Site,$B14,_xlpm.SiteCol,INDIRECT("tblSites[Site]"),_xlpm.ActCol,INDIRECT("tblSites[Site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0</v>
      </c>
      <c r="M14" s="9" cm="1">
        <f t="array" aca="1" ref="M14" ca="1">IF(M$5&lt;=TODAY(),0,IF($B14="","",IFERROR(_xlfn.LET(_xlpm.Site,$B14,_xlpm.SiteCol,INDIRECT("tblSites[Site]"),_xlpm.ActCol,INDIRECT("tblSites[Site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4" s="9" cm="1">
        <f t="array" aca="1" ref="N14" ca="1">IF(N$5&lt;=TODAY(),0,IF($B14="","",IFERROR(_xlfn.LET(_xlpm.Site,$B14,_xlpm.SiteCol,INDIRECT("tblSites[Site]"),_xlpm.ActCol,INDIRECT("tblSites[Site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4" s="9" cm="1">
        <f t="array" aca="1" ref="O14" ca="1">IF(O$5&lt;=TODAY(),0,IF($B14="","",IFERROR(_xlfn.LET(_xlpm.Site,$B14,_xlpm.SiteCol,INDIRECT("tblSites[Site]"),_xlpm.ActCol,INDIRECT("tblSites[Site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4" s="9" cm="1">
        <f t="array" aca="1" ref="P14" ca="1">IF(P$5&lt;=TODAY(),0,IF($B14="","",IFERROR(_xlfn.LET(_xlpm.Site,$B14,_xlpm.SiteCol,INDIRECT("tblSites[Site]"),_xlpm.ActCol,INDIRECT("tblSites[Site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14" s="9" cm="1">
        <f t="array" aca="1" ref="Q14" ca="1">IF(Q$5&lt;=TODAY(),0,IF($B14="","",IFERROR(_xlfn.LET(_xlpm.Site,$B14,_xlpm.SiteCol,INDIRECT("tblSites[Site]"),_xlpm.ActCol,INDIRECT("tblSites[Site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14" s="9" cm="1">
        <f t="array" aca="1" ref="R14" ca="1">IF(R$5&lt;=TODAY(),0,IF($B14="","",IFERROR(_xlfn.LET(_xlpm.Site,$B14,_xlpm.SiteCol,INDIRECT("tblSites[Site]"),_xlpm.ActCol,INDIRECT("tblSites[Site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1</v>
      </c>
      <c r="S14" s="9" cm="1">
        <f t="array" aca="1" ref="S14" ca="1">IF(S$5&lt;=TODAY(),0,IF($B14="","",IFERROR(_xlfn.LET(_xlpm.Site,$B14,_xlpm.SiteCol,INDIRECT("tblSites[Site]"),_xlpm.ActCol,INDIRECT("tblSites[Site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4" s="9" cm="1">
        <f t="array" aca="1" ref="T14" ca="1">IF(T$5&lt;=TODAY(),0,IF($B14="","",IFERROR(_xlfn.LET(_xlpm.Site,$B14,_xlpm.SiteCol,INDIRECT("tblSites[Site]"),_xlpm.ActCol,INDIRECT("tblSites[Site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4" s="9" cm="1">
        <f t="array" aca="1" ref="U14" ca="1">IF(U$5&lt;=TODAY(),0,IF($B14="","",IFERROR(_xlfn.LET(_xlpm.Site,$B14,_xlpm.SiteCol,INDIRECT("tblSites[Site]"),_xlpm.ActCol,INDIRECT("tblSites[Site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4" s="9" cm="1">
        <f t="array" aca="1" ref="V14" ca="1">IF(V$5&lt;=TODAY(),0,IF($B14="","",IFERROR(_xlfn.LET(_xlpm.Site,$B14,_xlpm.SiteCol,INDIRECT("tblSites[Site]"),_xlpm.ActCol,INDIRECT("tblSites[Site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4" s="9" cm="1">
        <f t="array" aca="1" ref="W14" ca="1">IF(W$5&lt;=TODAY(),0,IF($B14="","",IFERROR(_xlfn.LET(_xlpm.Site,$B14,_xlpm.SiteCol,INDIRECT("tblSites[Site]"),_xlpm.ActCol,INDIRECT("tblSites[Site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4" s="9" cm="1">
        <f t="array" aca="1" ref="X14" ca="1">IF(X$5&lt;=TODAY(),0,IF($B14="","",IFERROR(_xlfn.LET(_xlpm.Site,$B14,_xlpm.SiteCol,INDIRECT("tblSites[Site]"),_xlpm.ActCol,INDIRECT("tblSites[Site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4" s="9" cm="1">
        <f t="array" aca="1" ref="Y14" ca="1">IF(Y$5&lt;=TODAY(),0,IF($B14="","",IFERROR(_xlfn.LET(_xlpm.Site,$B14,_xlpm.SiteCol,INDIRECT("tblSites[Site]"),_xlpm.ActCol,INDIRECT("tblSites[Site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4" s="9" cm="1">
        <f t="array" aca="1" ref="Z14" ca="1">IF(Z$5&lt;=TODAY(),0,IF($B14="","",IFERROR(_xlfn.LET(_xlpm.Site,$B14,_xlpm.SiteCol,INDIRECT("tblSites[Site]"),_xlpm.ActCol,INDIRECT("tblSites[Site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4" s="9" cm="1">
        <f t="array" aca="1" ref="AA14" ca="1">IF(AA$5&lt;=TODAY(),0,IF($B14="","",IFERROR(_xlfn.LET(_xlpm.Site,$B14,_xlpm.SiteCol,INDIRECT("tblSites[Site]"),_xlpm.ActCol,INDIRECT("tblSites[Site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4" s="9" cm="1">
        <f t="array" aca="1" ref="AB14" ca="1">IF(AB$5&lt;=TODAY(),0,IF($B14="","",IFERROR(_xlfn.LET(_xlpm.Site,$B14,_xlpm.SiteCol,INDIRECT("tblSites[Site]"),_xlpm.ActCol,INDIRECT("tblSites[Site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4" s="9" cm="1">
        <f t="array" aca="1" ref="AC14" ca="1">IF(AC$5&lt;=TODAY(),0,IF($B14="","",IFERROR(_xlfn.LET(_xlpm.Site,$B14,_xlpm.SiteCol,INDIRECT("tblSites[Site]"),_xlpm.ActCol,INDIRECT("tblSites[Site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5" spans="1:29" x14ac:dyDescent="0.25">
      <c r="A15" t="str">
        <v>Germany</v>
      </c>
      <c r="B15" t="str">
        <v>Germany7</v>
      </c>
      <c r="C15" s="9" cm="1">
        <f t="array" aca="1" ref="C15" ca="1">IF(C$5&lt;=TODAY(),0,IF($B15="","",IFERROR(_xlfn.LET(_xlpm.Site,$B15,_xlpm.SiteCol,INDIRECT("tblSites[Site]"),_xlpm.ActCol,INDIRECT("tblSites[Site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5" s="9" cm="1">
        <f t="array" aca="1" ref="D15" ca="1">IF(D$5&lt;=TODAY(),0,IF($B15="","",IFERROR(_xlfn.LET(_xlpm.Site,$B15,_xlpm.SiteCol,INDIRECT("tblSites[Site]"),_xlpm.ActCol,INDIRECT("tblSites[Site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5" s="9" cm="1">
        <f t="array" aca="1" ref="E15" ca="1">IF(E$5&lt;=TODAY(),0,IF($B15="","",IFERROR(_xlfn.LET(_xlpm.Site,$B15,_xlpm.SiteCol,INDIRECT("tblSites[Site]"),_xlpm.ActCol,INDIRECT("tblSites[Site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5" s="9" cm="1">
        <f t="array" aca="1" ref="F15" ca="1">IF(F$5&lt;=TODAY(),0,IF($B15="","",IFERROR(_xlfn.LET(_xlpm.Site,$B15,_xlpm.SiteCol,INDIRECT("tblSites[Site]"),_xlpm.ActCol,INDIRECT("tblSites[Site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5" s="9" cm="1">
        <f t="array" aca="1" ref="G15" ca="1">IF(G$5&lt;=TODAY(),0,IF($B15="","",IFERROR(_xlfn.LET(_xlpm.Site,$B15,_xlpm.SiteCol,INDIRECT("tblSites[Site]"),_xlpm.ActCol,INDIRECT("tblSites[Site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5" s="9" cm="1">
        <f t="array" aca="1" ref="H15" ca="1">IF(H$5&lt;=TODAY(),0,IF($B15="","",IFERROR(_xlfn.LET(_xlpm.Site,$B15,_xlpm.SiteCol,INDIRECT("tblSites[Site]"),_xlpm.ActCol,INDIRECT("tblSites[Site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5" s="9" cm="1">
        <f t="array" aca="1" ref="I15" ca="1">IF(I$5&lt;=TODAY(),0,IF($B15="","",IFERROR(_xlfn.LET(_xlpm.Site,$B15,_xlpm.SiteCol,INDIRECT("tblSites[Site]"),_xlpm.ActCol,INDIRECT("tblSites[Site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5" s="9" cm="1">
        <f t="array" aca="1" ref="J15" ca="1">IF(J$5&lt;=TODAY(),0,IF($B15="","",IFERROR(_xlfn.LET(_xlpm.Site,$B15,_xlpm.SiteCol,INDIRECT("tblSites[Site]"),_xlpm.ActCol,INDIRECT("tblSites[Site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15" s="9" cm="1">
        <f t="array" aca="1" ref="K15" ca="1">IF(K$5&lt;=TODAY(),0,IF($B15="","",IFERROR(_xlfn.LET(_xlpm.Site,$B15,_xlpm.SiteCol,INDIRECT("tblSites[Site]"),_xlpm.ActCol,INDIRECT("tblSites[Site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0</v>
      </c>
      <c r="L15" s="9" cm="1">
        <f t="array" aca="1" ref="L15" ca="1">IF(L$5&lt;=TODAY(),0,IF($B15="","",IFERROR(_xlfn.LET(_xlpm.Site,$B15,_xlpm.SiteCol,INDIRECT("tblSites[Site]"),_xlpm.ActCol,INDIRECT("tblSites[Site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0</v>
      </c>
      <c r="M15" s="9" cm="1">
        <f t="array" aca="1" ref="M15" ca="1">IF(M$5&lt;=TODAY(),0,IF($B15="","",IFERROR(_xlfn.LET(_xlpm.Site,$B15,_xlpm.SiteCol,INDIRECT("tblSites[Site]"),_xlpm.ActCol,INDIRECT("tblSites[Site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0</v>
      </c>
      <c r="N15" s="9" cm="1">
        <f t="array" aca="1" ref="N15" ca="1">IF(N$5&lt;=TODAY(),0,IF($B15="","",IFERROR(_xlfn.LET(_xlpm.Site,$B15,_xlpm.SiteCol,INDIRECT("tblSites[Site]"),_xlpm.ActCol,INDIRECT("tblSites[Site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5" s="9" cm="1">
        <f t="array" aca="1" ref="O15" ca="1">IF(O$5&lt;=TODAY(),0,IF($B15="","",IFERROR(_xlfn.LET(_xlpm.Site,$B15,_xlpm.SiteCol,INDIRECT("tblSites[Site]"),_xlpm.ActCol,INDIRECT("tblSites[Site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5" s="9" cm="1">
        <f t="array" aca="1" ref="P15" ca="1">IF(P$5&lt;=TODAY(),0,IF($B15="","",IFERROR(_xlfn.LET(_xlpm.Site,$B15,_xlpm.SiteCol,INDIRECT("tblSites[Site]"),_xlpm.ActCol,INDIRECT("tblSites[Site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15" s="9" cm="1">
        <f t="array" aca="1" ref="Q15" ca="1">IF(Q$5&lt;=TODAY(),0,IF($B15="","",IFERROR(_xlfn.LET(_xlpm.Site,$B15,_xlpm.SiteCol,INDIRECT("tblSites[Site]"),_xlpm.ActCol,INDIRECT("tblSites[Site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15" s="9" cm="1">
        <f t="array" aca="1" ref="R15" ca="1">IF(R$5&lt;=TODAY(),0,IF($B15="","",IFERROR(_xlfn.LET(_xlpm.Site,$B15,_xlpm.SiteCol,INDIRECT("tblSites[Site]"),_xlpm.ActCol,INDIRECT("tblSites[Site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1</v>
      </c>
      <c r="S15" s="9" cm="1">
        <f t="array" aca="1" ref="S15" ca="1">IF(S$5&lt;=TODAY(),0,IF($B15="","",IFERROR(_xlfn.LET(_xlpm.Site,$B15,_xlpm.SiteCol,INDIRECT("tblSites[Site]"),_xlpm.ActCol,INDIRECT("tblSites[Site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1</v>
      </c>
      <c r="T15" s="9" cm="1">
        <f t="array" aca="1" ref="T15" ca="1">IF(T$5&lt;=TODAY(),0,IF($B15="","",IFERROR(_xlfn.LET(_xlpm.Site,$B15,_xlpm.SiteCol,INDIRECT("tblSites[Site]"),_xlpm.ActCol,INDIRECT("tblSites[Site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5" s="9" cm="1">
        <f t="array" aca="1" ref="U15" ca="1">IF(U$5&lt;=TODAY(),0,IF($B15="","",IFERROR(_xlfn.LET(_xlpm.Site,$B15,_xlpm.SiteCol,INDIRECT("tblSites[Site]"),_xlpm.ActCol,INDIRECT("tblSites[Site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5" s="9" cm="1">
        <f t="array" aca="1" ref="V15" ca="1">IF(V$5&lt;=TODAY(),0,IF($B15="","",IFERROR(_xlfn.LET(_xlpm.Site,$B15,_xlpm.SiteCol,INDIRECT("tblSites[Site]"),_xlpm.ActCol,INDIRECT("tblSites[Site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5" s="9" cm="1">
        <f t="array" aca="1" ref="W15" ca="1">IF(W$5&lt;=TODAY(),0,IF($B15="","",IFERROR(_xlfn.LET(_xlpm.Site,$B15,_xlpm.SiteCol,INDIRECT("tblSites[Site]"),_xlpm.ActCol,INDIRECT("tblSites[Site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5" s="9" cm="1">
        <f t="array" aca="1" ref="X15" ca="1">IF(X$5&lt;=TODAY(),0,IF($B15="","",IFERROR(_xlfn.LET(_xlpm.Site,$B15,_xlpm.SiteCol,INDIRECT("tblSites[Site]"),_xlpm.ActCol,INDIRECT("tblSites[Site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5" s="9" cm="1">
        <f t="array" aca="1" ref="Y15" ca="1">IF(Y$5&lt;=TODAY(),0,IF($B15="","",IFERROR(_xlfn.LET(_xlpm.Site,$B15,_xlpm.SiteCol,INDIRECT("tblSites[Site]"),_xlpm.ActCol,INDIRECT("tblSites[Site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5" s="9" cm="1">
        <f t="array" aca="1" ref="Z15" ca="1">IF(Z$5&lt;=TODAY(),0,IF($B15="","",IFERROR(_xlfn.LET(_xlpm.Site,$B15,_xlpm.SiteCol,INDIRECT("tblSites[Site]"),_xlpm.ActCol,INDIRECT("tblSites[Site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5" s="9" cm="1">
        <f t="array" aca="1" ref="AA15" ca="1">IF(AA$5&lt;=TODAY(),0,IF($B15="","",IFERROR(_xlfn.LET(_xlpm.Site,$B15,_xlpm.SiteCol,INDIRECT("tblSites[Site]"),_xlpm.ActCol,INDIRECT("tblSites[Site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5" s="9" cm="1">
        <f t="array" aca="1" ref="AB15" ca="1">IF(AB$5&lt;=TODAY(),0,IF($B15="","",IFERROR(_xlfn.LET(_xlpm.Site,$B15,_xlpm.SiteCol,INDIRECT("tblSites[Site]"),_xlpm.ActCol,INDIRECT("tblSites[Site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5" s="9" cm="1">
        <f t="array" aca="1" ref="AC15" ca="1">IF(AC$5&lt;=TODAY(),0,IF($B15="","",IFERROR(_xlfn.LET(_xlpm.Site,$B15,_xlpm.SiteCol,INDIRECT("tblSites[Site]"),_xlpm.ActCol,INDIRECT("tblSites[Site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6" spans="1:29" x14ac:dyDescent="0.25">
      <c r="A16" t="str">
        <v>Germany</v>
      </c>
      <c r="B16" t="str">
        <v>Germany8</v>
      </c>
      <c r="C16" s="9" cm="1">
        <f t="array" aca="1" ref="C16" ca="1">IF(C$5&lt;=TODAY(),0,IF($B16="","",IFERROR(_xlfn.LET(_xlpm.Site,$B16,_xlpm.SiteCol,INDIRECT("tblSites[Site]"),_xlpm.ActCol,INDIRECT("tblSites[Site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6" s="9" cm="1">
        <f t="array" aca="1" ref="D16" ca="1">IF(D$5&lt;=TODAY(),0,IF($B16="","",IFERROR(_xlfn.LET(_xlpm.Site,$B16,_xlpm.SiteCol,INDIRECT("tblSites[Site]"),_xlpm.ActCol,INDIRECT("tblSites[Site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6" s="9" cm="1">
        <f t="array" aca="1" ref="E16" ca="1">IF(E$5&lt;=TODAY(),0,IF($B16="","",IFERROR(_xlfn.LET(_xlpm.Site,$B16,_xlpm.SiteCol,INDIRECT("tblSites[Site]"),_xlpm.ActCol,INDIRECT("tblSites[Site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6" s="9" cm="1">
        <f t="array" aca="1" ref="F16" ca="1">IF(F$5&lt;=TODAY(),0,IF($B16="","",IFERROR(_xlfn.LET(_xlpm.Site,$B16,_xlpm.SiteCol,INDIRECT("tblSites[Site]"),_xlpm.ActCol,INDIRECT("tblSites[Site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6" s="9" cm="1">
        <f t="array" aca="1" ref="G16" ca="1">IF(G$5&lt;=TODAY(),0,IF($B16="","",IFERROR(_xlfn.LET(_xlpm.Site,$B16,_xlpm.SiteCol,INDIRECT("tblSites[Site]"),_xlpm.ActCol,INDIRECT("tblSites[Site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6" s="9" cm="1">
        <f t="array" aca="1" ref="H16" ca="1">IF(H$5&lt;=TODAY(),0,IF($B16="","",IFERROR(_xlfn.LET(_xlpm.Site,$B16,_xlpm.SiteCol,INDIRECT("tblSites[Site]"),_xlpm.ActCol,INDIRECT("tblSites[Site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6" s="9" cm="1">
        <f t="array" aca="1" ref="I16" ca="1">IF(I$5&lt;=TODAY(),0,IF($B16="","",IFERROR(_xlfn.LET(_xlpm.Site,$B16,_xlpm.SiteCol,INDIRECT("tblSites[Site]"),_xlpm.ActCol,INDIRECT("tblSites[Site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6" s="9" cm="1">
        <f t="array" aca="1" ref="J16" ca="1">IF(J$5&lt;=TODAY(),0,IF($B16="","",IFERROR(_xlfn.LET(_xlpm.Site,$B16,_xlpm.SiteCol,INDIRECT("tblSites[Site]"),_xlpm.ActCol,INDIRECT("tblSites[Site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16" s="9" cm="1">
        <f t="array" aca="1" ref="K16" ca="1">IF(K$5&lt;=TODAY(),0,IF($B16="","",IFERROR(_xlfn.LET(_xlpm.Site,$B16,_xlpm.SiteCol,INDIRECT("tblSites[Site]"),_xlpm.ActCol,INDIRECT("tblSites[Site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0</v>
      </c>
      <c r="L16" s="9" cm="1">
        <f t="array" aca="1" ref="L16" ca="1">IF(L$5&lt;=TODAY(),0,IF($B16="","",IFERROR(_xlfn.LET(_xlpm.Site,$B16,_xlpm.SiteCol,INDIRECT("tblSites[Site]"),_xlpm.ActCol,INDIRECT("tblSites[Site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0</v>
      </c>
      <c r="M16" s="9" cm="1">
        <f t="array" aca="1" ref="M16" ca="1">IF(M$5&lt;=TODAY(),0,IF($B16="","",IFERROR(_xlfn.LET(_xlpm.Site,$B16,_xlpm.SiteCol,INDIRECT("tblSites[Site]"),_xlpm.ActCol,INDIRECT("tblSites[Site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0</v>
      </c>
      <c r="N16" s="9" cm="1">
        <f t="array" aca="1" ref="N16" ca="1">IF(N$5&lt;=TODAY(),0,IF($B16="","",IFERROR(_xlfn.LET(_xlpm.Site,$B16,_xlpm.SiteCol,INDIRECT("tblSites[Site]"),_xlpm.ActCol,INDIRECT("tblSites[Site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0</v>
      </c>
      <c r="O16" s="9" cm="1">
        <f t="array" aca="1" ref="O16" ca="1">IF(O$5&lt;=TODAY(),0,IF($B16="","",IFERROR(_xlfn.LET(_xlpm.Site,$B16,_xlpm.SiteCol,INDIRECT("tblSites[Site]"),_xlpm.ActCol,INDIRECT("tblSites[Site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6" s="9" cm="1">
        <f t="array" aca="1" ref="P16" ca="1">IF(P$5&lt;=TODAY(),0,IF($B16="","",IFERROR(_xlfn.LET(_xlpm.Site,$B16,_xlpm.SiteCol,INDIRECT("tblSites[Site]"),_xlpm.ActCol,INDIRECT("tblSites[Site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16" s="9" cm="1">
        <f t="array" aca="1" ref="Q16" ca="1">IF(Q$5&lt;=TODAY(),0,IF($B16="","",IFERROR(_xlfn.LET(_xlpm.Site,$B16,_xlpm.SiteCol,INDIRECT("tblSites[Site]"),_xlpm.ActCol,INDIRECT("tblSites[Site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16" s="9" cm="1">
        <f t="array" aca="1" ref="R16" ca="1">IF(R$5&lt;=TODAY(),0,IF($B16="","",IFERROR(_xlfn.LET(_xlpm.Site,$B16,_xlpm.SiteCol,INDIRECT("tblSites[Site]"),_xlpm.ActCol,INDIRECT("tblSites[Site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1</v>
      </c>
      <c r="S16" s="9" cm="1">
        <f t="array" aca="1" ref="S16" ca="1">IF(S$5&lt;=TODAY(),0,IF($B16="","",IFERROR(_xlfn.LET(_xlpm.Site,$B16,_xlpm.SiteCol,INDIRECT("tblSites[Site]"),_xlpm.ActCol,INDIRECT("tblSites[Site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1</v>
      </c>
      <c r="T16" s="9" cm="1">
        <f t="array" aca="1" ref="T16" ca="1">IF(T$5&lt;=TODAY(),0,IF($B16="","",IFERROR(_xlfn.LET(_xlpm.Site,$B16,_xlpm.SiteCol,INDIRECT("tblSites[Site]"),_xlpm.ActCol,INDIRECT("tblSites[Site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6" s="9" cm="1">
        <f t="array" aca="1" ref="U16" ca="1">IF(U$5&lt;=TODAY(),0,IF($B16="","",IFERROR(_xlfn.LET(_xlpm.Site,$B16,_xlpm.SiteCol,INDIRECT("tblSites[Site]"),_xlpm.ActCol,INDIRECT("tblSites[Site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6" s="9" cm="1">
        <f t="array" aca="1" ref="V16" ca="1">IF(V$5&lt;=TODAY(),0,IF($B16="","",IFERROR(_xlfn.LET(_xlpm.Site,$B16,_xlpm.SiteCol,INDIRECT("tblSites[Site]"),_xlpm.ActCol,INDIRECT("tblSites[Site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6" s="9" cm="1">
        <f t="array" aca="1" ref="W16" ca="1">IF(W$5&lt;=TODAY(),0,IF($B16="","",IFERROR(_xlfn.LET(_xlpm.Site,$B16,_xlpm.SiteCol,INDIRECT("tblSites[Site]"),_xlpm.ActCol,INDIRECT("tblSites[Site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6" s="9" cm="1">
        <f t="array" aca="1" ref="X16" ca="1">IF(X$5&lt;=TODAY(),0,IF($B16="","",IFERROR(_xlfn.LET(_xlpm.Site,$B16,_xlpm.SiteCol,INDIRECT("tblSites[Site]"),_xlpm.ActCol,INDIRECT("tblSites[Site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6" s="9" cm="1">
        <f t="array" aca="1" ref="Y16" ca="1">IF(Y$5&lt;=TODAY(),0,IF($B16="","",IFERROR(_xlfn.LET(_xlpm.Site,$B16,_xlpm.SiteCol,INDIRECT("tblSites[Site]"),_xlpm.ActCol,INDIRECT("tblSites[Site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6" s="9" cm="1">
        <f t="array" aca="1" ref="Z16" ca="1">IF(Z$5&lt;=TODAY(),0,IF($B16="","",IFERROR(_xlfn.LET(_xlpm.Site,$B16,_xlpm.SiteCol,INDIRECT("tblSites[Site]"),_xlpm.ActCol,INDIRECT("tblSites[Site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6" s="9" cm="1">
        <f t="array" aca="1" ref="AA16" ca="1">IF(AA$5&lt;=TODAY(),0,IF($B16="","",IFERROR(_xlfn.LET(_xlpm.Site,$B16,_xlpm.SiteCol,INDIRECT("tblSites[Site]"),_xlpm.ActCol,INDIRECT("tblSites[Site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6" s="9" cm="1">
        <f t="array" aca="1" ref="AB16" ca="1">IF(AB$5&lt;=TODAY(),0,IF($B16="","",IFERROR(_xlfn.LET(_xlpm.Site,$B16,_xlpm.SiteCol,INDIRECT("tblSites[Site]"),_xlpm.ActCol,INDIRECT("tblSites[Site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6" s="9" cm="1">
        <f t="array" aca="1" ref="AC16" ca="1">IF(AC$5&lt;=TODAY(),0,IF($B16="","",IFERROR(_xlfn.LET(_xlpm.Site,$B16,_xlpm.SiteCol,INDIRECT("tblSites[Site]"),_xlpm.ActCol,INDIRECT("tblSites[Site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7" spans="1:29" x14ac:dyDescent="0.25">
      <c r="A17" t="str">
        <v>Italy</v>
      </c>
      <c r="B17" t="str">
        <v>Italy1</v>
      </c>
      <c r="C17" s="9" cm="1">
        <f t="array" aca="1" ref="C17" ca="1">IF(C$5&lt;=TODAY(),0,IF($B17="","",IFERROR(_xlfn.LET(_xlpm.Site,$B17,_xlpm.SiteCol,INDIRECT("tblSites[Site]"),_xlpm.ActCol,INDIRECT("tblSites[Site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7" s="9" cm="1">
        <f t="array" aca="1" ref="D17" ca="1">IF(D$5&lt;=TODAY(),0,IF($B17="","",IFERROR(_xlfn.LET(_xlpm.Site,$B17,_xlpm.SiteCol,INDIRECT("tblSites[Site]"),_xlpm.ActCol,INDIRECT("tblSites[Site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7" s="9" cm="1">
        <f t="array" aca="1" ref="E17" ca="1">IF(E$5&lt;=TODAY(),0,IF($B17="","",IFERROR(_xlfn.LET(_xlpm.Site,$B17,_xlpm.SiteCol,INDIRECT("tblSites[Site]"),_xlpm.ActCol,INDIRECT("tblSites[Site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7" s="9" cm="1">
        <f t="array" aca="1" ref="F17" ca="1">IF(F$5&lt;=TODAY(),0,IF($B17="","",IFERROR(_xlfn.LET(_xlpm.Site,$B17,_xlpm.SiteCol,INDIRECT("tblSites[Site]"),_xlpm.ActCol,INDIRECT("tblSites[Site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7" s="9" cm="1">
        <f t="array" aca="1" ref="G17" ca="1">IF(G$5&lt;=TODAY(),0,IF($B17="","",IFERROR(_xlfn.LET(_xlpm.Site,$B17,_xlpm.SiteCol,INDIRECT("tblSites[Site]"),_xlpm.ActCol,INDIRECT("tblSites[Site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7" s="9" cm="1">
        <f t="array" aca="1" ref="H17" ca="1">IF(H$5&lt;=TODAY(),0,IF($B17="","",IFERROR(_xlfn.LET(_xlpm.Site,$B17,_xlpm.SiteCol,INDIRECT("tblSites[Site]"),_xlpm.ActCol,INDIRECT("tblSites[Site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7" s="9" cm="1">
        <f t="array" aca="1" ref="I17" ca="1">IF(I$5&lt;=TODAY(),0,IF($B17="","",IFERROR(_xlfn.LET(_xlpm.Site,$B17,_xlpm.SiteCol,INDIRECT("tblSites[Site]"),_xlpm.ActCol,INDIRECT("tblSites[Site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7" s="9" cm="1">
        <f t="array" aca="1" ref="J17" ca="1">IF(J$5&lt;=TODAY(),0,IF($B17="","",IFERROR(_xlfn.LET(_xlpm.Site,$B17,_xlpm.SiteCol,INDIRECT("tblSites[Site]"),_xlpm.ActCol,INDIRECT("tblSites[Site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17" s="9" cm="1">
        <f t="array" aca="1" ref="K17" ca="1">IF(K$5&lt;=TODAY(),0,IF($B17="","",IFERROR(_xlfn.LET(_xlpm.Site,$B17,_xlpm.SiteCol,INDIRECT("tblSites[Site]"),_xlpm.ActCol,INDIRECT("tblSites[Site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7" s="9" cm="1">
        <f t="array" aca="1" ref="L17" ca="1">IF(L$5&lt;=TODAY(),0,IF($B17="","",IFERROR(_xlfn.LET(_xlpm.Site,$B17,_xlpm.SiteCol,INDIRECT("tblSites[Site]"),_xlpm.ActCol,INDIRECT("tblSites[Site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7" s="9" cm="1">
        <f t="array" aca="1" ref="M17" ca="1">IF(M$5&lt;=TODAY(),0,IF($B17="","",IFERROR(_xlfn.LET(_xlpm.Site,$B17,_xlpm.SiteCol,INDIRECT("tblSites[Site]"),_xlpm.ActCol,INDIRECT("tblSites[Site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7" s="9" cm="1">
        <f t="array" aca="1" ref="N17" ca="1">IF(N$5&lt;=TODAY(),0,IF($B17="","",IFERROR(_xlfn.LET(_xlpm.Site,$B17,_xlpm.SiteCol,INDIRECT("tblSites[Site]"),_xlpm.ActCol,INDIRECT("tblSites[Site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7" s="9" cm="1">
        <f t="array" aca="1" ref="O17" ca="1">IF(O$5&lt;=TODAY(),0,IF($B17="","",IFERROR(_xlfn.LET(_xlpm.Site,$B17,_xlpm.SiteCol,INDIRECT("tblSites[Site]"),_xlpm.ActCol,INDIRECT("tblSites[Site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7" s="9" cm="1">
        <f t="array" aca="1" ref="P17" ca="1">IF(P$5&lt;=TODAY(),0,IF($B17="","",IFERROR(_xlfn.LET(_xlpm.Site,$B17,_xlpm.SiteCol,INDIRECT("tblSites[Site]"),_xlpm.ActCol,INDIRECT("tblSites[Site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7" s="9" cm="1">
        <f t="array" aca="1" ref="Q17" ca="1">IF(Q$5&lt;=TODAY(),0,IF($B17="","",IFERROR(_xlfn.LET(_xlpm.Site,$B17,_xlpm.SiteCol,INDIRECT("tblSites[Site]"),_xlpm.ActCol,INDIRECT("tblSites[Site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7" s="9" cm="1">
        <f t="array" aca="1" ref="R17" ca="1">IF(R$5&lt;=TODAY(),0,IF($B17="","",IFERROR(_xlfn.LET(_xlpm.Site,$B17,_xlpm.SiteCol,INDIRECT("tblSites[Site]"),_xlpm.ActCol,INDIRECT("tblSites[Site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7" s="9" cm="1">
        <f t="array" aca="1" ref="S17" ca="1">IF(S$5&lt;=TODAY(),0,IF($B17="","",IFERROR(_xlfn.LET(_xlpm.Site,$B17,_xlpm.SiteCol,INDIRECT("tblSites[Site]"),_xlpm.ActCol,INDIRECT("tblSites[Site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7" s="9" cm="1">
        <f t="array" aca="1" ref="T17" ca="1">IF(T$5&lt;=TODAY(),0,IF($B17="","",IFERROR(_xlfn.LET(_xlpm.Site,$B17,_xlpm.SiteCol,INDIRECT("tblSites[Site]"),_xlpm.ActCol,INDIRECT("tblSites[Site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7" s="9" cm="1">
        <f t="array" aca="1" ref="U17" ca="1">IF(U$5&lt;=TODAY(),0,IF($B17="","",IFERROR(_xlfn.LET(_xlpm.Site,$B17,_xlpm.SiteCol,INDIRECT("tblSites[Site]"),_xlpm.ActCol,INDIRECT("tblSites[Site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7" s="9" cm="1">
        <f t="array" aca="1" ref="V17" ca="1">IF(V$5&lt;=TODAY(),0,IF($B17="","",IFERROR(_xlfn.LET(_xlpm.Site,$B17,_xlpm.SiteCol,INDIRECT("tblSites[Site]"),_xlpm.ActCol,INDIRECT("tblSites[Site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7" s="9" cm="1">
        <f t="array" aca="1" ref="W17" ca="1">IF(W$5&lt;=TODAY(),0,IF($B17="","",IFERROR(_xlfn.LET(_xlpm.Site,$B17,_xlpm.SiteCol,INDIRECT("tblSites[Site]"),_xlpm.ActCol,INDIRECT("tblSites[Site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7" s="9" cm="1">
        <f t="array" aca="1" ref="X17" ca="1">IF(X$5&lt;=TODAY(),0,IF($B17="","",IFERROR(_xlfn.LET(_xlpm.Site,$B17,_xlpm.SiteCol,INDIRECT("tblSites[Site]"),_xlpm.ActCol,INDIRECT("tblSites[Site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7" s="9" cm="1">
        <f t="array" aca="1" ref="Y17" ca="1">IF(Y$5&lt;=TODAY(),0,IF($B17="","",IFERROR(_xlfn.LET(_xlpm.Site,$B17,_xlpm.SiteCol,INDIRECT("tblSites[Site]"),_xlpm.ActCol,INDIRECT("tblSites[Site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7" s="9" cm="1">
        <f t="array" aca="1" ref="Z17" ca="1">IF(Z$5&lt;=TODAY(),0,IF($B17="","",IFERROR(_xlfn.LET(_xlpm.Site,$B17,_xlpm.SiteCol,INDIRECT("tblSites[Site]"),_xlpm.ActCol,INDIRECT("tblSites[Site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7" s="9" cm="1">
        <f t="array" aca="1" ref="AA17" ca="1">IF(AA$5&lt;=TODAY(),0,IF($B17="","",IFERROR(_xlfn.LET(_xlpm.Site,$B17,_xlpm.SiteCol,INDIRECT("tblSites[Site]"),_xlpm.ActCol,INDIRECT("tblSites[Site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7" s="9" cm="1">
        <f t="array" aca="1" ref="AB17" ca="1">IF(AB$5&lt;=TODAY(),0,IF($B17="","",IFERROR(_xlfn.LET(_xlpm.Site,$B17,_xlpm.SiteCol,INDIRECT("tblSites[Site]"),_xlpm.ActCol,INDIRECT("tblSites[Site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7" s="9" cm="1">
        <f t="array" aca="1" ref="AC17" ca="1">IF(AC$5&lt;=TODAY(),0,IF($B17="","",IFERROR(_xlfn.LET(_xlpm.Site,$B17,_xlpm.SiteCol,INDIRECT("tblSites[Site]"),_xlpm.ActCol,INDIRECT("tblSites[Site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8" spans="1:29" x14ac:dyDescent="0.25">
      <c r="A18" t="str">
        <v>Italy</v>
      </c>
      <c r="B18" t="str">
        <v>Italy2</v>
      </c>
      <c r="C18" s="9" cm="1">
        <f t="array" aca="1" ref="C18" ca="1">IF(C$5&lt;=TODAY(),0,IF($B18="","",IFERROR(_xlfn.LET(_xlpm.Site,$B18,_xlpm.SiteCol,INDIRECT("tblSites[Site]"),_xlpm.ActCol,INDIRECT("tblSites[Site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8" s="9" cm="1">
        <f t="array" aca="1" ref="D18" ca="1">IF(D$5&lt;=TODAY(),0,IF($B18="","",IFERROR(_xlfn.LET(_xlpm.Site,$B18,_xlpm.SiteCol,INDIRECT("tblSites[Site]"),_xlpm.ActCol,INDIRECT("tblSites[Site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8" s="9" cm="1">
        <f t="array" aca="1" ref="E18" ca="1">IF(E$5&lt;=TODAY(),0,IF($B18="","",IFERROR(_xlfn.LET(_xlpm.Site,$B18,_xlpm.SiteCol,INDIRECT("tblSites[Site]"),_xlpm.ActCol,INDIRECT("tblSites[Site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8" s="9" cm="1">
        <f t="array" aca="1" ref="F18" ca="1">IF(F$5&lt;=TODAY(),0,IF($B18="","",IFERROR(_xlfn.LET(_xlpm.Site,$B18,_xlpm.SiteCol,INDIRECT("tblSites[Site]"),_xlpm.ActCol,INDIRECT("tblSites[Site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8" s="9" cm="1">
        <f t="array" aca="1" ref="G18" ca="1">IF(G$5&lt;=TODAY(),0,IF($B18="","",IFERROR(_xlfn.LET(_xlpm.Site,$B18,_xlpm.SiteCol,INDIRECT("tblSites[Site]"),_xlpm.ActCol,INDIRECT("tblSites[Site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8" s="9" cm="1">
        <f t="array" aca="1" ref="H18" ca="1">IF(H$5&lt;=TODAY(),0,IF($B18="","",IFERROR(_xlfn.LET(_xlpm.Site,$B18,_xlpm.SiteCol,INDIRECT("tblSites[Site]"),_xlpm.ActCol,INDIRECT("tblSites[Site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8" s="9" cm="1">
        <f t="array" aca="1" ref="I18" ca="1">IF(I$5&lt;=TODAY(),0,IF($B18="","",IFERROR(_xlfn.LET(_xlpm.Site,$B18,_xlpm.SiteCol,INDIRECT("tblSites[Site]"),_xlpm.ActCol,INDIRECT("tblSites[Site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8" s="9" cm="1">
        <f t="array" aca="1" ref="J18" ca="1">IF(J$5&lt;=TODAY(),0,IF($B18="","",IFERROR(_xlfn.LET(_xlpm.Site,$B18,_xlpm.SiteCol,INDIRECT("tblSites[Site]"),_xlpm.ActCol,INDIRECT("tblSites[Site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18" s="9" cm="1">
        <f t="array" aca="1" ref="K18" ca="1">IF(K$5&lt;=TODAY(),0,IF($B18="","",IFERROR(_xlfn.LET(_xlpm.Site,$B18,_xlpm.SiteCol,INDIRECT("tblSites[Site]"),_xlpm.ActCol,INDIRECT("tblSites[Site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8" s="9" cm="1">
        <f t="array" aca="1" ref="L18" ca="1">IF(L$5&lt;=TODAY(),0,IF($B18="","",IFERROR(_xlfn.LET(_xlpm.Site,$B18,_xlpm.SiteCol,INDIRECT("tblSites[Site]"),_xlpm.ActCol,INDIRECT("tblSites[Site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8" s="9" cm="1">
        <f t="array" aca="1" ref="M18" ca="1">IF(M$5&lt;=TODAY(),0,IF($B18="","",IFERROR(_xlfn.LET(_xlpm.Site,$B18,_xlpm.SiteCol,INDIRECT("tblSites[Site]"),_xlpm.ActCol,INDIRECT("tblSites[Site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8" s="9" cm="1">
        <f t="array" aca="1" ref="N18" ca="1">IF(N$5&lt;=TODAY(),0,IF($B18="","",IFERROR(_xlfn.LET(_xlpm.Site,$B18,_xlpm.SiteCol,INDIRECT("tblSites[Site]"),_xlpm.ActCol,INDIRECT("tblSites[Site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8" s="9" cm="1">
        <f t="array" aca="1" ref="O18" ca="1">IF(O$5&lt;=TODAY(),0,IF($B18="","",IFERROR(_xlfn.LET(_xlpm.Site,$B18,_xlpm.SiteCol,INDIRECT("tblSites[Site]"),_xlpm.ActCol,INDIRECT("tblSites[Site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8" s="9" cm="1">
        <f t="array" aca="1" ref="P18" ca="1">IF(P$5&lt;=TODAY(),0,IF($B18="","",IFERROR(_xlfn.LET(_xlpm.Site,$B18,_xlpm.SiteCol,INDIRECT("tblSites[Site]"),_xlpm.ActCol,INDIRECT("tblSites[Site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8" s="9" cm="1">
        <f t="array" aca="1" ref="Q18" ca="1">IF(Q$5&lt;=TODAY(),0,IF($B18="","",IFERROR(_xlfn.LET(_xlpm.Site,$B18,_xlpm.SiteCol,INDIRECT("tblSites[Site]"),_xlpm.ActCol,INDIRECT("tblSites[Site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8" s="9" cm="1">
        <f t="array" aca="1" ref="R18" ca="1">IF(R$5&lt;=TODAY(),0,IF($B18="","",IFERROR(_xlfn.LET(_xlpm.Site,$B18,_xlpm.SiteCol,INDIRECT("tblSites[Site]"),_xlpm.ActCol,INDIRECT("tblSites[Site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8" s="9" cm="1">
        <f t="array" aca="1" ref="S18" ca="1">IF(S$5&lt;=TODAY(),0,IF($B18="","",IFERROR(_xlfn.LET(_xlpm.Site,$B18,_xlpm.SiteCol,INDIRECT("tblSites[Site]"),_xlpm.ActCol,INDIRECT("tblSites[Site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8" s="9" cm="1">
        <f t="array" aca="1" ref="T18" ca="1">IF(T$5&lt;=TODAY(),0,IF($B18="","",IFERROR(_xlfn.LET(_xlpm.Site,$B18,_xlpm.SiteCol,INDIRECT("tblSites[Site]"),_xlpm.ActCol,INDIRECT("tblSites[Site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8" s="9" cm="1">
        <f t="array" aca="1" ref="U18" ca="1">IF(U$5&lt;=TODAY(),0,IF($B18="","",IFERROR(_xlfn.LET(_xlpm.Site,$B18,_xlpm.SiteCol,INDIRECT("tblSites[Site]"),_xlpm.ActCol,INDIRECT("tblSites[Site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8" s="9" cm="1">
        <f t="array" aca="1" ref="V18" ca="1">IF(V$5&lt;=TODAY(),0,IF($B18="","",IFERROR(_xlfn.LET(_xlpm.Site,$B18,_xlpm.SiteCol,INDIRECT("tblSites[Site]"),_xlpm.ActCol,INDIRECT("tblSites[Site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8" s="9" cm="1">
        <f t="array" aca="1" ref="W18" ca="1">IF(W$5&lt;=TODAY(),0,IF($B18="","",IFERROR(_xlfn.LET(_xlpm.Site,$B18,_xlpm.SiteCol,INDIRECT("tblSites[Site]"),_xlpm.ActCol,INDIRECT("tblSites[Site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8" s="9" cm="1">
        <f t="array" aca="1" ref="X18" ca="1">IF(X$5&lt;=TODAY(),0,IF($B18="","",IFERROR(_xlfn.LET(_xlpm.Site,$B18,_xlpm.SiteCol,INDIRECT("tblSites[Site]"),_xlpm.ActCol,INDIRECT("tblSites[Site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8" s="9" cm="1">
        <f t="array" aca="1" ref="Y18" ca="1">IF(Y$5&lt;=TODAY(),0,IF($B18="","",IFERROR(_xlfn.LET(_xlpm.Site,$B18,_xlpm.SiteCol,INDIRECT("tblSites[Site]"),_xlpm.ActCol,INDIRECT("tblSites[Site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8" s="9" cm="1">
        <f t="array" aca="1" ref="Z18" ca="1">IF(Z$5&lt;=TODAY(),0,IF($B18="","",IFERROR(_xlfn.LET(_xlpm.Site,$B18,_xlpm.SiteCol,INDIRECT("tblSites[Site]"),_xlpm.ActCol,INDIRECT("tblSites[Site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8" s="9" cm="1">
        <f t="array" aca="1" ref="AA18" ca="1">IF(AA$5&lt;=TODAY(),0,IF($B18="","",IFERROR(_xlfn.LET(_xlpm.Site,$B18,_xlpm.SiteCol,INDIRECT("tblSites[Site]"),_xlpm.ActCol,INDIRECT("tblSites[Site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8" s="9" cm="1">
        <f t="array" aca="1" ref="AB18" ca="1">IF(AB$5&lt;=TODAY(),0,IF($B18="","",IFERROR(_xlfn.LET(_xlpm.Site,$B18,_xlpm.SiteCol,INDIRECT("tblSites[Site]"),_xlpm.ActCol,INDIRECT("tblSites[Site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8" s="9" cm="1">
        <f t="array" aca="1" ref="AC18" ca="1">IF(AC$5&lt;=TODAY(),0,IF($B18="","",IFERROR(_xlfn.LET(_xlpm.Site,$B18,_xlpm.SiteCol,INDIRECT("tblSites[Site]"),_xlpm.ActCol,INDIRECT("tblSites[Site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19" spans="1:29" x14ac:dyDescent="0.25">
      <c r="A19" t="str">
        <v>Italy</v>
      </c>
      <c r="B19" t="str">
        <v>Italy3</v>
      </c>
      <c r="C19" s="9" cm="1">
        <f t="array" aca="1" ref="C19" ca="1">IF(C$5&lt;=TODAY(),0,IF($B19="","",IFERROR(_xlfn.LET(_xlpm.Site,$B19,_xlpm.SiteCol,INDIRECT("tblSites[Site]"),_xlpm.ActCol,INDIRECT("tblSites[Site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19" s="9" cm="1">
        <f t="array" aca="1" ref="D19" ca="1">IF(D$5&lt;=TODAY(),0,IF($B19="","",IFERROR(_xlfn.LET(_xlpm.Site,$B19,_xlpm.SiteCol,INDIRECT("tblSites[Site]"),_xlpm.ActCol,INDIRECT("tblSites[Site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19" s="9" cm="1">
        <f t="array" aca="1" ref="E19" ca="1">IF(E$5&lt;=TODAY(),0,IF($B19="","",IFERROR(_xlfn.LET(_xlpm.Site,$B19,_xlpm.SiteCol,INDIRECT("tblSites[Site]"),_xlpm.ActCol,INDIRECT("tblSites[Site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19" s="9" cm="1">
        <f t="array" aca="1" ref="F19" ca="1">IF(F$5&lt;=TODAY(),0,IF($B19="","",IFERROR(_xlfn.LET(_xlpm.Site,$B19,_xlpm.SiteCol,INDIRECT("tblSites[Site]"),_xlpm.ActCol,INDIRECT("tblSites[Site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19" s="9" cm="1">
        <f t="array" aca="1" ref="G19" ca="1">IF(G$5&lt;=TODAY(),0,IF($B19="","",IFERROR(_xlfn.LET(_xlpm.Site,$B19,_xlpm.SiteCol,INDIRECT("tblSites[Site]"),_xlpm.ActCol,INDIRECT("tblSites[Site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19" s="9" cm="1">
        <f t="array" aca="1" ref="H19" ca="1">IF(H$5&lt;=TODAY(),0,IF($B19="","",IFERROR(_xlfn.LET(_xlpm.Site,$B19,_xlpm.SiteCol,INDIRECT("tblSites[Site]"),_xlpm.ActCol,INDIRECT("tblSites[Site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19" s="9" cm="1">
        <f t="array" aca="1" ref="I19" ca="1">IF(I$5&lt;=TODAY(),0,IF($B19="","",IFERROR(_xlfn.LET(_xlpm.Site,$B19,_xlpm.SiteCol,INDIRECT("tblSites[Site]"),_xlpm.ActCol,INDIRECT("tblSites[Site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19" s="9" cm="1">
        <f t="array" aca="1" ref="J19" ca="1">IF(J$5&lt;=TODAY(),0,IF($B19="","",IFERROR(_xlfn.LET(_xlpm.Site,$B19,_xlpm.SiteCol,INDIRECT("tblSites[Site]"),_xlpm.ActCol,INDIRECT("tblSites[Site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1</v>
      </c>
      <c r="K19" s="9" cm="1">
        <f t="array" aca="1" ref="K19" ca="1">IF(K$5&lt;=TODAY(),0,IF($B19="","",IFERROR(_xlfn.LET(_xlpm.Site,$B19,_xlpm.SiteCol,INDIRECT("tblSites[Site]"),_xlpm.ActCol,INDIRECT("tblSites[Site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19" s="9" cm="1">
        <f t="array" aca="1" ref="L19" ca="1">IF(L$5&lt;=TODAY(),0,IF($B19="","",IFERROR(_xlfn.LET(_xlpm.Site,$B19,_xlpm.SiteCol,INDIRECT("tblSites[Site]"),_xlpm.ActCol,INDIRECT("tblSites[Site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19" s="9" cm="1">
        <f t="array" aca="1" ref="M19" ca="1">IF(M$5&lt;=TODAY(),0,IF($B19="","",IFERROR(_xlfn.LET(_xlpm.Site,$B19,_xlpm.SiteCol,INDIRECT("tblSites[Site]"),_xlpm.ActCol,INDIRECT("tblSites[Site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19" s="9" cm="1">
        <f t="array" aca="1" ref="N19" ca="1">IF(N$5&lt;=TODAY(),0,IF($B19="","",IFERROR(_xlfn.LET(_xlpm.Site,$B19,_xlpm.SiteCol,INDIRECT("tblSites[Site]"),_xlpm.ActCol,INDIRECT("tblSites[Site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19" s="9" cm="1">
        <f t="array" aca="1" ref="O19" ca="1">IF(O$5&lt;=TODAY(),0,IF($B19="","",IFERROR(_xlfn.LET(_xlpm.Site,$B19,_xlpm.SiteCol,INDIRECT("tblSites[Site]"),_xlpm.ActCol,INDIRECT("tblSites[Site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19" s="9" cm="1">
        <f t="array" aca="1" ref="P19" ca="1">IF(P$5&lt;=TODAY(),0,IF($B19="","",IFERROR(_xlfn.LET(_xlpm.Site,$B19,_xlpm.SiteCol,INDIRECT("tblSites[Site]"),_xlpm.ActCol,INDIRECT("tblSites[Site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19" s="9" cm="1">
        <f t="array" aca="1" ref="Q19" ca="1">IF(Q$5&lt;=TODAY(),0,IF($B19="","",IFERROR(_xlfn.LET(_xlpm.Site,$B19,_xlpm.SiteCol,INDIRECT("tblSites[Site]"),_xlpm.ActCol,INDIRECT("tblSites[Site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19" s="9" cm="1">
        <f t="array" aca="1" ref="R19" ca="1">IF(R$5&lt;=TODAY(),0,IF($B19="","",IFERROR(_xlfn.LET(_xlpm.Site,$B19,_xlpm.SiteCol,INDIRECT("tblSites[Site]"),_xlpm.ActCol,INDIRECT("tblSites[Site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19" s="9" cm="1">
        <f t="array" aca="1" ref="S19" ca="1">IF(S$5&lt;=TODAY(),0,IF($B19="","",IFERROR(_xlfn.LET(_xlpm.Site,$B19,_xlpm.SiteCol,INDIRECT("tblSites[Site]"),_xlpm.ActCol,INDIRECT("tblSites[Site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19" s="9" cm="1">
        <f t="array" aca="1" ref="T19" ca="1">IF(T$5&lt;=TODAY(),0,IF($B19="","",IFERROR(_xlfn.LET(_xlpm.Site,$B19,_xlpm.SiteCol,INDIRECT("tblSites[Site]"),_xlpm.ActCol,INDIRECT("tblSites[Site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19" s="9" cm="1">
        <f t="array" aca="1" ref="U19" ca="1">IF(U$5&lt;=TODAY(),0,IF($B19="","",IFERROR(_xlfn.LET(_xlpm.Site,$B19,_xlpm.SiteCol,INDIRECT("tblSites[Site]"),_xlpm.ActCol,INDIRECT("tblSites[Site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19" s="9" cm="1">
        <f t="array" aca="1" ref="V19" ca="1">IF(V$5&lt;=TODAY(),0,IF($B19="","",IFERROR(_xlfn.LET(_xlpm.Site,$B19,_xlpm.SiteCol,INDIRECT("tblSites[Site]"),_xlpm.ActCol,INDIRECT("tblSites[Site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19" s="9" cm="1">
        <f t="array" aca="1" ref="W19" ca="1">IF(W$5&lt;=TODAY(),0,IF($B19="","",IFERROR(_xlfn.LET(_xlpm.Site,$B19,_xlpm.SiteCol,INDIRECT("tblSites[Site]"),_xlpm.ActCol,INDIRECT("tblSites[Site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19" s="9" cm="1">
        <f t="array" aca="1" ref="X19" ca="1">IF(X$5&lt;=TODAY(),0,IF($B19="","",IFERROR(_xlfn.LET(_xlpm.Site,$B19,_xlpm.SiteCol,INDIRECT("tblSites[Site]"),_xlpm.ActCol,INDIRECT("tblSites[Site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19" s="9" cm="1">
        <f t="array" aca="1" ref="Y19" ca="1">IF(Y$5&lt;=TODAY(),0,IF($B19="","",IFERROR(_xlfn.LET(_xlpm.Site,$B19,_xlpm.SiteCol,INDIRECT("tblSites[Site]"),_xlpm.ActCol,INDIRECT("tblSites[Site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19" s="9" cm="1">
        <f t="array" aca="1" ref="Z19" ca="1">IF(Z$5&lt;=TODAY(),0,IF($B19="","",IFERROR(_xlfn.LET(_xlpm.Site,$B19,_xlpm.SiteCol,INDIRECT("tblSites[Site]"),_xlpm.ActCol,INDIRECT("tblSites[Site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19" s="9" cm="1">
        <f t="array" aca="1" ref="AA19" ca="1">IF(AA$5&lt;=TODAY(),0,IF($B19="","",IFERROR(_xlfn.LET(_xlpm.Site,$B19,_xlpm.SiteCol,INDIRECT("tblSites[Site]"),_xlpm.ActCol,INDIRECT("tblSites[Site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19" s="9" cm="1">
        <f t="array" aca="1" ref="AB19" ca="1">IF(AB$5&lt;=TODAY(),0,IF($B19="","",IFERROR(_xlfn.LET(_xlpm.Site,$B19,_xlpm.SiteCol,INDIRECT("tblSites[Site]"),_xlpm.ActCol,INDIRECT("tblSites[Site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19" s="9" cm="1">
        <f t="array" aca="1" ref="AC19" ca="1">IF(AC$5&lt;=TODAY(),0,IF($B19="","",IFERROR(_xlfn.LET(_xlpm.Site,$B19,_xlpm.SiteCol,INDIRECT("tblSites[Site]"),_xlpm.ActCol,INDIRECT("tblSites[Site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20" spans="1:29" x14ac:dyDescent="0.25">
      <c r="A20" t="str">
        <v>Italy</v>
      </c>
      <c r="B20" t="str">
        <v>Italy4</v>
      </c>
      <c r="C20" s="9" cm="1">
        <f t="array" aca="1" ref="C20" ca="1">IF(C$5&lt;=TODAY(),0,IF($B20="","",IFERROR(_xlfn.LET(_xlpm.Site,$B20,_xlpm.SiteCol,INDIRECT("tblSites[Site]"),_xlpm.ActCol,INDIRECT("tblSites[Site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0" s="9" cm="1">
        <f t="array" aca="1" ref="D20" ca="1">IF(D$5&lt;=TODAY(),0,IF($B20="","",IFERROR(_xlfn.LET(_xlpm.Site,$B20,_xlpm.SiteCol,INDIRECT("tblSites[Site]"),_xlpm.ActCol,INDIRECT("tblSites[Site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0" s="9" cm="1">
        <f t="array" aca="1" ref="E20" ca="1">IF(E$5&lt;=TODAY(),0,IF($B20="","",IFERROR(_xlfn.LET(_xlpm.Site,$B20,_xlpm.SiteCol,INDIRECT("tblSites[Site]"),_xlpm.ActCol,INDIRECT("tblSites[Site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0" s="9" cm="1">
        <f t="array" aca="1" ref="F20" ca="1">IF(F$5&lt;=TODAY(),0,IF($B20="","",IFERROR(_xlfn.LET(_xlpm.Site,$B20,_xlpm.SiteCol,INDIRECT("tblSites[Site]"),_xlpm.ActCol,INDIRECT("tblSites[Site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0" s="9" cm="1">
        <f t="array" aca="1" ref="G20" ca="1">IF(G$5&lt;=TODAY(),0,IF($B20="","",IFERROR(_xlfn.LET(_xlpm.Site,$B20,_xlpm.SiteCol,INDIRECT("tblSites[Site]"),_xlpm.ActCol,INDIRECT("tblSites[Site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0" s="9" cm="1">
        <f t="array" aca="1" ref="H20" ca="1">IF(H$5&lt;=TODAY(),0,IF($B20="","",IFERROR(_xlfn.LET(_xlpm.Site,$B20,_xlpm.SiteCol,INDIRECT("tblSites[Site]"),_xlpm.ActCol,INDIRECT("tblSites[Site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0" s="9" cm="1">
        <f t="array" aca="1" ref="I20" ca="1">IF(I$5&lt;=TODAY(),0,IF($B20="","",IFERROR(_xlfn.LET(_xlpm.Site,$B20,_xlpm.SiteCol,INDIRECT("tblSites[Site]"),_xlpm.ActCol,INDIRECT("tblSites[Site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0" s="9" cm="1">
        <f t="array" aca="1" ref="J20" ca="1">IF(J$5&lt;=TODAY(),0,IF($B20="","",IFERROR(_xlfn.LET(_xlpm.Site,$B20,_xlpm.SiteCol,INDIRECT("tblSites[Site]"),_xlpm.ActCol,INDIRECT("tblSites[Site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20" s="9" cm="1">
        <f t="array" aca="1" ref="K20" ca="1">IF(K$5&lt;=TODAY(),0,IF($B20="","",IFERROR(_xlfn.LET(_xlpm.Site,$B20,_xlpm.SiteCol,INDIRECT("tblSites[Site]"),_xlpm.ActCol,INDIRECT("tblSites[Site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1</v>
      </c>
      <c r="L20" s="9" cm="1">
        <f t="array" aca="1" ref="L20" ca="1">IF(L$5&lt;=TODAY(),0,IF($B20="","",IFERROR(_xlfn.LET(_xlpm.Site,$B20,_xlpm.SiteCol,INDIRECT("tblSites[Site]"),_xlpm.ActCol,INDIRECT("tblSites[Site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20" s="9" cm="1">
        <f t="array" aca="1" ref="M20" ca="1">IF(M$5&lt;=TODAY(),0,IF($B20="","",IFERROR(_xlfn.LET(_xlpm.Site,$B20,_xlpm.SiteCol,INDIRECT("tblSites[Site]"),_xlpm.ActCol,INDIRECT("tblSites[Site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20" s="9" cm="1">
        <f t="array" aca="1" ref="N20" ca="1">IF(N$5&lt;=TODAY(),0,IF($B20="","",IFERROR(_xlfn.LET(_xlpm.Site,$B20,_xlpm.SiteCol,INDIRECT("tblSites[Site]"),_xlpm.ActCol,INDIRECT("tblSites[Site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20" s="9" cm="1">
        <f t="array" aca="1" ref="O20" ca="1">IF(O$5&lt;=TODAY(),0,IF($B20="","",IFERROR(_xlfn.LET(_xlpm.Site,$B20,_xlpm.SiteCol,INDIRECT("tblSites[Site]"),_xlpm.ActCol,INDIRECT("tblSites[Site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20" s="9" cm="1">
        <f t="array" aca="1" ref="P20" ca="1">IF(P$5&lt;=TODAY(),0,IF($B20="","",IFERROR(_xlfn.LET(_xlpm.Site,$B20,_xlpm.SiteCol,INDIRECT("tblSites[Site]"),_xlpm.ActCol,INDIRECT("tblSites[Site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20" s="9" cm="1">
        <f t="array" aca="1" ref="Q20" ca="1">IF(Q$5&lt;=TODAY(),0,IF($B20="","",IFERROR(_xlfn.LET(_xlpm.Site,$B20,_xlpm.SiteCol,INDIRECT("tblSites[Site]"),_xlpm.ActCol,INDIRECT("tblSites[Site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20" s="9" cm="1">
        <f t="array" aca="1" ref="R20" ca="1">IF(R$5&lt;=TODAY(),0,IF($B20="","",IFERROR(_xlfn.LET(_xlpm.Site,$B20,_xlpm.SiteCol,INDIRECT("tblSites[Site]"),_xlpm.ActCol,INDIRECT("tblSites[Site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20" s="9" cm="1">
        <f t="array" aca="1" ref="S20" ca="1">IF(S$5&lt;=TODAY(),0,IF($B20="","",IFERROR(_xlfn.LET(_xlpm.Site,$B20,_xlpm.SiteCol,INDIRECT("tblSites[Site]"),_xlpm.ActCol,INDIRECT("tblSites[Site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20" s="9" cm="1">
        <f t="array" aca="1" ref="T20" ca="1">IF(T$5&lt;=TODAY(),0,IF($B20="","",IFERROR(_xlfn.LET(_xlpm.Site,$B20,_xlpm.SiteCol,INDIRECT("tblSites[Site]"),_xlpm.ActCol,INDIRECT("tblSites[Site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20" s="9" cm="1">
        <f t="array" aca="1" ref="U20" ca="1">IF(U$5&lt;=TODAY(),0,IF($B20="","",IFERROR(_xlfn.LET(_xlpm.Site,$B20,_xlpm.SiteCol,INDIRECT("tblSites[Site]"),_xlpm.ActCol,INDIRECT("tblSites[Site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20" s="9" cm="1">
        <f t="array" aca="1" ref="V20" ca="1">IF(V$5&lt;=TODAY(),0,IF($B20="","",IFERROR(_xlfn.LET(_xlpm.Site,$B20,_xlpm.SiteCol,INDIRECT("tblSites[Site]"),_xlpm.ActCol,INDIRECT("tblSites[Site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20" s="9" cm="1">
        <f t="array" aca="1" ref="W20" ca="1">IF(W$5&lt;=TODAY(),0,IF($B20="","",IFERROR(_xlfn.LET(_xlpm.Site,$B20,_xlpm.SiteCol,INDIRECT("tblSites[Site]"),_xlpm.ActCol,INDIRECT("tblSites[Site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20" s="9" cm="1">
        <f t="array" aca="1" ref="X20" ca="1">IF(X$5&lt;=TODAY(),0,IF($B20="","",IFERROR(_xlfn.LET(_xlpm.Site,$B20,_xlpm.SiteCol,INDIRECT("tblSites[Site]"),_xlpm.ActCol,INDIRECT("tblSites[Site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20" s="9" cm="1">
        <f t="array" aca="1" ref="Y20" ca="1">IF(Y$5&lt;=TODAY(),0,IF($B20="","",IFERROR(_xlfn.LET(_xlpm.Site,$B20,_xlpm.SiteCol,INDIRECT("tblSites[Site]"),_xlpm.ActCol,INDIRECT("tblSites[Site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20" s="9" cm="1">
        <f t="array" aca="1" ref="Z20" ca="1">IF(Z$5&lt;=TODAY(),0,IF($B20="","",IFERROR(_xlfn.LET(_xlpm.Site,$B20,_xlpm.SiteCol,INDIRECT("tblSites[Site]"),_xlpm.ActCol,INDIRECT("tblSites[Site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20" s="9" cm="1">
        <f t="array" aca="1" ref="AA20" ca="1">IF(AA$5&lt;=TODAY(),0,IF($B20="","",IFERROR(_xlfn.LET(_xlpm.Site,$B20,_xlpm.SiteCol,INDIRECT("tblSites[Site]"),_xlpm.ActCol,INDIRECT("tblSites[Site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20" s="9" cm="1">
        <f t="array" aca="1" ref="AB20" ca="1">IF(AB$5&lt;=TODAY(),0,IF($B20="","",IFERROR(_xlfn.LET(_xlpm.Site,$B20,_xlpm.SiteCol,INDIRECT("tblSites[Site]"),_xlpm.ActCol,INDIRECT("tblSites[Site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20" s="9" cm="1">
        <f t="array" aca="1" ref="AC20" ca="1">IF(AC$5&lt;=TODAY(),0,IF($B20="","",IFERROR(_xlfn.LET(_xlpm.Site,$B20,_xlpm.SiteCol,INDIRECT("tblSites[Site]"),_xlpm.ActCol,INDIRECT("tblSites[Site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21" spans="1:29" x14ac:dyDescent="0.25">
      <c r="A21" t="str">
        <v>Italy</v>
      </c>
      <c r="B21" t="str">
        <v>Italy5</v>
      </c>
      <c r="C21" s="9" cm="1">
        <f t="array" aca="1" ref="C21" ca="1">IF(C$5&lt;=TODAY(),0,IF($B21="","",IFERROR(_xlfn.LET(_xlpm.Site,$B21,_xlpm.SiteCol,INDIRECT("tblSites[Site]"),_xlpm.ActCol,INDIRECT("tblSites[Site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1" s="9" cm="1">
        <f t="array" aca="1" ref="D21" ca="1">IF(D$5&lt;=TODAY(),0,IF($B21="","",IFERROR(_xlfn.LET(_xlpm.Site,$B21,_xlpm.SiteCol,INDIRECT("tblSites[Site]"),_xlpm.ActCol,INDIRECT("tblSites[Site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1" s="9" cm="1">
        <f t="array" aca="1" ref="E21" ca="1">IF(E$5&lt;=TODAY(),0,IF($B21="","",IFERROR(_xlfn.LET(_xlpm.Site,$B21,_xlpm.SiteCol,INDIRECT("tblSites[Site]"),_xlpm.ActCol,INDIRECT("tblSites[Site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1" s="9" cm="1">
        <f t="array" aca="1" ref="F21" ca="1">IF(F$5&lt;=TODAY(),0,IF($B21="","",IFERROR(_xlfn.LET(_xlpm.Site,$B21,_xlpm.SiteCol,INDIRECT("tblSites[Site]"),_xlpm.ActCol,INDIRECT("tblSites[Site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1" s="9" cm="1">
        <f t="array" aca="1" ref="G21" ca="1">IF(G$5&lt;=TODAY(),0,IF($B21="","",IFERROR(_xlfn.LET(_xlpm.Site,$B21,_xlpm.SiteCol,INDIRECT("tblSites[Site]"),_xlpm.ActCol,INDIRECT("tblSites[Site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1" s="9" cm="1">
        <f t="array" aca="1" ref="H21" ca="1">IF(H$5&lt;=TODAY(),0,IF($B21="","",IFERROR(_xlfn.LET(_xlpm.Site,$B21,_xlpm.SiteCol,INDIRECT("tblSites[Site]"),_xlpm.ActCol,INDIRECT("tblSites[Site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1" s="9" cm="1">
        <f t="array" aca="1" ref="I21" ca="1">IF(I$5&lt;=TODAY(),0,IF($B21="","",IFERROR(_xlfn.LET(_xlpm.Site,$B21,_xlpm.SiteCol,INDIRECT("tblSites[Site]"),_xlpm.ActCol,INDIRECT("tblSites[Site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1" s="9" cm="1">
        <f t="array" aca="1" ref="J21" ca="1">IF(J$5&lt;=TODAY(),0,IF($B21="","",IFERROR(_xlfn.LET(_xlpm.Site,$B21,_xlpm.SiteCol,INDIRECT("tblSites[Site]"),_xlpm.ActCol,INDIRECT("tblSites[Site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21" s="9" cm="1">
        <f t="array" aca="1" ref="K21" ca="1">IF(K$5&lt;=TODAY(),0,IF($B21="","",IFERROR(_xlfn.LET(_xlpm.Site,$B21,_xlpm.SiteCol,INDIRECT("tblSites[Site]"),_xlpm.ActCol,INDIRECT("tblSites[Site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0</v>
      </c>
      <c r="L21" s="9" cm="1">
        <f t="array" aca="1" ref="L21" ca="1">IF(L$5&lt;=TODAY(),0,IF($B21="","",IFERROR(_xlfn.LET(_xlpm.Site,$B21,_xlpm.SiteCol,INDIRECT("tblSites[Site]"),_xlpm.ActCol,INDIRECT("tblSites[Site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21" s="9" cm="1">
        <f t="array" aca="1" ref="M21" ca="1">IF(M$5&lt;=TODAY(),0,IF($B21="","",IFERROR(_xlfn.LET(_xlpm.Site,$B21,_xlpm.SiteCol,INDIRECT("tblSites[Site]"),_xlpm.ActCol,INDIRECT("tblSites[Site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21" s="9" cm="1">
        <f t="array" aca="1" ref="N21" ca="1">IF(N$5&lt;=TODAY(),0,IF($B21="","",IFERROR(_xlfn.LET(_xlpm.Site,$B21,_xlpm.SiteCol,INDIRECT("tblSites[Site]"),_xlpm.ActCol,INDIRECT("tblSites[Site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21" s="9" cm="1">
        <f t="array" aca="1" ref="O21" ca="1">IF(O$5&lt;=TODAY(),0,IF($B21="","",IFERROR(_xlfn.LET(_xlpm.Site,$B21,_xlpm.SiteCol,INDIRECT("tblSites[Site]"),_xlpm.ActCol,INDIRECT("tblSites[Site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21" s="9" cm="1">
        <f t="array" aca="1" ref="P21" ca="1">IF(P$5&lt;=TODAY(),0,IF($B21="","",IFERROR(_xlfn.LET(_xlpm.Site,$B21,_xlpm.SiteCol,INDIRECT("tblSites[Site]"),_xlpm.ActCol,INDIRECT("tblSites[Site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21" s="9" cm="1">
        <f t="array" aca="1" ref="Q21" ca="1">IF(Q$5&lt;=TODAY(),0,IF($B21="","",IFERROR(_xlfn.LET(_xlpm.Site,$B21,_xlpm.SiteCol,INDIRECT("tblSites[Site]"),_xlpm.ActCol,INDIRECT("tblSites[Site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21" s="9" cm="1">
        <f t="array" aca="1" ref="R21" ca="1">IF(R$5&lt;=TODAY(),0,IF($B21="","",IFERROR(_xlfn.LET(_xlpm.Site,$B21,_xlpm.SiteCol,INDIRECT("tblSites[Site]"),_xlpm.ActCol,INDIRECT("tblSites[Site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21" s="9" cm="1">
        <f t="array" aca="1" ref="S21" ca="1">IF(S$5&lt;=TODAY(),0,IF($B21="","",IFERROR(_xlfn.LET(_xlpm.Site,$B21,_xlpm.SiteCol,INDIRECT("tblSites[Site]"),_xlpm.ActCol,INDIRECT("tblSites[Site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21" s="9" cm="1">
        <f t="array" aca="1" ref="T21" ca="1">IF(T$5&lt;=TODAY(),0,IF($B21="","",IFERROR(_xlfn.LET(_xlpm.Site,$B21,_xlpm.SiteCol,INDIRECT("tblSites[Site]"),_xlpm.ActCol,INDIRECT("tblSites[Site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21" s="9" cm="1">
        <f t="array" aca="1" ref="U21" ca="1">IF(U$5&lt;=TODAY(),0,IF($B21="","",IFERROR(_xlfn.LET(_xlpm.Site,$B21,_xlpm.SiteCol,INDIRECT("tblSites[Site]"),_xlpm.ActCol,INDIRECT("tblSites[Site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21" s="9" cm="1">
        <f t="array" aca="1" ref="V21" ca="1">IF(V$5&lt;=TODAY(),0,IF($B21="","",IFERROR(_xlfn.LET(_xlpm.Site,$B21,_xlpm.SiteCol,INDIRECT("tblSites[Site]"),_xlpm.ActCol,INDIRECT("tblSites[Site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21" s="9" cm="1">
        <f t="array" aca="1" ref="W21" ca="1">IF(W$5&lt;=TODAY(),0,IF($B21="","",IFERROR(_xlfn.LET(_xlpm.Site,$B21,_xlpm.SiteCol,INDIRECT("tblSites[Site]"),_xlpm.ActCol,INDIRECT("tblSites[Site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21" s="9" cm="1">
        <f t="array" aca="1" ref="X21" ca="1">IF(X$5&lt;=TODAY(),0,IF($B21="","",IFERROR(_xlfn.LET(_xlpm.Site,$B21,_xlpm.SiteCol,INDIRECT("tblSites[Site]"),_xlpm.ActCol,INDIRECT("tblSites[Site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21" s="9" cm="1">
        <f t="array" aca="1" ref="Y21" ca="1">IF(Y$5&lt;=TODAY(),0,IF($B21="","",IFERROR(_xlfn.LET(_xlpm.Site,$B21,_xlpm.SiteCol,INDIRECT("tblSites[Site]"),_xlpm.ActCol,INDIRECT("tblSites[Site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21" s="9" cm="1">
        <f t="array" aca="1" ref="Z21" ca="1">IF(Z$5&lt;=TODAY(),0,IF($B21="","",IFERROR(_xlfn.LET(_xlpm.Site,$B21,_xlpm.SiteCol,INDIRECT("tblSites[Site]"),_xlpm.ActCol,INDIRECT("tblSites[Site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21" s="9" cm="1">
        <f t="array" aca="1" ref="AA21" ca="1">IF(AA$5&lt;=TODAY(),0,IF($B21="","",IFERROR(_xlfn.LET(_xlpm.Site,$B21,_xlpm.SiteCol,INDIRECT("tblSites[Site]"),_xlpm.ActCol,INDIRECT("tblSites[Site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21" s="9" cm="1">
        <f t="array" aca="1" ref="AB21" ca="1">IF(AB$5&lt;=TODAY(),0,IF($B21="","",IFERROR(_xlfn.LET(_xlpm.Site,$B21,_xlpm.SiteCol,INDIRECT("tblSites[Site]"),_xlpm.ActCol,INDIRECT("tblSites[Site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21" s="9" cm="1">
        <f t="array" aca="1" ref="AC21" ca="1">IF(AC$5&lt;=TODAY(),0,IF($B21="","",IFERROR(_xlfn.LET(_xlpm.Site,$B21,_xlpm.SiteCol,INDIRECT("tblSites[Site]"),_xlpm.ActCol,INDIRECT("tblSites[Site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22" spans="1:29" x14ac:dyDescent="0.25">
      <c r="A22" t="str">
        <v>Italy</v>
      </c>
      <c r="B22" t="str">
        <v>Italy6</v>
      </c>
      <c r="C22" s="9" cm="1">
        <f t="array" aca="1" ref="C22" ca="1">IF(C$5&lt;=TODAY(),0,IF($B22="","",IFERROR(_xlfn.LET(_xlpm.Site,$B22,_xlpm.SiteCol,INDIRECT("tblSites[Site]"),_xlpm.ActCol,INDIRECT("tblSites[Site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2" s="9" cm="1">
        <f t="array" aca="1" ref="D22" ca="1">IF(D$5&lt;=TODAY(),0,IF($B22="","",IFERROR(_xlfn.LET(_xlpm.Site,$B22,_xlpm.SiteCol,INDIRECT("tblSites[Site]"),_xlpm.ActCol,INDIRECT("tblSites[Site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2" s="9" cm="1">
        <f t="array" aca="1" ref="E22" ca="1">IF(E$5&lt;=TODAY(),0,IF($B22="","",IFERROR(_xlfn.LET(_xlpm.Site,$B22,_xlpm.SiteCol,INDIRECT("tblSites[Site]"),_xlpm.ActCol,INDIRECT("tblSites[Site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2" s="9" cm="1">
        <f t="array" aca="1" ref="F22" ca="1">IF(F$5&lt;=TODAY(),0,IF($B22="","",IFERROR(_xlfn.LET(_xlpm.Site,$B22,_xlpm.SiteCol,INDIRECT("tblSites[Site]"),_xlpm.ActCol,INDIRECT("tblSites[Site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2" s="9" cm="1">
        <f t="array" aca="1" ref="G22" ca="1">IF(G$5&lt;=TODAY(),0,IF($B22="","",IFERROR(_xlfn.LET(_xlpm.Site,$B22,_xlpm.SiteCol,INDIRECT("tblSites[Site]"),_xlpm.ActCol,INDIRECT("tblSites[Site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2" s="9" cm="1">
        <f t="array" aca="1" ref="H22" ca="1">IF(H$5&lt;=TODAY(),0,IF($B22="","",IFERROR(_xlfn.LET(_xlpm.Site,$B22,_xlpm.SiteCol,INDIRECT("tblSites[Site]"),_xlpm.ActCol,INDIRECT("tblSites[Site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2" s="9" cm="1">
        <f t="array" aca="1" ref="I22" ca="1">IF(I$5&lt;=TODAY(),0,IF($B22="","",IFERROR(_xlfn.LET(_xlpm.Site,$B22,_xlpm.SiteCol,INDIRECT("tblSites[Site]"),_xlpm.ActCol,INDIRECT("tblSites[Site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2" s="9" cm="1">
        <f t="array" aca="1" ref="J22" ca="1">IF(J$5&lt;=TODAY(),0,IF($B22="","",IFERROR(_xlfn.LET(_xlpm.Site,$B22,_xlpm.SiteCol,INDIRECT("tblSites[Site]"),_xlpm.ActCol,INDIRECT("tblSites[Site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0</v>
      </c>
      <c r="K22" s="9" cm="1">
        <f t="array" aca="1" ref="K22" ca="1">IF(K$5&lt;=TODAY(),0,IF($B22="","",IFERROR(_xlfn.LET(_xlpm.Site,$B22,_xlpm.SiteCol,INDIRECT("tblSites[Site]"),_xlpm.ActCol,INDIRECT("tblSites[Site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0</v>
      </c>
      <c r="L22" s="9" cm="1">
        <f t="array" aca="1" ref="L22" ca="1">IF(L$5&lt;=TODAY(),0,IF($B22="","",IFERROR(_xlfn.LET(_xlpm.Site,$B22,_xlpm.SiteCol,INDIRECT("tblSites[Site]"),_xlpm.ActCol,INDIRECT("tblSites[Site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0</v>
      </c>
      <c r="M22" s="9" cm="1">
        <f t="array" aca="1" ref="M22" ca="1">IF(M$5&lt;=TODAY(),0,IF($B22="","",IFERROR(_xlfn.LET(_xlpm.Site,$B22,_xlpm.SiteCol,INDIRECT("tblSites[Site]"),_xlpm.ActCol,INDIRECT("tblSites[Site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22" s="9" cm="1">
        <f t="array" aca="1" ref="N22" ca="1">IF(N$5&lt;=TODAY(),0,IF($B22="","",IFERROR(_xlfn.LET(_xlpm.Site,$B22,_xlpm.SiteCol,INDIRECT("tblSites[Site]"),_xlpm.ActCol,INDIRECT("tblSites[Site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22" s="9" cm="1">
        <f t="array" aca="1" ref="O22" ca="1">IF(O$5&lt;=TODAY(),0,IF($B22="","",IFERROR(_xlfn.LET(_xlpm.Site,$B22,_xlpm.SiteCol,INDIRECT("tblSites[Site]"),_xlpm.ActCol,INDIRECT("tblSites[Site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22" s="9" cm="1">
        <f t="array" aca="1" ref="P22" ca="1">IF(P$5&lt;=TODAY(),0,IF($B22="","",IFERROR(_xlfn.LET(_xlpm.Site,$B22,_xlpm.SiteCol,INDIRECT("tblSites[Site]"),_xlpm.ActCol,INDIRECT("tblSites[Site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1</v>
      </c>
      <c r="Q22" s="9" cm="1">
        <f t="array" aca="1" ref="Q22" ca="1">IF(Q$5&lt;=TODAY(),0,IF($B22="","",IFERROR(_xlfn.LET(_xlpm.Site,$B22,_xlpm.SiteCol,INDIRECT("tblSites[Site]"),_xlpm.ActCol,INDIRECT("tblSites[Site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1</v>
      </c>
      <c r="R22" s="9" cm="1">
        <f t="array" aca="1" ref="R22" ca="1">IF(R$5&lt;=TODAY(),0,IF($B22="","",IFERROR(_xlfn.LET(_xlpm.Site,$B22,_xlpm.SiteCol,INDIRECT("tblSites[Site]"),_xlpm.ActCol,INDIRECT("tblSites[Site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22" s="9" cm="1">
        <f t="array" aca="1" ref="S22" ca="1">IF(S$5&lt;=TODAY(),0,IF($B22="","",IFERROR(_xlfn.LET(_xlpm.Site,$B22,_xlpm.SiteCol,INDIRECT("tblSites[Site]"),_xlpm.ActCol,INDIRECT("tblSites[Site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22" s="9" cm="1">
        <f t="array" aca="1" ref="T22" ca="1">IF(T$5&lt;=TODAY(),0,IF($B22="","",IFERROR(_xlfn.LET(_xlpm.Site,$B22,_xlpm.SiteCol,INDIRECT("tblSites[Site]"),_xlpm.ActCol,INDIRECT("tblSites[Site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22" s="9" cm="1">
        <f t="array" aca="1" ref="U22" ca="1">IF(U$5&lt;=TODAY(),0,IF($B22="","",IFERROR(_xlfn.LET(_xlpm.Site,$B22,_xlpm.SiteCol,INDIRECT("tblSites[Site]"),_xlpm.ActCol,INDIRECT("tblSites[Site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22" s="9" cm="1">
        <f t="array" aca="1" ref="V22" ca="1">IF(V$5&lt;=TODAY(),0,IF($B22="","",IFERROR(_xlfn.LET(_xlpm.Site,$B22,_xlpm.SiteCol,INDIRECT("tblSites[Site]"),_xlpm.ActCol,INDIRECT("tblSites[Site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22" s="9" cm="1">
        <f t="array" aca="1" ref="W22" ca="1">IF(W$5&lt;=TODAY(),0,IF($B22="","",IFERROR(_xlfn.LET(_xlpm.Site,$B22,_xlpm.SiteCol,INDIRECT("tblSites[Site]"),_xlpm.ActCol,INDIRECT("tblSites[Site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22" s="9" cm="1">
        <f t="array" aca="1" ref="X22" ca="1">IF(X$5&lt;=TODAY(),0,IF($B22="","",IFERROR(_xlfn.LET(_xlpm.Site,$B22,_xlpm.SiteCol,INDIRECT("tblSites[Site]"),_xlpm.ActCol,INDIRECT("tblSites[Site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22" s="9" cm="1">
        <f t="array" aca="1" ref="Y22" ca="1">IF(Y$5&lt;=TODAY(),0,IF($B22="","",IFERROR(_xlfn.LET(_xlpm.Site,$B22,_xlpm.SiteCol,INDIRECT("tblSites[Site]"),_xlpm.ActCol,INDIRECT("tblSites[Site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22" s="9" cm="1">
        <f t="array" aca="1" ref="Z22" ca="1">IF(Z$5&lt;=TODAY(),0,IF($B22="","",IFERROR(_xlfn.LET(_xlpm.Site,$B22,_xlpm.SiteCol,INDIRECT("tblSites[Site]"),_xlpm.ActCol,INDIRECT("tblSites[Site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22" s="9" cm="1">
        <f t="array" aca="1" ref="AA22" ca="1">IF(AA$5&lt;=TODAY(),0,IF($B22="","",IFERROR(_xlfn.LET(_xlpm.Site,$B22,_xlpm.SiteCol,INDIRECT("tblSites[Site]"),_xlpm.ActCol,INDIRECT("tblSites[Site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22" s="9" cm="1">
        <f t="array" aca="1" ref="AB22" ca="1">IF(AB$5&lt;=TODAY(),0,IF($B22="","",IFERROR(_xlfn.LET(_xlpm.Site,$B22,_xlpm.SiteCol,INDIRECT("tblSites[Site]"),_xlpm.ActCol,INDIRECT("tblSites[Site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22" s="9" cm="1">
        <f t="array" aca="1" ref="AC22" ca="1">IF(AC$5&lt;=TODAY(),0,IF($B22="","",IFERROR(_xlfn.LET(_xlpm.Site,$B22,_xlpm.SiteCol,INDIRECT("tblSites[Site]"),_xlpm.ActCol,INDIRECT("tblSites[Site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23" spans="1:29" x14ac:dyDescent="0.25">
      <c r="A23" t="str">
        <v>United States</v>
      </c>
      <c r="B23" t="str">
        <v>United States1</v>
      </c>
      <c r="C23" s="9" cm="1">
        <f t="array" aca="1" ref="C23" ca="1">IF(C$5&lt;=TODAY(),0,IF($B23="","",IFERROR(_xlfn.LET(_xlpm.Site,$B23,_xlpm.SiteCol,INDIRECT("tblSites[Site]"),_xlpm.ActCol,INDIRECT("tblSites[Site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3" s="9" cm="1">
        <f t="array" aca="1" ref="D23" ca="1">IF(D$5&lt;=TODAY(),0,IF($B23="","",IFERROR(_xlfn.LET(_xlpm.Site,$B23,_xlpm.SiteCol,INDIRECT("tblSites[Site]"),_xlpm.ActCol,INDIRECT("tblSites[Site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3" s="9" cm="1">
        <f t="array" aca="1" ref="E23" ca="1">IF(E$5&lt;=TODAY(),0,IF($B23="","",IFERROR(_xlfn.LET(_xlpm.Site,$B23,_xlpm.SiteCol,INDIRECT("tblSites[Site]"),_xlpm.ActCol,INDIRECT("tblSites[Site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3" s="9" cm="1">
        <f t="array" aca="1" ref="F23" ca="1">IF(F$5&lt;=TODAY(),0,IF($B23="","",IFERROR(_xlfn.LET(_xlpm.Site,$B23,_xlpm.SiteCol,INDIRECT("tblSites[Site]"),_xlpm.ActCol,INDIRECT("tblSites[Site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3" s="9" cm="1">
        <f t="array" aca="1" ref="G23" ca="1">IF(G$5&lt;=TODAY(),0,IF($B23="","",IFERROR(_xlfn.LET(_xlpm.Site,$B23,_xlpm.SiteCol,INDIRECT("tblSites[Site]"),_xlpm.ActCol,INDIRECT("tblSites[Site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3" s="9" cm="1">
        <f t="array" aca="1" ref="H23" ca="1">IF(H$5&lt;=TODAY(),0,IF($B23="","",IFERROR(_xlfn.LET(_xlpm.Site,$B23,_xlpm.SiteCol,INDIRECT("tblSites[Site]"),_xlpm.ActCol,INDIRECT("tblSites[Site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3" s="9" cm="1">
        <f t="array" aca="1" ref="I23" ca="1">IF(I$5&lt;=TODAY(),0,IF($B23="","",IFERROR(_xlfn.LET(_xlpm.Site,$B23,_xlpm.SiteCol,INDIRECT("tblSites[Site]"),_xlpm.ActCol,INDIRECT("tblSites[Site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3" s="9" cm="1">
        <f t="array" aca="1" ref="J23" ca="1">IF(J$5&lt;=TODAY(),0,IF($B23="","",IFERROR(_xlfn.LET(_xlpm.Site,$B23,_xlpm.SiteCol,INDIRECT("tblSites[Site]"),_xlpm.ActCol,INDIRECT("tblSites[Site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3</v>
      </c>
      <c r="K23" s="9" cm="1">
        <f t="array" aca="1" ref="K23" ca="1">IF(K$5&lt;=TODAY(),0,IF($B23="","",IFERROR(_xlfn.LET(_xlpm.Site,$B23,_xlpm.SiteCol,INDIRECT("tblSites[Site]"),_xlpm.ActCol,INDIRECT("tblSites[Site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2</v>
      </c>
      <c r="L23" s="9" cm="1">
        <f t="array" aca="1" ref="L23" ca="1">IF(L$5&lt;=TODAY(),0,IF($B23="","",IFERROR(_xlfn.LET(_xlpm.Site,$B23,_xlpm.SiteCol,INDIRECT("tblSites[Site]"),_xlpm.ActCol,INDIRECT("tblSites[Site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2</v>
      </c>
      <c r="M23" s="9" cm="1">
        <f t="array" aca="1" ref="M23" ca="1">IF(M$5&lt;=TODAY(),0,IF($B23="","",IFERROR(_xlfn.LET(_xlpm.Site,$B23,_xlpm.SiteCol,INDIRECT("tblSites[Site]"),_xlpm.ActCol,INDIRECT("tblSites[Site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23" s="9" cm="1">
        <f t="array" aca="1" ref="N23" ca="1">IF(N$5&lt;=TODAY(),0,IF($B23="","",IFERROR(_xlfn.LET(_xlpm.Site,$B23,_xlpm.SiteCol,INDIRECT("tblSites[Site]"),_xlpm.ActCol,INDIRECT("tblSites[Site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23" s="9" cm="1">
        <f t="array" aca="1" ref="O23" ca="1">IF(O$5&lt;=TODAY(),0,IF($B23="","",IFERROR(_xlfn.LET(_xlpm.Site,$B23,_xlpm.SiteCol,INDIRECT("tblSites[Site]"),_xlpm.ActCol,INDIRECT("tblSites[Site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23" s="9" cm="1">
        <f t="array" aca="1" ref="P23" ca="1">IF(P$5&lt;=TODAY(),0,IF($B23="","",IFERROR(_xlfn.LET(_xlpm.Site,$B23,_xlpm.SiteCol,INDIRECT("tblSites[Site]"),_xlpm.ActCol,INDIRECT("tblSites[Site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23" s="9" cm="1">
        <f t="array" aca="1" ref="Q23" ca="1">IF(Q$5&lt;=TODAY(),0,IF($B23="","",IFERROR(_xlfn.LET(_xlpm.Site,$B23,_xlpm.SiteCol,INDIRECT("tblSites[Site]"),_xlpm.ActCol,INDIRECT("tblSites[Site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23" s="9" cm="1">
        <f t="array" aca="1" ref="R23" ca="1">IF(R$5&lt;=TODAY(),0,IF($B23="","",IFERROR(_xlfn.LET(_xlpm.Site,$B23,_xlpm.SiteCol,INDIRECT("tblSites[Site]"),_xlpm.ActCol,INDIRECT("tblSites[Site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23" s="9" cm="1">
        <f t="array" aca="1" ref="S23" ca="1">IF(S$5&lt;=TODAY(),0,IF($B23="","",IFERROR(_xlfn.LET(_xlpm.Site,$B23,_xlpm.SiteCol,INDIRECT("tblSites[Site]"),_xlpm.ActCol,INDIRECT("tblSites[Site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23" s="9" cm="1">
        <f t="array" aca="1" ref="T23" ca="1">IF(T$5&lt;=TODAY(),0,IF($B23="","",IFERROR(_xlfn.LET(_xlpm.Site,$B23,_xlpm.SiteCol,INDIRECT("tblSites[Site]"),_xlpm.ActCol,INDIRECT("tblSites[Site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23" s="9" cm="1">
        <f t="array" aca="1" ref="U23" ca="1">IF(U$5&lt;=TODAY(),0,IF($B23="","",IFERROR(_xlfn.LET(_xlpm.Site,$B23,_xlpm.SiteCol,INDIRECT("tblSites[Site]"),_xlpm.ActCol,INDIRECT("tblSites[Site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23" s="9" cm="1">
        <f t="array" aca="1" ref="V23" ca="1">IF(V$5&lt;=TODAY(),0,IF($B23="","",IFERROR(_xlfn.LET(_xlpm.Site,$B23,_xlpm.SiteCol,INDIRECT("tblSites[Site]"),_xlpm.ActCol,INDIRECT("tblSites[Site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23" s="9" cm="1">
        <f t="array" aca="1" ref="W23" ca="1">IF(W$5&lt;=TODAY(),0,IF($B23="","",IFERROR(_xlfn.LET(_xlpm.Site,$B23,_xlpm.SiteCol,INDIRECT("tblSites[Site]"),_xlpm.ActCol,INDIRECT("tblSites[Site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23" s="9" cm="1">
        <f t="array" aca="1" ref="X23" ca="1">IF(X$5&lt;=TODAY(),0,IF($B23="","",IFERROR(_xlfn.LET(_xlpm.Site,$B23,_xlpm.SiteCol,INDIRECT("tblSites[Site]"),_xlpm.ActCol,INDIRECT("tblSites[Site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23" s="9" cm="1">
        <f t="array" aca="1" ref="Y23" ca="1">IF(Y$5&lt;=TODAY(),0,IF($B23="","",IFERROR(_xlfn.LET(_xlpm.Site,$B23,_xlpm.SiteCol,INDIRECT("tblSites[Site]"),_xlpm.ActCol,INDIRECT("tblSites[Site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23" s="9" cm="1">
        <f t="array" aca="1" ref="Z23" ca="1">IF(Z$5&lt;=TODAY(),0,IF($B23="","",IFERROR(_xlfn.LET(_xlpm.Site,$B23,_xlpm.SiteCol,INDIRECT("tblSites[Site]"),_xlpm.ActCol,INDIRECT("tblSites[Site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23" s="9" cm="1">
        <f t="array" aca="1" ref="AA23" ca="1">IF(AA$5&lt;=TODAY(),0,IF($B23="","",IFERROR(_xlfn.LET(_xlpm.Site,$B23,_xlpm.SiteCol,INDIRECT("tblSites[Site]"),_xlpm.ActCol,INDIRECT("tblSites[Site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23" s="9" cm="1">
        <f t="array" aca="1" ref="AB23" ca="1">IF(AB$5&lt;=TODAY(),0,IF($B23="","",IFERROR(_xlfn.LET(_xlpm.Site,$B23,_xlpm.SiteCol,INDIRECT("tblSites[Site]"),_xlpm.ActCol,INDIRECT("tblSites[Site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23" s="9" cm="1">
        <f t="array" aca="1" ref="AC23" ca="1">IF(AC$5&lt;=TODAY(),0,IF($B23="","",IFERROR(_xlfn.LET(_xlpm.Site,$B23,_xlpm.SiteCol,INDIRECT("tblSites[Site]"),_xlpm.ActCol,INDIRECT("tblSites[Site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24" spans="1:29" x14ac:dyDescent="0.25">
      <c r="A24" t="str">
        <v>United States</v>
      </c>
      <c r="B24" t="str">
        <v>United States2</v>
      </c>
      <c r="C24" s="9" cm="1">
        <f t="array" aca="1" ref="C24" ca="1">IF(C$5&lt;=TODAY(),0,IF($B24="","",IFERROR(_xlfn.LET(_xlpm.Site,$B24,_xlpm.SiteCol,INDIRECT("tblSites[Site]"),_xlpm.ActCol,INDIRECT("tblSites[Site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4" s="9" cm="1">
        <f t="array" aca="1" ref="D24" ca="1">IF(D$5&lt;=TODAY(),0,IF($B24="","",IFERROR(_xlfn.LET(_xlpm.Site,$B24,_xlpm.SiteCol,INDIRECT("tblSites[Site]"),_xlpm.ActCol,INDIRECT("tblSites[Site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4" s="9" cm="1">
        <f t="array" aca="1" ref="E24" ca="1">IF(E$5&lt;=TODAY(),0,IF($B24="","",IFERROR(_xlfn.LET(_xlpm.Site,$B24,_xlpm.SiteCol,INDIRECT("tblSites[Site]"),_xlpm.ActCol,INDIRECT("tblSites[Site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4" s="9" cm="1">
        <f t="array" aca="1" ref="F24" ca="1">IF(F$5&lt;=TODAY(),0,IF($B24="","",IFERROR(_xlfn.LET(_xlpm.Site,$B24,_xlpm.SiteCol,INDIRECT("tblSites[Site]"),_xlpm.ActCol,INDIRECT("tblSites[Site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4" s="9" cm="1">
        <f t="array" aca="1" ref="G24" ca="1">IF(G$5&lt;=TODAY(),0,IF($B24="","",IFERROR(_xlfn.LET(_xlpm.Site,$B24,_xlpm.SiteCol,INDIRECT("tblSites[Site]"),_xlpm.ActCol,INDIRECT("tblSites[Site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4" s="9" cm="1">
        <f t="array" aca="1" ref="H24" ca="1">IF(H$5&lt;=TODAY(),0,IF($B24="","",IFERROR(_xlfn.LET(_xlpm.Site,$B24,_xlpm.SiteCol,INDIRECT("tblSites[Site]"),_xlpm.ActCol,INDIRECT("tblSites[Site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4" s="9" cm="1">
        <f t="array" aca="1" ref="I24" ca="1">IF(I$5&lt;=TODAY(),0,IF($B24="","",IFERROR(_xlfn.LET(_xlpm.Site,$B24,_xlpm.SiteCol,INDIRECT("tblSites[Site]"),_xlpm.ActCol,INDIRECT("tblSites[Site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4" s="9" cm="1">
        <f t="array" aca="1" ref="J24" ca="1">IF(J$5&lt;=TODAY(),0,IF($B24="","",IFERROR(_xlfn.LET(_xlpm.Site,$B24,_xlpm.SiteCol,INDIRECT("tblSites[Site]"),_xlpm.ActCol,INDIRECT("tblSites[Site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3</v>
      </c>
      <c r="K24" s="9" cm="1">
        <f t="array" aca="1" ref="K24" ca="1">IF(K$5&lt;=TODAY(),0,IF($B24="","",IFERROR(_xlfn.LET(_xlpm.Site,$B24,_xlpm.SiteCol,INDIRECT("tblSites[Site]"),_xlpm.ActCol,INDIRECT("tblSites[Site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2</v>
      </c>
      <c r="L24" s="9" cm="1">
        <f t="array" aca="1" ref="L24" ca="1">IF(L$5&lt;=TODAY(),0,IF($B24="","",IFERROR(_xlfn.LET(_xlpm.Site,$B24,_xlpm.SiteCol,INDIRECT("tblSites[Site]"),_xlpm.ActCol,INDIRECT("tblSites[Site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24" s="9" cm="1">
        <f t="array" aca="1" ref="M24" ca="1">IF(M$5&lt;=TODAY(),0,IF($B24="","",IFERROR(_xlfn.LET(_xlpm.Site,$B24,_xlpm.SiteCol,INDIRECT("tblSites[Site]"),_xlpm.ActCol,INDIRECT("tblSites[Site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24" s="9" cm="1">
        <f t="array" aca="1" ref="N24" ca="1">IF(N$5&lt;=TODAY(),0,IF($B24="","",IFERROR(_xlfn.LET(_xlpm.Site,$B24,_xlpm.SiteCol,INDIRECT("tblSites[Site]"),_xlpm.ActCol,INDIRECT("tblSites[Site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24" s="9" cm="1">
        <f t="array" aca="1" ref="O24" ca="1">IF(O$5&lt;=TODAY(),0,IF($B24="","",IFERROR(_xlfn.LET(_xlpm.Site,$B24,_xlpm.SiteCol,INDIRECT("tblSites[Site]"),_xlpm.ActCol,INDIRECT("tblSites[Site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24" s="9" cm="1">
        <f t="array" aca="1" ref="P24" ca="1">IF(P$5&lt;=TODAY(),0,IF($B24="","",IFERROR(_xlfn.LET(_xlpm.Site,$B24,_xlpm.SiteCol,INDIRECT("tblSites[Site]"),_xlpm.ActCol,INDIRECT("tblSites[Site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24" s="9" cm="1">
        <f t="array" aca="1" ref="Q24" ca="1">IF(Q$5&lt;=TODAY(),0,IF($B24="","",IFERROR(_xlfn.LET(_xlpm.Site,$B24,_xlpm.SiteCol,INDIRECT("tblSites[Site]"),_xlpm.ActCol,INDIRECT("tblSites[Site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24" s="9" cm="1">
        <f t="array" aca="1" ref="R24" ca="1">IF(R$5&lt;=TODAY(),0,IF($B24="","",IFERROR(_xlfn.LET(_xlpm.Site,$B24,_xlpm.SiteCol,INDIRECT("tblSites[Site]"),_xlpm.ActCol,INDIRECT("tblSites[Site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24" s="9" cm="1">
        <f t="array" aca="1" ref="S24" ca="1">IF(S$5&lt;=TODAY(),0,IF($B24="","",IFERROR(_xlfn.LET(_xlpm.Site,$B24,_xlpm.SiteCol,INDIRECT("tblSites[Site]"),_xlpm.ActCol,INDIRECT("tblSites[Site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24" s="9" cm="1">
        <f t="array" aca="1" ref="T24" ca="1">IF(T$5&lt;=TODAY(),0,IF($B24="","",IFERROR(_xlfn.LET(_xlpm.Site,$B24,_xlpm.SiteCol,INDIRECT("tblSites[Site]"),_xlpm.ActCol,INDIRECT("tblSites[Site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24" s="9" cm="1">
        <f t="array" aca="1" ref="U24" ca="1">IF(U$5&lt;=TODAY(),0,IF($B24="","",IFERROR(_xlfn.LET(_xlpm.Site,$B24,_xlpm.SiteCol,INDIRECT("tblSites[Site]"),_xlpm.ActCol,INDIRECT("tblSites[Site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24" s="9" cm="1">
        <f t="array" aca="1" ref="V24" ca="1">IF(V$5&lt;=TODAY(),0,IF($B24="","",IFERROR(_xlfn.LET(_xlpm.Site,$B24,_xlpm.SiteCol,INDIRECT("tblSites[Site]"),_xlpm.ActCol,INDIRECT("tblSites[Site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24" s="9" cm="1">
        <f t="array" aca="1" ref="W24" ca="1">IF(W$5&lt;=TODAY(),0,IF($B24="","",IFERROR(_xlfn.LET(_xlpm.Site,$B24,_xlpm.SiteCol,INDIRECT("tblSites[Site]"),_xlpm.ActCol,INDIRECT("tblSites[Site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24" s="9" cm="1">
        <f t="array" aca="1" ref="X24" ca="1">IF(X$5&lt;=TODAY(),0,IF($B24="","",IFERROR(_xlfn.LET(_xlpm.Site,$B24,_xlpm.SiteCol,INDIRECT("tblSites[Site]"),_xlpm.ActCol,INDIRECT("tblSites[Site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24" s="9" cm="1">
        <f t="array" aca="1" ref="Y24" ca="1">IF(Y$5&lt;=TODAY(),0,IF($B24="","",IFERROR(_xlfn.LET(_xlpm.Site,$B24,_xlpm.SiteCol,INDIRECT("tblSites[Site]"),_xlpm.ActCol,INDIRECT("tblSites[Site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24" s="9" cm="1">
        <f t="array" aca="1" ref="Z24" ca="1">IF(Z$5&lt;=TODAY(),0,IF($B24="","",IFERROR(_xlfn.LET(_xlpm.Site,$B24,_xlpm.SiteCol,INDIRECT("tblSites[Site]"),_xlpm.ActCol,INDIRECT("tblSites[Site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24" s="9" cm="1">
        <f t="array" aca="1" ref="AA24" ca="1">IF(AA$5&lt;=TODAY(),0,IF($B24="","",IFERROR(_xlfn.LET(_xlpm.Site,$B24,_xlpm.SiteCol,INDIRECT("tblSites[Site]"),_xlpm.ActCol,INDIRECT("tblSites[Site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24" s="9" cm="1">
        <f t="array" aca="1" ref="AB24" ca="1">IF(AB$5&lt;=TODAY(),0,IF($B24="","",IFERROR(_xlfn.LET(_xlpm.Site,$B24,_xlpm.SiteCol,INDIRECT("tblSites[Site]"),_xlpm.ActCol,INDIRECT("tblSites[Site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24" s="9" cm="1">
        <f t="array" aca="1" ref="AC24" ca="1">IF(AC$5&lt;=TODAY(),0,IF($B24="","",IFERROR(_xlfn.LET(_xlpm.Site,$B24,_xlpm.SiteCol,INDIRECT("tblSites[Site]"),_xlpm.ActCol,INDIRECT("tblSites[Site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25" spans="1:29" x14ac:dyDescent="0.25">
      <c r="A25" t="str">
        <v>United States</v>
      </c>
      <c r="B25" t="str">
        <v>United States3</v>
      </c>
      <c r="C25" s="9" cm="1">
        <f t="array" aca="1" ref="C25" ca="1">IF(C$5&lt;=TODAY(),0,IF($B25="","",IFERROR(_xlfn.LET(_xlpm.Site,$B25,_xlpm.SiteCol,INDIRECT("tblSites[Site]"),_xlpm.ActCol,INDIRECT("tblSites[Site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5" s="9" cm="1">
        <f t="array" aca="1" ref="D25" ca="1">IF(D$5&lt;=TODAY(),0,IF($B25="","",IFERROR(_xlfn.LET(_xlpm.Site,$B25,_xlpm.SiteCol,INDIRECT("tblSites[Site]"),_xlpm.ActCol,INDIRECT("tblSites[Site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5" s="9" cm="1">
        <f t="array" aca="1" ref="E25" ca="1">IF(E$5&lt;=TODAY(),0,IF($B25="","",IFERROR(_xlfn.LET(_xlpm.Site,$B25,_xlpm.SiteCol,INDIRECT("tblSites[Site]"),_xlpm.ActCol,INDIRECT("tblSites[Site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5" s="9" cm="1">
        <f t="array" aca="1" ref="F25" ca="1">IF(F$5&lt;=TODAY(),0,IF($B25="","",IFERROR(_xlfn.LET(_xlpm.Site,$B25,_xlpm.SiteCol,INDIRECT("tblSites[Site]"),_xlpm.ActCol,INDIRECT("tblSites[Site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5" s="9" cm="1">
        <f t="array" aca="1" ref="G25" ca="1">IF(G$5&lt;=TODAY(),0,IF($B25="","",IFERROR(_xlfn.LET(_xlpm.Site,$B25,_xlpm.SiteCol,INDIRECT("tblSites[Site]"),_xlpm.ActCol,INDIRECT("tblSites[Site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5" s="9" cm="1">
        <f t="array" aca="1" ref="H25" ca="1">IF(H$5&lt;=TODAY(),0,IF($B25="","",IFERROR(_xlfn.LET(_xlpm.Site,$B25,_xlpm.SiteCol,INDIRECT("tblSites[Site]"),_xlpm.ActCol,INDIRECT("tblSites[Site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5" s="9" cm="1">
        <f t="array" aca="1" ref="I25" ca="1">IF(I$5&lt;=TODAY(),0,IF($B25="","",IFERROR(_xlfn.LET(_xlpm.Site,$B25,_xlpm.SiteCol,INDIRECT("tblSites[Site]"),_xlpm.ActCol,INDIRECT("tblSites[Site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5" s="9" cm="1">
        <f t="array" aca="1" ref="J25" ca="1">IF(J$5&lt;=TODAY(),0,IF($B25="","",IFERROR(_xlfn.LET(_xlpm.Site,$B25,_xlpm.SiteCol,INDIRECT("tblSites[Site]"),_xlpm.ActCol,INDIRECT("tblSites[Site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3</v>
      </c>
      <c r="K25" s="9" cm="1">
        <f t="array" aca="1" ref="K25" ca="1">IF(K$5&lt;=TODAY(),0,IF($B25="","",IFERROR(_xlfn.LET(_xlpm.Site,$B25,_xlpm.SiteCol,INDIRECT("tblSites[Site]"),_xlpm.ActCol,INDIRECT("tblSites[Site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2</v>
      </c>
      <c r="L25" s="9" cm="1">
        <f t="array" aca="1" ref="L25" ca="1">IF(L$5&lt;=TODAY(),0,IF($B25="","",IFERROR(_xlfn.LET(_xlpm.Site,$B25,_xlpm.SiteCol,INDIRECT("tblSites[Site]"),_xlpm.ActCol,INDIRECT("tblSites[Site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25" s="9" cm="1">
        <f t="array" aca="1" ref="M25" ca="1">IF(M$5&lt;=TODAY(),0,IF($B25="","",IFERROR(_xlfn.LET(_xlpm.Site,$B25,_xlpm.SiteCol,INDIRECT("tblSites[Site]"),_xlpm.ActCol,INDIRECT("tblSites[Site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25" s="9" cm="1">
        <f t="array" aca="1" ref="N25" ca="1">IF(N$5&lt;=TODAY(),0,IF($B25="","",IFERROR(_xlfn.LET(_xlpm.Site,$B25,_xlpm.SiteCol,INDIRECT("tblSites[Site]"),_xlpm.ActCol,INDIRECT("tblSites[Site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25" s="9" cm="1">
        <f t="array" aca="1" ref="O25" ca="1">IF(O$5&lt;=TODAY(),0,IF($B25="","",IFERROR(_xlfn.LET(_xlpm.Site,$B25,_xlpm.SiteCol,INDIRECT("tblSites[Site]"),_xlpm.ActCol,INDIRECT("tblSites[Site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25" s="9" cm="1">
        <f t="array" aca="1" ref="P25" ca="1">IF(P$5&lt;=TODAY(),0,IF($B25="","",IFERROR(_xlfn.LET(_xlpm.Site,$B25,_xlpm.SiteCol,INDIRECT("tblSites[Site]"),_xlpm.ActCol,INDIRECT("tblSites[Site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25" s="9" cm="1">
        <f t="array" aca="1" ref="Q25" ca="1">IF(Q$5&lt;=TODAY(),0,IF($B25="","",IFERROR(_xlfn.LET(_xlpm.Site,$B25,_xlpm.SiteCol,INDIRECT("tblSites[Site]"),_xlpm.ActCol,INDIRECT("tblSites[Site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25" s="9" cm="1">
        <f t="array" aca="1" ref="R25" ca="1">IF(R$5&lt;=TODAY(),0,IF($B25="","",IFERROR(_xlfn.LET(_xlpm.Site,$B25,_xlpm.SiteCol,INDIRECT("tblSites[Site]"),_xlpm.ActCol,INDIRECT("tblSites[Site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25" s="9" cm="1">
        <f t="array" aca="1" ref="S25" ca="1">IF(S$5&lt;=TODAY(),0,IF($B25="","",IFERROR(_xlfn.LET(_xlpm.Site,$B25,_xlpm.SiteCol,INDIRECT("tblSites[Site]"),_xlpm.ActCol,INDIRECT("tblSites[Site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25" s="9" cm="1">
        <f t="array" aca="1" ref="T25" ca="1">IF(T$5&lt;=TODAY(),0,IF($B25="","",IFERROR(_xlfn.LET(_xlpm.Site,$B25,_xlpm.SiteCol,INDIRECT("tblSites[Site]"),_xlpm.ActCol,INDIRECT("tblSites[Site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25" s="9" cm="1">
        <f t="array" aca="1" ref="U25" ca="1">IF(U$5&lt;=TODAY(),0,IF($B25="","",IFERROR(_xlfn.LET(_xlpm.Site,$B25,_xlpm.SiteCol,INDIRECT("tblSites[Site]"),_xlpm.ActCol,INDIRECT("tblSites[Site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25" s="9" cm="1">
        <f t="array" aca="1" ref="V25" ca="1">IF(V$5&lt;=TODAY(),0,IF($B25="","",IFERROR(_xlfn.LET(_xlpm.Site,$B25,_xlpm.SiteCol,INDIRECT("tblSites[Site]"),_xlpm.ActCol,INDIRECT("tblSites[Site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25" s="9" cm="1">
        <f t="array" aca="1" ref="W25" ca="1">IF(W$5&lt;=TODAY(),0,IF($B25="","",IFERROR(_xlfn.LET(_xlpm.Site,$B25,_xlpm.SiteCol,INDIRECT("tblSites[Site]"),_xlpm.ActCol,INDIRECT("tblSites[Site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25" s="9" cm="1">
        <f t="array" aca="1" ref="X25" ca="1">IF(X$5&lt;=TODAY(),0,IF($B25="","",IFERROR(_xlfn.LET(_xlpm.Site,$B25,_xlpm.SiteCol,INDIRECT("tblSites[Site]"),_xlpm.ActCol,INDIRECT("tblSites[Site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25" s="9" cm="1">
        <f t="array" aca="1" ref="Y25" ca="1">IF(Y$5&lt;=TODAY(),0,IF($B25="","",IFERROR(_xlfn.LET(_xlpm.Site,$B25,_xlpm.SiteCol,INDIRECT("tblSites[Site]"),_xlpm.ActCol,INDIRECT("tblSites[Site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25" s="9" cm="1">
        <f t="array" aca="1" ref="Z25" ca="1">IF(Z$5&lt;=TODAY(),0,IF($B25="","",IFERROR(_xlfn.LET(_xlpm.Site,$B25,_xlpm.SiteCol,INDIRECT("tblSites[Site]"),_xlpm.ActCol,INDIRECT("tblSites[Site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25" s="9" cm="1">
        <f t="array" aca="1" ref="AA25" ca="1">IF(AA$5&lt;=TODAY(),0,IF($B25="","",IFERROR(_xlfn.LET(_xlpm.Site,$B25,_xlpm.SiteCol,INDIRECT("tblSites[Site]"),_xlpm.ActCol,INDIRECT("tblSites[Site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25" s="9" cm="1">
        <f t="array" aca="1" ref="AB25" ca="1">IF(AB$5&lt;=TODAY(),0,IF($B25="","",IFERROR(_xlfn.LET(_xlpm.Site,$B25,_xlpm.SiteCol,INDIRECT("tblSites[Site]"),_xlpm.ActCol,INDIRECT("tblSites[Site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25" s="9" cm="1">
        <f t="array" aca="1" ref="AC25" ca="1">IF(AC$5&lt;=TODAY(),0,IF($B25="","",IFERROR(_xlfn.LET(_xlpm.Site,$B25,_xlpm.SiteCol,INDIRECT("tblSites[Site]"),_xlpm.ActCol,INDIRECT("tblSites[Site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26" spans="1:29" x14ac:dyDescent="0.25">
      <c r="A26" t="str">
        <v>United States</v>
      </c>
      <c r="B26" t="str">
        <v>United States4</v>
      </c>
      <c r="C26" s="9" cm="1">
        <f t="array" aca="1" ref="C26" ca="1">IF(C$5&lt;=TODAY(),0,IF($B26="","",IFERROR(_xlfn.LET(_xlpm.Site,$B26,_xlpm.SiteCol,INDIRECT("tblSites[Site]"),_xlpm.ActCol,INDIRECT("tblSites[Site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6" s="9" cm="1">
        <f t="array" aca="1" ref="D26" ca="1">IF(D$5&lt;=TODAY(),0,IF($B26="","",IFERROR(_xlfn.LET(_xlpm.Site,$B26,_xlpm.SiteCol,INDIRECT("tblSites[Site]"),_xlpm.ActCol,INDIRECT("tblSites[Site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6" s="9" cm="1">
        <f t="array" aca="1" ref="E26" ca="1">IF(E$5&lt;=TODAY(),0,IF($B26="","",IFERROR(_xlfn.LET(_xlpm.Site,$B26,_xlpm.SiteCol,INDIRECT("tblSites[Site]"),_xlpm.ActCol,INDIRECT("tblSites[Site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6" s="9" cm="1">
        <f t="array" aca="1" ref="F26" ca="1">IF(F$5&lt;=TODAY(),0,IF($B26="","",IFERROR(_xlfn.LET(_xlpm.Site,$B26,_xlpm.SiteCol,INDIRECT("tblSites[Site]"),_xlpm.ActCol,INDIRECT("tblSites[Site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6" s="9" cm="1">
        <f t="array" aca="1" ref="G26" ca="1">IF(G$5&lt;=TODAY(),0,IF($B26="","",IFERROR(_xlfn.LET(_xlpm.Site,$B26,_xlpm.SiteCol,INDIRECT("tblSites[Site]"),_xlpm.ActCol,INDIRECT("tblSites[Site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6" s="9" cm="1">
        <f t="array" aca="1" ref="H26" ca="1">IF(H$5&lt;=TODAY(),0,IF($B26="","",IFERROR(_xlfn.LET(_xlpm.Site,$B26,_xlpm.SiteCol,INDIRECT("tblSites[Site]"),_xlpm.ActCol,INDIRECT("tblSites[Site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6" s="9" cm="1">
        <f t="array" aca="1" ref="I26" ca="1">IF(I$5&lt;=TODAY(),0,IF($B26="","",IFERROR(_xlfn.LET(_xlpm.Site,$B26,_xlpm.SiteCol,INDIRECT("tblSites[Site]"),_xlpm.ActCol,INDIRECT("tblSites[Site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6" s="9" cm="1">
        <f t="array" aca="1" ref="J26" ca="1">IF(J$5&lt;=TODAY(),0,IF($B26="","",IFERROR(_xlfn.LET(_xlpm.Site,$B26,_xlpm.SiteCol,INDIRECT("tblSites[Site]"),_xlpm.ActCol,INDIRECT("tblSites[Site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>3</v>
      </c>
      <c r="K26" s="9" cm="1">
        <f t="array" aca="1" ref="K26" ca="1">IF(K$5&lt;=TODAY(),0,IF($B26="","",IFERROR(_xlfn.LET(_xlpm.Site,$B26,_xlpm.SiteCol,INDIRECT("tblSites[Site]"),_xlpm.ActCol,INDIRECT("tblSites[Site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>2</v>
      </c>
      <c r="L26" s="9" cm="1">
        <f t="array" aca="1" ref="L26" ca="1">IF(L$5&lt;=TODAY(),0,IF($B26="","",IFERROR(_xlfn.LET(_xlpm.Site,$B26,_xlpm.SiteCol,INDIRECT("tblSites[Site]"),_xlpm.ActCol,INDIRECT("tblSites[Site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>1</v>
      </c>
      <c r="M26" s="9" cm="1">
        <f t="array" aca="1" ref="M26" ca="1">IF(M$5&lt;=TODAY(),0,IF($B26="","",IFERROR(_xlfn.LET(_xlpm.Site,$B26,_xlpm.SiteCol,INDIRECT("tblSites[Site]"),_xlpm.ActCol,INDIRECT("tblSites[Site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>1</v>
      </c>
      <c r="N26" s="9" cm="1">
        <f t="array" aca="1" ref="N26" ca="1">IF(N$5&lt;=TODAY(),0,IF($B26="","",IFERROR(_xlfn.LET(_xlpm.Site,$B26,_xlpm.SiteCol,INDIRECT("tblSites[Site]"),_xlpm.ActCol,INDIRECT("tblSites[Site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>1</v>
      </c>
      <c r="O26" s="9" cm="1">
        <f t="array" aca="1" ref="O26" ca="1">IF(O$5&lt;=TODAY(),0,IF($B26="","",IFERROR(_xlfn.LET(_xlpm.Site,$B26,_xlpm.SiteCol,INDIRECT("tblSites[Site]"),_xlpm.ActCol,INDIRECT("tblSites[Site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>1</v>
      </c>
      <c r="P26" s="9" cm="1">
        <f t="array" aca="1" ref="P26" ca="1">IF(P$5&lt;=TODAY(),0,IF($B26="","",IFERROR(_xlfn.LET(_xlpm.Site,$B26,_xlpm.SiteCol,INDIRECT("tblSites[Site]"),_xlpm.ActCol,INDIRECT("tblSites[Site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>0</v>
      </c>
      <c r="Q26" s="9" cm="1">
        <f t="array" aca="1" ref="Q26" ca="1">IF(Q$5&lt;=TODAY(),0,IF($B26="","",IFERROR(_xlfn.LET(_xlpm.Site,$B26,_xlpm.SiteCol,INDIRECT("tblSites[Site]"),_xlpm.ActCol,INDIRECT("tblSites[Site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>0</v>
      </c>
      <c r="R26" s="9" cm="1">
        <f t="array" aca="1" ref="R26" ca="1">IF(R$5&lt;=TODAY(),0,IF($B26="","",IFERROR(_xlfn.LET(_xlpm.Site,$B26,_xlpm.SiteCol,INDIRECT("tblSites[Site]"),_xlpm.ActCol,INDIRECT("tblSites[Site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>0</v>
      </c>
      <c r="S26" s="9" cm="1">
        <f t="array" aca="1" ref="S26" ca="1">IF(S$5&lt;=TODAY(),0,IF($B26="","",IFERROR(_xlfn.LET(_xlpm.Site,$B26,_xlpm.SiteCol,INDIRECT("tblSites[Site]"),_xlpm.ActCol,INDIRECT("tblSites[Site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>0</v>
      </c>
      <c r="T26" s="9" cm="1">
        <f t="array" aca="1" ref="T26" ca="1">IF(T$5&lt;=TODAY(),0,IF($B26="","",IFERROR(_xlfn.LET(_xlpm.Site,$B26,_xlpm.SiteCol,INDIRECT("tblSites[Site]"),_xlpm.ActCol,INDIRECT("tblSites[Site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>0</v>
      </c>
      <c r="U26" s="9" cm="1">
        <f t="array" aca="1" ref="U26" ca="1">IF(U$5&lt;=TODAY(),0,IF($B26="","",IFERROR(_xlfn.LET(_xlpm.Site,$B26,_xlpm.SiteCol,INDIRECT("tblSites[Site]"),_xlpm.ActCol,INDIRECT("tblSites[Site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>0</v>
      </c>
      <c r="V26" s="9" cm="1">
        <f t="array" aca="1" ref="V26" ca="1">IF(V$5&lt;=TODAY(),0,IF($B26="","",IFERROR(_xlfn.LET(_xlpm.Site,$B26,_xlpm.SiteCol,INDIRECT("tblSites[Site]"),_xlpm.ActCol,INDIRECT("tblSites[Site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>0</v>
      </c>
      <c r="W26" s="9" cm="1">
        <f t="array" aca="1" ref="W26" ca="1">IF(W$5&lt;=TODAY(),0,IF($B26="","",IFERROR(_xlfn.LET(_xlpm.Site,$B26,_xlpm.SiteCol,INDIRECT("tblSites[Site]"),_xlpm.ActCol,INDIRECT("tblSites[Site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>0</v>
      </c>
      <c r="X26" s="9" cm="1">
        <f t="array" aca="1" ref="X26" ca="1">IF(X$5&lt;=TODAY(),0,IF($B26="","",IFERROR(_xlfn.LET(_xlpm.Site,$B26,_xlpm.SiteCol,INDIRECT("tblSites[Site]"),_xlpm.ActCol,INDIRECT("tblSites[Site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>0</v>
      </c>
      <c r="Y26" s="9" cm="1">
        <f t="array" aca="1" ref="Y26" ca="1">IF(Y$5&lt;=TODAY(),0,IF($B26="","",IFERROR(_xlfn.LET(_xlpm.Site,$B26,_xlpm.SiteCol,INDIRECT("tblSites[Site]"),_xlpm.ActCol,INDIRECT("tblSites[Site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>0</v>
      </c>
      <c r="Z26" s="9" cm="1">
        <f t="array" aca="1" ref="Z26" ca="1">IF(Z$5&lt;=TODAY(),0,IF($B26="","",IFERROR(_xlfn.LET(_xlpm.Site,$B26,_xlpm.SiteCol,INDIRECT("tblSites[Site]"),_xlpm.ActCol,INDIRECT("tblSites[Site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>0</v>
      </c>
      <c r="AA26" s="9" cm="1">
        <f t="array" aca="1" ref="AA26" ca="1">IF(AA$5&lt;=TODAY(),0,IF($B26="","",IFERROR(_xlfn.LET(_xlpm.Site,$B26,_xlpm.SiteCol,INDIRECT("tblSites[Site]"),_xlpm.ActCol,INDIRECT("tblSites[Site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>0</v>
      </c>
      <c r="AB26" s="9" cm="1">
        <f t="array" aca="1" ref="AB26" ca="1">IF(AB$5&lt;=TODAY(),0,IF($B26="","",IFERROR(_xlfn.LET(_xlpm.Site,$B26,_xlpm.SiteCol,INDIRECT("tblSites[Site]"),_xlpm.ActCol,INDIRECT("tblSites[Site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>0</v>
      </c>
      <c r="AC26" s="9" cm="1">
        <f t="array" aca="1" ref="AC26" ca="1">IF(AC$5&lt;=TODAY(),0,IF($B26="","",IFERROR(_xlfn.LET(_xlpm.Site,$B26,_xlpm.SiteCol,INDIRECT("tblSites[Site]"),_xlpm.ActCol,INDIRECT("tblSites[Site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>0</v>
      </c>
    </row>
    <row r="27" spans="1:29" x14ac:dyDescent="0.25">
      <c r="C27" s="9" cm="1">
        <f t="array" aca="1" ref="C27" ca="1">IF(C$5&lt;=TODAY(),0,IF($B27="","",IFERROR(_xlfn.LET(_xlpm.Site,$B27,_xlpm.SiteCol,INDIRECT("tblSites[Site]"),_xlpm.ActCol,INDIRECT("tblSites[Site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7" s="9" cm="1">
        <f t="array" aca="1" ref="D27" ca="1">IF(D$5&lt;=TODAY(),0,IF($B27="","",IFERROR(_xlfn.LET(_xlpm.Site,$B27,_xlpm.SiteCol,INDIRECT("tblSites[Site]"),_xlpm.ActCol,INDIRECT("tblSites[Site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7" s="9" cm="1">
        <f t="array" aca="1" ref="E27" ca="1">IF(E$5&lt;=TODAY(),0,IF($B27="","",IFERROR(_xlfn.LET(_xlpm.Site,$B27,_xlpm.SiteCol,INDIRECT("tblSites[Site]"),_xlpm.ActCol,INDIRECT("tblSites[Site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7" s="9" cm="1">
        <f t="array" aca="1" ref="F27" ca="1">IF(F$5&lt;=TODAY(),0,IF($B27="","",IFERROR(_xlfn.LET(_xlpm.Site,$B27,_xlpm.SiteCol,INDIRECT("tblSites[Site]"),_xlpm.ActCol,INDIRECT("tblSites[Site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7" s="9" cm="1">
        <f t="array" aca="1" ref="G27" ca="1">IF(G$5&lt;=TODAY(),0,IF($B27="","",IFERROR(_xlfn.LET(_xlpm.Site,$B27,_xlpm.SiteCol,INDIRECT("tblSites[Site]"),_xlpm.ActCol,INDIRECT("tblSites[Site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7" s="9" cm="1">
        <f t="array" aca="1" ref="H27" ca="1">IF(H$5&lt;=TODAY(),0,IF($B27="","",IFERROR(_xlfn.LET(_xlpm.Site,$B27,_xlpm.SiteCol,INDIRECT("tblSites[Site]"),_xlpm.ActCol,INDIRECT("tblSites[Site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7" s="9" cm="1">
        <f t="array" aca="1" ref="I27" ca="1">IF(I$5&lt;=TODAY(),0,IF($B27="","",IFERROR(_xlfn.LET(_xlpm.Site,$B27,_xlpm.SiteCol,INDIRECT("tblSites[Site]"),_xlpm.ActCol,INDIRECT("tblSites[Site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7" s="9" t="str" cm="1">
        <f t="array" aca="1" ref="J27" ca="1">IF(J$5&lt;=TODAY(),0,IF($B27="","",IFERROR(_xlfn.LET(_xlpm.Site,$B27,_xlpm.SiteCol,INDIRECT("tblSites[Site]"),_xlpm.ActCol,INDIRECT("tblSites[Site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7" s="9" t="str" cm="1">
        <f t="array" aca="1" ref="K27" ca="1">IF(K$5&lt;=TODAY(),0,IF($B27="","",IFERROR(_xlfn.LET(_xlpm.Site,$B27,_xlpm.SiteCol,INDIRECT("tblSites[Site]"),_xlpm.ActCol,INDIRECT("tblSites[Site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7" s="9" t="str" cm="1">
        <f t="array" aca="1" ref="L27" ca="1">IF(L$5&lt;=TODAY(),0,IF($B27="","",IFERROR(_xlfn.LET(_xlpm.Site,$B27,_xlpm.SiteCol,INDIRECT("tblSites[Site]"),_xlpm.ActCol,INDIRECT("tblSites[Site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7" s="9" t="str" cm="1">
        <f t="array" aca="1" ref="M27" ca="1">IF(M$5&lt;=TODAY(),0,IF($B27="","",IFERROR(_xlfn.LET(_xlpm.Site,$B27,_xlpm.SiteCol,INDIRECT("tblSites[Site]"),_xlpm.ActCol,INDIRECT("tblSites[Site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7" s="9" t="str" cm="1">
        <f t="array" aca="1" ref="N27" ca="1">IF(N$5&lt;=TODAY(),0,IF($B27="","",IFERROR(_xlfn.LET(_xlpm.Site,$B27,_xlpm.SiteCol,INDIRECT("tblSites[Site]"),_xlpm.ActCol,INDIRECT("tblSites[Site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7" s="9" t="str" cm="1">
        <f t="array" aca="1" ref="O27" ca="1">IF(O$5&lt;=TODAY(),0,IF($B27="","",IFERROR(_xlfn.LET(_xlpm.Site,$B27,_xlpm.SiteCol,INDIRECT("tblSites[Site]"),_xlpm.ActCol,INDIRECT("tblSites[Site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7" s="9" t="str" cm="1">
        <f t="array" aca="1" ref="P27" ca="1">IF(P$5&lt;=TODAY(),0,IF($B27="","",IFERROR(_xlfn.LET(_xlpm.Site,$B27,_xlpm.SiteCol,INDIRECT("tblSites[Site]"),_xlpm.ActCol,INDIRECT("tblSites[Site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7" s="9" t="str" cm="1">
        <f t="array" aca="1" ref="Q27" ca="1">IF(Q$5&lt;=TODAY(),0,IF($B27="","",IFERROR(_xlfn.LET(_xlpm.Site,$B27,_xlpm.SiteCol,INDIRECT("tblSites[Site]"),_xlpm.ActCol,INDIRECT("tblSites[Site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7" s="9" t="str" cm="1">
        <f t="array" aca="1" ref="R27" ca="1">IF(R$5&lt;=TODAY(),0,IF($B27="","",IFERROR(_xlfn.LET(_xlpm.Site,$B27,_xlpm.SiteCol,INDIRECT("tblSites[Site]"),_xlpm.ActCol,INDIRECT("tblSites[Site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7" s="9" t="str" cm="1">
        <f t="array" aca="1" ref="S27" ca="1">IF(S$5&lt;=TODAY(),0,IF($B27="","",IFERROR(_xlfn.LET(_xlpm.Site,$B27,_xlpm.SiteCol,INDIRECT("tblSites[Site]"),_xlpm.ActCol,INDIRECT("tblSites[Site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7" s="9" t="str" cm="1">
        <f t="array" aca="1" ref="T27" ca="1">IF(T$5&lt;=TODAY(),0,IF($B27="","",IFERROR(_xlfn.LET(_xlpm.Site,$B27,_xlpm.SiteCol,INDIRECT("tblSites[Site]"),_xlpm.ActCol,INDIRECT("tblSites[Site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7" s="9" t="str" cm="1">
        <f t="array" aca="1" ref="U27" ca="1">IF(U$5&lt;=TODAY(),0,IF($B27="","",IFERROR(_xlfn.LET(_xlpm.Site,$B27,_xlpm.SiteCol,INDIRECT("tblSites[Site]"),_xlpm.ActCol,INDIRECT("tblSites[Site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7" s="9" t="str" cm="1">
        <f t="array" aca="1" ref="V27" ca="1">IF(V$5&lt;=TODAY(),0,IF($B27="","",IFERROR(_xlfn.LET(_xlpm.Site,$B27,_xlpm.SiteCol,INDIRECT("tblSites[Site]"),_xlpm.ActCol,INDIRECT("tblSites[Site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7" s="9" t="str" cm="1">
        <f t="array" aca="1" ref="W27" ca="1">IF(W$5&lt;=TODAY(),0,IF($B27="","",IFERROR(_xlfn.LET(_xlpm.Site,$B27,_xlpm.SiteCol,INDIRECT("tblSites[Site]"),_xlpm.ActCol,INDIRECT("tblSites[Site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7" s="9" t="str" cm="1">
        <f t="array" aca="1" ref="X27" ca="1">IF(X$5&lt;=TODAY(),0,IF($B27="","",IFERROR(_xlfn.LET(_xlpm.Site,$B27,_xlpm.SiteCol,INDIRECT("tblSites[Site]"),_xlpm.ActCol,INDIRECT("tblSites[Site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7" s="9" t="str" cm="1">
        <f t="array" aca="1" ref="Y27" ca="1">IF(Y$5&lt;=TODAY(),0,IF($B27="","",IFERROR(_xlfn.LET(_xlpm.Site,$B27,_xlpm.SiteCol,INDIRECT("tblSites[Site]"),_xlpm.ActCol,INDIRECT("tblSites[Site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7" s="9" t="str" cm="1">
        <f t="array" aca="1" ref="Z27" ca="1">IF(Z$5&lt;=TODAY(),0,IF($B27="","",IFERROR(_xlfn.LET(_xlpm.Site,$B27,_xlpm.SiteCol,INDIRECT("tblSites[Site]"),_xlpm.ActCol,INDIRECT("tblSites[Site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7" s="9" t="str" cm="1">
        <f t="array" aca="1" ref="AA27" ca="1">IF(AA$5&lt;=TODAY(),0,IF($B27="","",IFERROR(_xlfn.LET(_xlpm.Site,$B27,_xlpm.SiteCol,INDIRECT("tblSites[Site]"),_xlpm.ActCol,INDIRECT("tblSites[Site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7" s="9" t="str" cm="1">
        <f t="array" aca="1" ref="AB27" ca="1">IF(AB$5&lt;=TODAY(),0,IF($B27="","",IFERROR(_xlfn.LET(_xlpm.Site,$B27,_xlpm.SiteCol,INDIRECT("tblSites[Site]"),_xlpm.ActCol,INDIRECT("tblSites[Site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7" s="9" t="str" cm="1">
        <f t="array" aca="1" ref="AC27" ca="1">IF(AC$5&lt;=TODAY(),0,IF($B27="","",IFERROR(_xlfn.LET(_xlpm.Site,$B27,_xlpm.SiteCol,INDIRECT("tblSites[Site]"),_xlpm.ActCol,INDIRECT("tblSites[Site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8" spans="1:29" x14ac:dyDescent="0.25">
      <c r="C28" s="9" cm="1">
        <f t="array" aca="1" ref="C28" ca="1">IF(C$5&lt;=TODAY(),0,IF($B28="","",IFERROR(_xlfn.LET(_xlpm.Site,$B28,_xlpm.SiteCol,INDIRECT("tblSites[Site]"),_xlpm.ActCol,INDIRECT("tblSites[Site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8" s="9" cm="1">
        <f t="array" aca="1" ref="D28" ca="1">IF(D$5&lt;=TODAY(),0,IF($B28="","",IFERROR(_xlfn.LET(_xlpm.Site,$B28,_xlpm.SiteCol,INDIRECT("tblSites[Site]"),_xlpm.ActCol,INDIRECT("tblSites[Site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8" s="9" cm="1">
        <f t="array" aca="1" ref="E28" ca="1">IF(E$5&lt;=TODAY(),0,IF($B28="","",IFERROR(_xlfn.LET(_xlpm.Site,$B28,_xlpm.SiteCol,INDIRECT("tblSites[Site]"),_xlpm.ActCol,INDIRECT("tblSites[Site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8" s="9" cm="1">
        <f t="array" aca="1" ref="F28" ca="1">IF(F$5&lt;=TODAY(),0,IF($B28="","",IFERROR(_xlfn.LET(_xlpm.Site,$B28,_xlpm.SiteCol,INDIRECT("tblSites[Site]"),_xlpm.ActCol,INDIRECT("tblSites[Site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8" s="9" cm="1">
        <f t="array" aca="1" ref="G28" ca="1">IF(G$5&lt;=TODAY(),0,IF($B28="","",IFERROR(_xlfn.LET(_xlpm.Site,$B28,_xlpm.SiteCol,INDIRECT("tblSites[Site]"),_xlpm.ActCol,INDIRECT("tblSites[Site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8" s="9" cm="1">
        <f t="array" aca="1" ref="H28" ca="1">IF(H$5&lt;=TODAY(),0,IF($B28="","",IFERROR(_xlfn.LET(_xlpm.Site,$B28,_xlpm.SiteCol,INDIRECT("tblSites[Site]"),_xlpm.ActCol,INDIRECT("tblSites[Site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8" s="9" cm="1">
        <f t="array" aca="1" ref="I28" ca="1">IF(I$5&lt;=TODAY(),0,IF($B28="","",IFERROR(_xlfn.LET(_xlpm.Site,$B28,_xlpm.SiteCol,INDIRECT("tblSites[Site]"),_xlpm.ActCol,INDIRECT("tblSites[Site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8" s="9" t="str" cm="1">
        <f t="array" aca="1" ref="J28" ca="1">IF(J$5&lt;=TODAY(),0,IF($B28="","",IFERROR(_xlfn.LET(_xlpm.Site,$B28,_xlpm.SiteCol,INDIRECT("tblSites[Site]"),_xlpm.ActCol,INDIRECT("tblSites[Site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8" s="9" t="str" cm="1">
        <f t="array" aca="1" ref="K28" ca="1">IF(K$5&lt;=TODAY(),0,IF($B28="","",IFERROR(_xlfn.LET(_xlpm.Site,$B28,_xlpm.SiteCol,INDIRECT("tblSites[Site]"),_xlpm.ActCol,INDIRECT("tblSites[Site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8" s="9" t="str" cm="1">
        <f t="array" aca="1" ref="L28" ca="1">IF(L$5&lt;=TODAY(),0,IF($B28="","",IFERROR(_xlfn.LET(_xlpm.Site,$B28,_xlpm.SiteCol,INDIRECT("tblSites[Site]"),_xlpm.ActCol,INDIRECT("tblSites[Site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8" s="9" t="str" cm="1">
        <f t="array" aca="1" ref="M28" ca="1">IF(M$5&lt;=TODAY(),0,IF($B28="","",IFERROR(_xlfn.LET(_xlpm.Site,$B28,_xlpm.SiteCol,INDIRECT("tblSites[Site]"),_xlpm.ActCol,INDIRECT("tblSites[Site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8" s="9" t="str" cm="1">
        <f t="array" aca="1" ref="N28" ca="1">IF(N$5&lt;=TODAY(),0,IF($B28="","",IFERROR(_xlfn.LET(_xlpm.Site,$B28,_xlpm.SiteCol,INDIRECT("tblSites[Site]"),_xlpm.ActCol,INDIRECT("tblSites[Site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8" s="9" t="str" cm="1">
        <f t="array" aca="1" ref="O28" ca="1">IF(O$5&lt;=TODAY(),0,IF($B28="","",IFERROR(_xlfn.LET(_xlpm.Site,$B28,_xlpm.SiteCol,INDIRECT("tblSites[Site]"),_xlpm.ActCol,INDIRECT("tblSites[Site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8" s="9" t="str" cm="1">
        <f t="array" aca="1" ref="P28" ca="1">IF(P$5&lt;=TODAY(),0,IF($B28="","",IFERROR(_xlfn.LET(_xlpm.Site,$B28,_xlpm.SiteCol,INDIRECT("tblSites[Site]"),_xlpm.ActCol,INDIRECT("tblSites[Site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8" s="9" t="str" cm="1">
        <f t="array" aca="1" ref="Q28" ca="1">IF(Q$5&lt;=TODAY(),0,IF($B28="","",IFERROR(_xlfn.LET(_xlpm.Site,$B28,_xlpm.SiteCol,INDIRECT("tblSites[Site]"),_xlpm.ActCol,INDIRECT("tblSites[Site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8" s="9" t="str" cm="1">
        <f t="array" aca="1" ref="R28" ca="1">IF(R$5&lt;=TODAY(),0,IF($B28="","",IFERROR(_xlfn.LET(_xlpm.Site,$B28,_xlpm.SiteCol,INDIRECT("tblSites[Site]"),_xlpm.ActCol,INDIRECT("tblSites[Site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8" s="9" t="str" cm="1">
        <f t="array" aca="1" ref="S28" ca="1">IF(S$5&lt;=TODAY(),0,IF($B28="","",IFERROR(_xlfn.LET(_xlpm.Site,$B28,_xlpm.SiteCol,INDIRECT("tblSites[Site]"),_xlpm.ActCol,INDIRECT("tblSites[Site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8" s="9" t="str" cm="1">
        <f t="array" aca="1" ref="T28" ca="1">IF(T$5&lt;=TODAY(),0,IF($B28="","",IFERROR(_xlfn.LET(_xlpm.Site,$B28,_xlpm.SiteCol,INDIRECT("tblSites[Site]"),_xlpm.ActCol,INDIRECT("tblSites[Site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8" s="9" t="str" cm="1">
        <f t="array" aca="1" ref="U28" ca="1">IF(U$5&lt;=TODAY(),0,IF($B28="","",IFERROR(_xlfn.LET(_xlpm.Site,$B28,_xlpm.SiteCol,INDIRECT("tblSites[Site]"),_xlpm.ActCol,INDIRECT("tblSites[Site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8" s="9" t="str" cm="1">
        <f t="array" aca="1" ref="V28" ca="1">IF(V$5&lt;=TODAY(),0,IF($B28="","",IFERROR(_xlfn.LET(_xlpm.Site,$B28,_xlpm.SiteCol,INDIRECT("tblSites[Site]"),_xlpm.ActCol,INDIRECT("tblSites[Site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8" s="9" t="str" cm="1">
        <f t="array" aca="1" ref="W28" ca="1">IF(W$5&lt;=TODAY(),0,IF($B28="","",IFERROR(_xlfn.LET(_xlpm.Site,$B28,_xlpm.SiteCol,INDIRECT("tblSites[Site]"),_xlpm.ActCol,INDIRECT("tblSites[Site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8" s="9" t="str" cm="1">
        <f t="array" aca="1" ref="X28" ca="1">IF(X$5&lt;=TODAY(),0,IF($B28="","",IFERROR(_xlfn.LET(_xlpm.Site,$B28,_xlpm.SiteCol,INDIRECT("tblSites[Site]"),_xlpm.ActCol,INDIRECT("tblSites[Site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8" s="9" t="str" cm="1">
        <f t="array" aca="1" ref="Y28" ca="1">IF(Y$5&lt;=TODAY(),0,IF($B28="","",IFERROR(_xlfn.LET(_xlpm.Site,$B28,_xlpm.SiteCol,INDIRECT("tblSites[Site]"),_xlpm.ActCol,INDIRECT("tblSites[Site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8" s="9" t="str" cm="1">
        <f t="array" aca="1" ref="Z28" ca="1">IF(Z$5&lt;=TODAY(),0,IF($B28="","",IFERROR(_xlfn.LET(_xlpm.Site,$B28,_xlpm.SiteCol,INDIRECT("tblSites[Site]"),_xlpm.ActCol,INDIRECT("tblSites[Site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8" s="9" t="str" cm="1">
        <f t="array" aca="1" ref="AA28" ca="1">IF(AA$5&lt;=TODAY(),0,IF($B28="","",IFERROR(_xlfn.LET(_xlpm.Site,$B28,_xlpm.SiteCol,INDIRECT("tblSites[Site]"),_xlpm.ActCol,INDIRECT("tblSites[Site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8" s="9" t="str" cm="1">
        <f t="array" aca="1" ref="AB28" ca="1">IF(AB$5&lt;=TODAY(),0,IF($B28="","",IFERROR(_xlfn.LET(_xlpm.Site,$B28,_xlpm.SiteCol,INDIRECT("tblSites[Site]"),_xlpm.ActCol,INDIRECT("tblSites[Site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8" s="9" t="str" cm="1">
        <f t="array" aca="1" ref="AC28" ca="1">IF(AC$5&lt;=TODAY(),0,IF($B28="","",IFERROR(_xlfn.LET(_xlpm.Site,$B28,_xlpm.SiteCol,INDIRECT("tblSites[Site]"),_xlpm.ActCol,INDIRECT("tblSites[Site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29" spans="1:29" x14ac:dyDescent="0.25">
      <c r="C29" s="9" cm="1">
        <f t="array" aca="1" ref="C29" ca="1">IF(C$5&lt;=TODAY(),0,IF($B29="","",IFERROR(_xlfn.LET(_xlpm.Site,$B29,_xlpm.SiteCol,INDIRECT("tblSites[Site]"),_xlpm.ActCol,INDIRECT("tblSites[Site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29" s="9" cm="1">
        <f t="array" aca="1" ref="D29" ca="1">IF(D$5&lt;=TODAY(),0,IF($B29="","",IFERROR(_xlfn.LET(_xlpm.Site,$B29,_xlpm.SiteCol,INDIRECT("tblSites[Site]"),_xlpm.ActCol,INDIRECT("tblSites[Site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29" s="9" cm="1">
        <f t="array" aca="1" ref="E29" ca="1">IF(E$5&lt;=TODAY(),0,IF($B29="","",IFERROR(_xlfn.LET(_xlpm.Site,$B29,_xlpm.SiteCol,INDIRECT("tblSites[Site]"),_xlpm.ActCol,INDIRECT("tblSites[Site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29" s="9" cm="1">
        <f t="array" aca="1" ref="F29" ca="1">IF(F$5&lt;=TODAY(),0,IF($B29="","",IFERROR(_xlfn.LET(_xlpm.Site,$B29,_xlpm.SiteCol,INDIRECT("tblSites[Site]"),_xlpm.ActCol,INDIRECT("tblSites[Site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29" s="9" cm="1">
        <f t="array" aca="1" ref="G29" ca="1">IF(G$5&lt;=TODAY(),0,IF($B29="","",IFERROR(_xlfn.LET(_xlpm.Site,$B29,_xlpm.SiteCol,INDIRECT("tblSites[Site]"),_xlpm.ActCol,INDIRECT("tblSites[Site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29" s="9" cm="1">
        <f t="array" aca="1" ref="H29" ca="1">IF(H$5&lt;=TODAY(),0,IF($B29="","",IFERROR(_xlfn.LET(_xlpm.Site,$B29,_xlpm.SiteCol,INDIRECT("tblSites[Site]"),_xlpm.ActCol,INDIRECT("tblSites[Site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29" s="9" cm="1">
        <f t="array" aca="1" ref="I29" ca="1">IF(I$5&lt;=TODAY(),0,IF($B29="","",IFERROR(_xlfn.LET(_xlpm.Site,$B29,_xlpm.SiteCol,INDIRECT("tblSites[Site]"),_xlpm.ActCol,INDIRECT("tblSites[Site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29" s="9" t="str" cm="1">
        <f t="array" aca="1" ref="J29" ca="1">IF(J$5&lt;=TODAY(),0,IF($B29="","",IFERROR(_xlfn.LET(_xlpm.Site,$B29,_xlpm.SiteCol,INDIRECT("tblSites[Site]"),_xlpm.ActCol,INDIRECT("tblSites[Site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29" s="9" t="str" cm="1">
        <f t="array" aca="1" ref="K29" ca="1">IF(K$5&lt;=TODAY(),0,IF($B29="","",IFERROR(_xlfn.LET(_xlpm.Site,$B29,_xlpm.SiteCol,INDIRECT("tblSites[Site]"),_xlpm.ActCol,INDIRECT("tblSites[Site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29" s="9" t="str" cm="1">
        <f t="array" aca="1" ref="L29" ca="1">IF(L$5&lt;=TODAY(),0,IF($B29="","",IFERROR(_xlfn.LET(_xlpm.Site,$B29,_xlpm.SiteCol,INDIRECT("tblSites[Site]"),_xlpm.ActCol,INDIRECT("tblSites[Site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29" s="9" t="str" cm="1">
        <f t="array" aca="1" ref="M29" ca="1">IF(M$5&lt;=TODAY(),0,IF($B29="","",IFERROR(_xlfn.LET(_xlpm.Site,$B29,_xlpm.SiteCol,INDIRECT("tblSites[Site]"),_xlpm.ActCol,INDIRECT("tblSites[Site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29" s="9" t="str" cm="1">
        <f t="array" aca="1" ref="N29" ca="1">IF(N$5&lt;=TODAY(),0,IF($B29="","",IFERROR(_xlfn.LET(_xlpm.Site,$B29,_xlpm.SiteCol,INDIRECT("tblSites[Site]"),_xlpm.ActCol,INDIRECT("tblSites[Site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29" s="9" t="str" cm="1">
        <f t="array" aca="1" ref="O29" ca="1">IF(O$5&lt;=TODAY(),0,IF($B29="","",IFERROR(_xlfn.LET(_xlpm.Site,$B29,_xlpm.SiteCol,INDIRECT("tblSites[Site]"),_xlpm.ActCol,INDIRECT("tblSites[Site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29" s="9" t="str" cm="1">
        <f t="array" aca="1" ref="P29" ca="1">IF(P$5&lt;=TODAY(),0,IF($B29="","",IFERROR(_xlfn.LET(_xlpm.Site,$B29,_xlpm.SiteCol,INDIRECT("tblSites[Site]"),_xlpm.ActCol,INDIRECT("tblSites[Site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29" s="9" t="str" cm="1">
        <f t="array" aca="1" ref="Q29" ca="1">IF(Q$5&lt;=TODAY(),0,IF($B29="","",IFERROR(_xlfn.LET(_xlpm.Site,$B29,_xlpm.SiteCol,INDIRECT("tblSites[Site]"),_xlpm.ActCol,INDIRECT("tblSites[Site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29" s="9" t="str" cm="1">
        <f t="array" aca="1" ref="R29" ca="1">IF(R$5&lt;=TODAY(),0,IF($B29="","",IFERROR(_xlfn.LET(_xlpm.Site,$B29,_xlpm.SiteCol,INDIRECT("tblSites[Site]"),_xlpm.ActCol,INDIRECT("tblSites[Site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29" s="9" t="str" cm="1">
        <f t="array" aca="1" ref="S29" ca="1">IF(S$5&lt;=TODAY(),0,IF($B29="","",IFERROR(_xlfn.LET(_xlpm.Site,$B29,_xlpm.SiteCol,INDIRECT("tblSites[Site]"),_xlpm.ActCol,INDIRECT("tblSites[Site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29" s="9" t="str" cm="1">
        <f t="array" aca="1" ref="T29" ca="1">IF(T$5&lt;=TODAY(),0,IF($B29="","",IFERROR(_xlfn.LET(_xlpm.Site,$B29,_xlpm.SiteCol,INDIRECT("tblSites[Site]"),_xlpm.ActCol,INDIRECT("tblSites[Site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29" s="9" t="str" cm="1">
        <f t="array" aca="1" ref="U29" ca="1">IF(U$5&lt;=TODAY(),0,IF($B29="","",IFERROR(_xlfn.LET(_xlpm.Site,$B29,_xlpm.SiteCol,INDIRECT("tblSites[Site]"),_xlpm.ActCol,INDIRECT("tblSites[Site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29" s="9" t="str" cm="1">
        <f t="array" aca="1" ref="V29" ca="1">IF(V$5&lt;=TODAY(),0,IF($B29="","",IFERROR(_xlfn.LET(_xlpm.Site,$B29,_xlpm.SiteCol,INDIRECT("tblSites[Site]"),_xlpm.ActCol,INDIRECT("tblSites[Site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29" s="9" t="str" cm="1">
        <f t="array" aca="1" ref="W29" ca="1">IF(W$5&lt;=TODAY(),0,IF($B29="","",IFERROR(_xlfn.LET(_xlpm.Site,$B29,_xlpm.SiteCol,INDIRECT("tblSites[Site]"),_xlpm.ActCol,INDIRECT("tblSites[Site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29" s="9" t="str" cm="1">
        <f t="array" aca="1" ref="X29" ca="1">IF(X$5&lt;=TODAY(),0,IF($B29="","",IFERROR(_xlfn.LET(_xlpm.Site,$B29,_xlpm.SiteCol,INDIRECT("tblSites[Site]"),_xlpm.ActCol,INDIRECT("tblSites[Site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29" s="9" t="str" cm="1">
        <f t="array" aca="1" ref="Y29" ca="1">IF(Y$5&lt;=TODAY(),0,IF($B29="","",IFERROR(_xlfn.LET(_xlpm.Site,$B29,_xlpm.SiteCol,INDIRECT("tblSites[Site]"),_xlpm.ActCol,INDIRECT("tblSites[Site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29" s="9" t="str" cm="1">
        <f t="array" aca="1" ref="Z29" ca="1">IF(Z$5&lt;=TODAY(),0,IF($B29="","",IFERROR(_xlfn.LET(_xlpm.Site,$B29,_xlpm.SiteCol,INDIRECT("tblSites[Site]"),_xlpm.ActCol,INDIRECT("tblSites[Site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29" s="9" t="str" cm="1">
        <f t="array" aca="1" ref="AA29" ca="1">IF(AA$5&lt;=TODAY(),0,IF($B29="","",IFERROR(_xlfn.LET(_xlpm.Site,$B29,_xlpm.SiteCol,INDIRECT("tblSites[Site]"),_xlpm.ActCol,INDIRECT("tblSites[Site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29" s="9" t="str" cm="1">
        <f t="array" aca="1" ref="AB29" ca="1">IF(AB$5&lt;=TODAY(),0,IF($B29="","",IFERROR(_xlfn.LET(_xlpm.Site,$B29,_xlpm.SiteCol,INDIRECT("tblSites[Site]"),_xlpm.ActCol,INDIRECT("tblSites[Site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29" s="9" t="str" cm="1">
        <f t="array" aca="1" ref="AC29" ca="1">IF(AC$5&lt;=TODAY(),0,IF($B29="","",IFERROR(_xlfn.LET(_xlpm.Site,$B29,_xlpm.SiteCol,INDIRECT("tblSites[Site]"),_xlpm.ActCol,INDIRECT("tblSites[Site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0" spans="1:29" x14ac:dyDescent="0.25">
      <c r="C30" s="9" cm="1">
        <f t="array" aca="1" ref="C30" ca="1">IF(C$5&lt;=TODAY(),0,IF($B30="","",IFERROR(_xlfn.LET(_xlpm.Site,$B30,_xlpm.SiteCol,INDIRECT("tblSites[Site]"),_xlpm.ActCol,INDIRECT("tblSites[Site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0" s="9" cm="1">
        <f t="array" aca="1" ref="D30" ca="1">IF(D$5&lt;=TODAY(),0,IF($B30="","",IFERROR(_xlfn.LET(_xlpm.Site,$B30,_xlpm.SiteCol,INDIRECT("tblSites[Site]"),_xlpm.ActCol,INDIRECT("tblSites[Site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0" s="9" cm="1">
        <f t="array" aca="1" ref="E30" ca="1">IF(E$5&lt;=TODAY(),0,IF($B30="","",IFERROR(_xlfn.LET(_xlpm.Site,$B30,_xlpm.SiteCol,INDIRECT("tblSites[Site]"),_xlpm.ActCol,INDIRECT("tblSites[Site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0" s="9" cm="1">
        <f t="array" aca="1" ref="F30" ca="1">IF(F$5&lt;=TODAY(),0,IF($B30="","",IFERROR(_xlfn.LET(_xlpm.Site,$B30,_xlpm.SiteCol,INDIRECT("tblSites[Site]"),_xlpm.ActCol,INDIRECT("tblSites[Site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0" s="9" cm="1">
        <f t="array" aca="1" ref="G30" ca="1">IF(G$5&lt;=TODAY(),0,IF($B30="","",IFERROR(_xlfn.LET(_xlpm.Site,$B30,_xlpm.SiteCol,INDIRECT("tblSites[Site]"),_xlpm.ActCol,INDIRECT("tblSites[Site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0" s="9" cm="1">
        <f t="array" aca="1" ref="H30" ca="1">IF(H$5&lt;=TODAY(),0,IF($B30="","",IFERROR(_xlfn.LET(_xlpm.Site,$B30,_xlpm.SiteCol,INDIRECT("tblSites[Site]"),_xlpm.ActCol,INDIRECT("tblSites[Site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0" s="9" cm="1">
        <f t="array" aca="1" ref="I30" ca="1">IF(I$5&lt;=TODAY(),0,IF($B30="","",IFERROR(_xlfn.LET(_xlpm.Site,$B30,_xlpm.SiteCol,INDIRECT("tblSites[Site]"),_xlpm.ActCol,INDIRECT("tblSites[Site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0" s="9" t="str" cm="1">
        <f t="array" aca="1" ref="J30" ca="1">IF(J$5&lt;=TODAY(),0,IF($B30="","",IFERROR(_xlfn.LET(_xlpm.Site,$B30,_xlpm.SiteCol,INDIRECT("tblSites[Site]"),_xlpm.ActCol,INDIRECT("tblSites[Site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0" s="9" t="str" cm="1">
        <f t="array" aca="1" ref="K30" ca="1">IF(K$5&lt;=TODAY(),0,IF($B30="","",IFERROR(_xlfn.LET(_xlpm.Site,$B30,_xlpm.SiteCol,INDIRECT("tblSites[Site]"),_xlpm.ActCol,INDIRECT("tblSites[Site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0" s="9" t="str" cm="1">
        <f t="array" aca="1" ref="L30" ca="1">IF(L$5&lt;=TODAY(),0,IF($B30="","",IFERROR(_xlfn.LET(_xlpm.Site,$B30,_xlpm.SiteCol,INDIRECT("tblSites[Site]"),_xlpm.ActCol,INDIRECT("tblSites[Site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0" s="9" t="str" cm="1">
        <f t="array" aca="1" ref="M30" ca="1">IF(M$5&lt;=TODAY(),0,IF($B30="","",IFERROR(_xlfn.LET(_xlpm.Site,$B30,_xlpm.SiteCol,INDIRECT("tblSites[Site]"),_xlpm.ActCol,INDIRECT("tblSites[Site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0" s="9" t="str" cm="1">
        <f t="array" aca="1" ref="N30" ca="1">IF(N$5&lt;=TODAY(),0,IF($B30="","",IFERROR(_xlfn.LET(_xlpm.Site,$B30,_xlpm.SiteCol,INDIRECT("tblSites[Site]"),_xlpm.ActCol,INDIRECT("tblSites[Site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0" s="9" t="str" cm="1">
        <f t="array" aca="1" ref="O30" ca="1">IF(O$5&lt;=TODAY(),0,IF($B30="","",IFERROR(_xlfn.LET(_xlpm.Site,$B30,_xlpm.SiteCol,INDIRECT("tblSites[Site]"),_xlpm.ActCol,INDIRECT("tblSites[Site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0" s="9" t="str" cm="1">
        <f t="array" aca="1" ref="P30" ca="1">IF(P$5&lt;=TODAY(),0,IF($B30="","",IFERROR(_xlfn.LET(_xlpm.Site,$B30,_xlpm.SiteCol,INDIRECT("tblSites[Site]"),_xlpm.ActCol,INDIRECT("tblSites[Site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0" s="9" t="str" cm="1">
        <f t="array" aca="1" ref="Q30" ca="1">IF(Q$5&lt;=TODAY(),0,IF($B30="","",IFERROR(_xlfn.LET(_xlpm.Site,$B30,_xlpm.SiteCol,INDIRECT("tblSites[Site]"),_xlpm.ActCol,INDIRECT("tblSites[Site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0" s="9" t="str" cm="1">
        <f t="array" aca="1" ref="R30" ca="1">IF(R$5&lt;=TODAY(),0,IF($B30="","",IFERROR(_xlfn.LET(_xlpm.Site,$B30,_xlpm.SiteCol,INDIRECT("tblSites[Site]"),_xlpm.ActCol,INDIRECT("tblSites[Site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0" s="9" t="str" cm="1">
        <f t="array" aca="1" ref="S30" ca="1">IF(S$5&lt;=TODAY(),0,IF($B30="","",IFERROR(_xlfn.LET(_xlpm.Site,$B30,_xlpm.SiteCol,INDIRECT("tblSites[Site]"),_xlpm.ActCol,INDIRECT("tblSites[Site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0" s="9" t="str" cm="1">
        <f t="array" aca="1" ref="T30" ca="1">IF(T$5&lt;=TODAY(),0,IF($B30="","",IFERROR(_xlfn.LET(_xlpm.Site,$B30,_xlpm.SiteCol,INDIRECT("tblSites[Site]"),_xlpm.ActCol,INDIRECT("tblSites[Site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0" s="9" t="str" cm="1">
        <f t="array" aca="1" ref="U30" ca="1">IF(U$5&lt;=TODAY(),0,IF($B30="","",IFERROR(_xlfn.LET(_xlpm.Site,$B30,_xlpm.SiteCol,INDIRECT("tblSites[Site]"),_xlpm.ActCol,INDIRECT("tblSites[Site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0" s="9" t="str" cm="1">
        <f t="array" aca="1" ref="V30" ca="1">IF(V$5&lt;=TODAY(),0,IF($B30="","",IFERROR(_xlfn.LET(_xlpm.Site,$B30,_xlpm.SiteCol,INDIRECT("tblSites[Site]"),_xlpm.ActCol,INDIRECT("tblSites[Site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0" s="9" t="str" cm="1">
        <f t="array" aca="1" ref="W30" ca="1">IF(W$5&lt;=TODAY(),0,IF($B30="","",IFERROR(_xlfn.LET(_xlpm.Site,$B30,_xlpm.SiteCol,INDIRECT("tblSites[Site]"),_xlpm.ActCol,INDIRECT("tblSites[Site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0" s="9" t="str" cm="1">
        <f t="array" aca="1" ref="X30" ca="1">IF(X$5&lt;=TODAY(),0,IF($B30="","",IFERROR(_xlfn.LET(_xlpm.Site,$B30,_xlpm.SiteCol,INDIRECT("tblSites[Site]"),_xlpm.ActCol,INDIRECT("tblSites[Site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0" s="9" t="str" cm="1">
        <f t="array" aca="1" ref="Y30" ca="1">IF(Y$5&lt;=TODAY(),0,IF($B30="","",IFERROR(_xlfn.LET(_xlpm.Site,$B30,_xlpm.SiteCol,INDIRECT("tblSites[Site]"),_xlpm.ActCol,INDIRECT("tblSites[Site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0" s="9" t="str" cm="1">
        <f t="array" aca="1" ref="Z30" ca="1">IF(Z$5&lt;=TODAY(),0,IF($B30="","",IFERROR(_xlfn.LET(_xlpm.Site,$B30,_xlpm.SiteCol,INDIRECT("tblSites[Site]"),_xlpm.ActCol,INDIRECT("tblSites[Site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0" s="9" t="str" cm="1">
        <f t="array" aca="1" ref="AA30" ca="1">IF(AA$5&lt;=TODAY(),0,IF($B30="","",IFERROR(_xlfn.LET(_xlpm.Site,$B30,_xlpm.SiteCol,INDIRECT("tblSites[Site]"),_xlpm.ActCol,INDIRECT("tblSites[Site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0" s="9" t="str" cm="1">
        <f t="array" aca="1" ref="AB30" ca="1">IF(AB$5&lt;=TODAY(),0,IF($B30="","",IFERROR(_xlfn.LET(_xlpm.Site,$B30,_xlpm.SiteCol,INDIRECT("tblSites[Site]"),_xlpm.ActCol,INDIRECT("tblSites[Site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0" s="9" t="str" cm="1">
        <f t="array" aca="1" ref="AC30" ca="1">IF(AC$5&lt;=TODAY(),0,IF($B30="","",IFERROR(_xlfn.LET(_xlpm.Site,$B30,_xlpm.SiteCol,INDIRECT("tblSites[Site]"),_xlpm.ActCol,INDIRECT("tblSites[Site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1" spans="1:29" x14ac:dyDescent="0.25">
      <c r="C31" s="9" cm="1">
        <f t="array" aca="1" ref="C31" ca="1">IF(C$5&lt;=TODAY(),0,IF($B31="","",IFERROR(_xlfn.LET(_xlpm.Site,$B31,_xlpm.SiteCol,INDIRECT("tblSites[Site]"),_xlpm.ActCol,INDIRECT("tblSites[Site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1" s="9" cm="1">
        <f t="array" aca="1" ref="D31" ca="1">IF(D$5&lt;=TODAY(),0,IF($B31="","",IFERROR(_xlfn.LET(_xlpm.Site,$B31,_xlpm.SiteCol,INDIRECT("tblSites[Site]"),_xlpm.ActCol,INDIRECT("tblSites[Site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1" s="9" cm="1">
        <f t="array" aca="1" ref="E31" ca="1">IF(E$5&lt;=TODAY(),0,IF($B31="","",IFERROR(_xlfn.LET(_xlpm.Site,$B31,_xlpm.SiteCol,INDIRECT("tblSites[Site]"),_xlpm.ActCol,INDIRECT("tblSites[Site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1" s="9" cm="1">
        <f t="array" aca="1" ref="F31" ca="1">IF(F$5&lt;=TODAY(),0,IF($B31="","",IFERROR(_xlfn.LET(_xlpm.Site,$B31,_xlpm.SiteCol,INDIRECT("tblSites[Site]"),_xlpm.ActCol,INDIRECT("tblSites[Site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1" s="9" cm="1">
        <f t="array" aca="1" ref="G31" ca="1">IF(G$5&lt;=TODAY(),0,IF($B31="","",IFERROR(_xlfn.LET(_xlpm.Site,$B31,_xlpm.SiteCol,INDIRECT("tblSites[Site]"),_xlpm.ActCol,INDIRECT("tblSites[Site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1" s="9" cm="1">
        <f t="array" aca="1" ref="H31" ca="1">IF(H$5&lt;=TODAY(),0,IF($B31="","",IFERROR(_xlfn.LET(_xlpm.Site,$B31,_xlpm.SiteCol,INDIRECT("tblSites[Site]"),_xlpm.ActCol,INDIRECT("tblSites[Site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1" s="9" cm="1">
        <f t="array" aca="1" ref="I31" ca="1">IF(I$5&lt;=TODAY(),0,IF($B31="","",IFERROR(_xlfn.LET(_xlpm.Site,$B31,_xlpm.SiteCol,INDIRECT("tblSites[Site]"),_xlpm.ActCol,INDIRECT("tblSites[Site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1" s="9" t="str" cm="1">
        <f t="array" aca="1" ref="J31" ca="1">IF(J$5&lt;=TODAY(),0,IF($B31="","",IFERROR(_xlfn.LET(_xlpm.Site,$B31,_xlpm.SiteCol,INDIRECT("tblSites[Site]"),_xlpm.ActCol,INDIRECT("tblSites[Site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1" s="9" t="str" cm="1">
        <f t="array" aca="1" ref="K31" ca="1">IF(K$5&lt;=TODAY(),0,IF($B31="","",IFERROR(_xlfn.LET(_xlpm.Site,$B31,_xlpm.SiteCol,INDIRECT("tblSites[Site]"),_xlpm.ActCol,INDIRECT("tblSites[Site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1" s="9" t="str" cm="1">
        <f t="array" aca="1" ref="L31" ca="1">IF(L$5&lt;=TODAY(),0,IF($B31="","",IFERROR(_xlfn.LET(_xlpm.Site,$B31,_xlpm.SiteCol,INDIRECT("tblSites[Site]"),_xlpm.ActCol,INDIRECT("tblSites[Site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1" s="9" t="str" cm="1">
        <f t="array" aca="1" ref="M31" ca="1">IF(M$5&lt;=TODAY(),0,IF($B31="","",IFERROR(_xlfn.LET(_xlpm.Site,$B31,_xlpm.SiteCol,INDIRECT("tblSites[Site]"),_xlpm.ActCol,INDIRECT("tblSites[Site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1" s="9" t="str" cm="1">
        <f t="array" aca="1" ref="N31" ca="1">IF(N$5&lt;=TODAY(),0,IF($B31="","",IFERROR(_xlfn.LET(_xlpm.Site,$B31,_xlpm.SiteCol,INDIRECT("tblSites[Site]"),_xlpm.ActCol,INDIRECT("tblSites[Site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1" s="9" t="str" cm="1">
        <f t="array" aca="1" ref="O31" ca="1">IF(O$5&lt;=TODAY(),0,IF($B31="","",IFERROR(_xlfn.LET(_xlpm.Site,$B31,_xlpm.SiteCol,INDIRECT("tblSites[Site]"),_xlpm.ActCol,INDIRECT("tblSites[Site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1" s="9" t="str" cm="1">
        <f t="array" aca="1" ref="P31" ca="1">IF(P$5&lt;=TODAY(),0,IF($B31="","",IFERROR(_xlfn.LET(_xlpm.Site,$B31,_xlpm.SiteCol,INDIRECT("tblSites[Site]"),_xlpm.ActCol,INDIRECT("tblSites[Site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1" s="9" t="str" cm="1">
        <f t="array" aca="1" ref="Q31" ca="1">IF(Q$5&lt;=TODAY(),0,IF($B31="","",IFERROR(_xlfn.LET(_xlpm.Site,$B31,_xlpm.SiteCol,INDIRECT("tblSites[Site]"),_xlpm.ActCol,INDIRECT("tblSites[Site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1" s="9" t="str" cm="1">
        <f t="array" aca="1" ref="R31" ca="1">IF(R$5&lt;=TODAY(),0,IF($B31="","",IFERROR(_xlfn.LET(_xlpm.Site,$B31,_xlpm.SiteCol,INDIRECT("tblSites[Site]"),_xlpm.ActCol,INDIRECT("tblSites[Site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1" s="9" t="str" cm="1">
        <f t="array" aca="1" ref="S31" ca="1">IF(S$5&lt;=TODAY(),0,IF($B31="","",IFERROR(_xlfn.LET(_xlpm.Site,$B31,_xlpm.SiteCol,INDIRECT("tblSites[Site]"),_xlpm.ActCol,INDIRECT("tblSites[Site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1" s="9" t="str" cm="1">
        <f t="array" aca="1" ref="T31" ca="1">IF(T$5&lt;=TODAY(),0,IF($B31="","",IFERROR(_xlfn.LET(_xlpm.Site,$B31,_xlpm.SiteCol,INDIRECT("tblSites[Site]"),_xlpm.ActCol,INDIRECT("tblSites[Site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1" s="9" t="str" cm="1">
        <f t="array" aca="1" ref="U31" ca="1">IF(U$5&lt;=TODAY(),0,IF($B31="","",IFERROR(_xlfn.LET(_xlpm.Site,$B31,_xlpm.SiteCol,INDIRECT("tblSites[Site]"),_xlpm.ActCol,INDIRECT("tblSites[Site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1" s="9" t="str" cm="1">
        <f t="array" aca="1" ref="V31" ca="1">IF(V$5&lt;=TODAY(),0,IF($B31="","",IFERROR(_xlfn.LET(_xlpm.Site,$B31,_xlpm.SiteCol,INDIRECT("tblSites[Site]"),_xlpm.ActCol,INDIRECT("tblSites[Site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1" s="9" t="str" cm="1">
        <f t="array" aca="1" ref="W31" ca="1">IF(W$5&lt;=TODAY(),0,IF($B31="","",IFERROR(_xlfn.LET(_xlpm.Site,$B31,_xlpm.SiteCol,INDIRECT("tblSites[Site]"),_xlpm.ActCol,INDIRECT("tblSites[Site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1" s="9" t="str" cm="1">
        <f t="array" aca="1" ref="X31" ca="1">IF(X$5&lt;=TODAY(),0,IF($B31="","",IFERROR(_xlfn.LET(_xlpm.Site,$B31,_xlpm.SiteCol,INDIRECT("tblSites[Site]"),_xlpm.ActCol,INDIRECT("tblSites[Site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1" s="9" t="str" cm="1">
        <f t="array" aca="1" ref="Y31" ca="1">IF(Y$5&lt;=TODAY(),0,IF($B31="","",IFERROR(_xlfn.LET(_xlpm.Site,$B31,_xlpm.SiteCol,INDIRECT("tblSites[Site]"),_xlpm.ActCol,INDIRECT("tblSites[Site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1" s="9" t="str" cm="1">
        <f t="array" aca="1" ref="Z31" ca="1">IF(Z$5&lt;=TODAY(),0,IF($B31="","",IFERROR(_xlfn.LET(_xlpm.Site,$B31,_xlpm.SiteCol,INDIRECT("tblSites[Site]"),_xlpm.ActCol,INDIRECT("tblSites[Site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1" s="9" t="str" cm="1">
        <f t="array" aca="1" ref="AA31" ca="1">IF(AA$5&lt;=TODAY(),0,IF($B31="","",IFERROR(_xlfn.LET(_xlpm.Site,$B31,_xlpm.SiteCol,INDIRECT("tblSites[Site]"),_xlpm.ActCol,INDIRECT("tblSites[Site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1" s="9" t="str" cm="1">
        <f t="array" aca="1" ref="AB31" ca="1">IF(AB$5&lt;=TODAY(),0,IF($B31="","",IFERROR(_xlfn.LET(_xlpm.Site,$B31,_xlpm.SiteCol,INDIRECT("tblSites[Site]"),_xlpm.ActCol,INDIRECT("tblSites[Site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1" s="9" t="str" cm="1">
        <f t="array" aca="1" ref="AC31" ca="1">IF(AC$5&lt;=TODAY(),0,IF($B31="","",IFERROR(_xlfn.LET(_xlpm.Site,$B31,_xlpm.SiteCol,INDIRECT("tblSites[Site]"),_xlpm.ActCol,INDIRECT("tblSites[Site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2" spans="1:29" x14ac:dyDescent="0.25">
      <c r="C32" s="9" cm="1">
        <f t="array" aca="1" ref="C32" ca="1">IF(C$5&lt;=TODAY(),0,IF($B32="","",IFERROR(_xlfn.LET(_xlpm.Site,$B32,_xlpm.SiteCol,INDIRECT("tblSites[Site]"),_xlpm.ActCol,INDIRECT("tblSites[Site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2" s="9" cm="1">
        <f t="array" aca="1" ref="D32" ca="1">IF(D$5&lt;=TODAY(),0,IF($B32="","",IFERROR(_xlfn.LET(_xlpm.Site,$B32,_xlpm.SiteCol,INDIRECT("tblSites[Site]"),_xlpm.ActCol,INDIRECT("tblSites[Site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2" s="9" cm="1">
        <f t="array" aca="1" ref="E32" ca="1">IF(E$5&lt;=TODAY(),0,IF($B32="","",IFERROR(_xlfn.LET(_xlpm.Site,$B32,_xlpm.SiteCol,INDIRECT("tblSites[Site]"),_xlpm.ActCol,INDIRECT("tblSites[Site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2" s="9" cm="1">
        <f t="array" aca="1" ref="F32" ca="1">IF(F$5&lt;=TODAY(),0,IF($B32="","",IFERROR(_xlfn.LET(_xlpm.Site,$B32,_xlpm.SiteCol,INDIRECT("tblSites[Site]"),_xlpm.ActCol,INDIRECT("tblSites[Site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2" s="9" cm="1">
        <f t="array" aca="1" ref="G32" ca="1">IF(G$5&lt;=TODAY(),0,IF($B32="","",IFERROR(_xlfn.LET(_xlpm.Site,$B32,_xlpm.SiteCol,INDIRECT("tblSites[Site]"),_xlpm.ActCol,INDIRECT("tblSites[Site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2" s="9" cm="1">
        <f t="array" aca="1" ref="H32" ca="1">IF(H$5&lt;=TODAY(),0,IF($B32="","",IFERROR(_xlfn.LET(_xlpm.Site,$B32,_xlpm.SiteCol,INDIRECT("tblSites[Site]"),_xlpm.ActCol,INDIRECT("tblSites[Site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2" s="9" cm="1">
        <f t="array" aca="1" ref="I32" ca="1">IF(I$5&lt;=TODAY(),0,IF($B32="","",IFERROR(_xlfn.LET(_xlpm.Site,$B32,_xlpm.SiteCol,INDIRECT("tblSites[Site]"),_xlpm.ActCol,INDIRECT("tblSites[Site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2" s="9" t="str" cm="1">
        <f t="array" aca="1" ref="J32" ca="1">IF(J$5&lt;=TODAY(),0,IF($B32="","",IFERROR(_xlfn.LET(_xlpm.Site,$B32,_xlpm.SiteCol,INDIRECT("tblSites[Site]"),_xlpm.ActCol,INDIRECT("tblSites[Site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2" s="9" t="str" cm="1">
        <f t="array" aca="1" ref="K32" ca="1">IF(K$5&lt;=TODAY(),0,IF($B32="","",IFERROR(_xlfn.LET(_xlpm.Site,$B32,_xlpm.SiteCol,INDIRECT("tblSites[Site]"),_xlpm.ActCol,INDIRECT("tblSites[Site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2" s="9" t="str" cm="1">
        <f t="array" aca="1" ref="L32" ca="1">IF(L$5&lt;=TODAY(),0,IF($B32="","",IFERROR(_xlfn.LET(_xlpm.Site,$B32,_xlpm.SiteCol,INDIRECT("tblSites[Site]"),_xlpm.ActCol,INDIRECT("tblSites[Site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2" s="9" t="str" cm="1">
        <f t="array" aca="1" ref="M32" ca="1">IF(M$5&lt;=TODAY(),0,IF($B32="","",IFERROR(_xlfn.LET(_xlpm.Site,$B32,_xlpm.SiteCol,INDIRECT("tblSites[Site]"),_xlpm.ActCol,INDIRECT("tblSites[Site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2" s="9" t="str" cm="1">
        <f t="array" aca="1" ref="N32" ca="1">IF(N$5&lt;=TODAY(),0,IF($B32="","",IFERROR(_xlfn.LET(_xlpm.Site,$B32,_xlpm.SiteCol,INDIRECT("tblSites[Site]"),_xlpm.ActCol,INDIRECT("tblSites[Site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2" s="9" t="str" cm="1">
        <f t="array" aca="1" ref="O32" ca="1">IF(O$5&lt;=TODAY(),0,IF($B32="","",IFERROR(_xlfn.LET(_xlpm.Site,$B32,_xlpm.SiteCol,INDIRECT("tblSites[Site]"),_xlpm.ActCol,INDIRECT("tblSites[Site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2" s="9" t="str" cm="1">
        <f t="array" aca="1" ref="P32" ca="1">IF(P$5&lt;=TODAY(),0,IF($B32="","",IFERROR(_xlfn.LET(_xlpm.Site,$B32,_xlpm.SiteCol,INDIRECT("tblSites[Site]"),_xlpm.ActCol,INDIRECT("tblSites[Site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2" s="9" t="str" cm="1">
        <f t="array" aca="1" ref="Q32" ca="1">IF(Q$5&lt;=TODAY(),0,IF($B32="","",IFERROR(_xlfn.LET(_xlpm.Site,$B32,_xlpm.SiteCol,INDIRECT("tblSites[Site]"),_xlpm.ActCol,INDIRECT("tblSites[Site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2" s="9" t="str" cm="1">
        <f t="array" aca="1" ref="R32" ca="1">IF(R$5&lt;=TODAY(),0,IF($B32="","",IFERROR(_xlfn.LET(_xlpm.Site,$B32,_xlpm.SiteCol,INDIRECT("tblSites[Site]"),_xlpm.ActCol,INDIRECT("tblSites[Site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2" s="9" t="str" cm="1">
        <f t="array" aca="1" ref="S32" ca="1">IF(S$5&lt;=TODAY(),0,IF($B32="","",IFERROR(_xlfn.LET(_xlpm.Site,$B32,_xlpm.SiteCol,INDIRECT("tblSites[Site]"),_xlpm.ActCol,INDIRECT("tblSites[Site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2" s="9" t="str" cm="1">
        <f t="array" aca="1" ref="T32" ca="1">IF(T$5&lt;=TODAY(),0,IF($B32="","",IFERROR(_xlfn.LET(_xlpm.Site,$B32,_xlpm.SiteCol,INDIRECT("tblSites[Site]"),_xlpm.ActCol,INDIRECT("tblSites[Site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2" s="9" t="str" cm="1">
        <f t="array" aca="1" ref="U32" ca="1">IF(U$5&lt;=TODAY(),0,IF($B32="","",IFERROR(_xlfn.LET(_xlpm.Site,$B32,_xlpm.SiteCol,INDIRECT("tblSites[Site]"),_xlpm.ActCol,INDIRECT("tblSites[Site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2" s="9" t="str" cm="1">
        <f t="array" aca="1" ref="V32" ca="1">IF(V$5&lt;=TODAY(),0,IF($B32="","",IFERROR(_xlfn.LET(_xlpm.Site,$B32,_xlpm.SiteCol,INDIRECT("tblSites[Site]"),_xlpm.ActCol,INDIRECT("tblSites[Site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2" s="9" t="str" cm="1">
        <f t="array" aca="1" ref="W32" ca="1">IF(W$5&lt;=TODAY(),0,IF($B32="","",IFERROR(_xlfn.LET(_xlpm.Site,$B32,_xlpm.SiteCol,INDIRECT("tblSites[Site]"),_xlpm.ActCol,INDIRECT("tblSites[Site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2" s="9" t="str" cm="1">
        <f t="array" aca="1" ref="X32" ca="1">IF(X$5&lt;=TODAY(),0,IF($B32="","",IFERROR(_xlfn.LET(_xlpm.Site,$B32,_xlpm.SiteCol,INDIRECT("tblSites[Site]"),_xlpm.ActCol,INDIRECT("tblSites[Site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2" s="9" t="str" cm="1">
        <f t="array" aca="1" ref="Y32" ca="1">IF(Y$5&lt;=TODAY(),0,IF($B32="","",IFERROR(_xlfn.LET(_xlpm.Site,$B32,_xlpm.SiteCol,INDIRECT("tblSites[Site]"),_xlpm.ActCol,INDIRECT("tblSites[Site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2" s="9" t="str" cm="1">
        <f t="array" aca="1" ref="Z32" ca="1">IF(Z$5&lt;=TODAY(),0,IF($B32="","",IFERROR(_xlfn.LET(_xlpm.Site,$B32,_xlpm.SiteCol,INDIRECT("tblSites[Site]"),_xlpm.ActCol,INDIRECT("tblSites[Site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2" s="9" t="str" cm="1">
        <f t="array" aca="1" ref="AA32" ca="1">IF(AA$5&lt;=TODAY(),0,IF($B32="","",IFERROR(_xlfn.LET(_xlpm.Site,$B32,_xlpm.SiteCol,INDIRECT("tblSites[Site]"),_xlpm.ActCol,INDIRECT("tblSites[Site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2" s="9" t="str" cm="1">
        <f t="array" aca="1" ref="AB32" ca="1">IF(AB$5&lt;=TODAY(),0,IF($B32="","",IFERROR(_xlfn.LET(_xlpm.Site,$B32,_xlpm.SiteCol,INDIRECT("tblSites[Site]"),_xlpm.ActCol,INDIRECT("tblSites[Site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2" s="9" t="str" cm="1">
        <f t="array" aca="1" ref="AC32" ca="1">IF(AC$5&lt;=TODAY(),0,IF($B32="","",IFERROR(_xlfn.LET(_xlpm.Site,$B32,_xlpm.SiteCol,INDIRECT("tblSites[Site]"),_xlpm.ActCol,INDIRECT("tblSites[Site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3" spans="3:29" x14ac:dyDescent="0.25">
      <c r="C33" s="9" cm="1">
        <f t="array" aca="1" ref="C33" ca="1">IF(C$5&lt;=TODAY(),0,IF($B33="","",IFERROR(_xlfn.LET(_xlpm.Site,$B33,_xlpm.SiteCol,INDIRECT("tblSites[Site]"),_xlpm.ActCol,INDIRECT("tblSites[Site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3" s="9" cm="1">
        <f t="array" aca="1" ref="D33" ca="1">IF(D$5&lt;=TODAY(),0,IF($B33="","",IFERROR(_xlfn.LET(_xlpm.Site,$B33,_xlpm.SiteCol,INDIRECT("tblSites[Site]"),_xlpm.ActCol,INDIRECT("tblSites[Site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3" s="9" cm="1">
        <f t="array" aca="1" ref="E33" ca="1">IF(E$5&lt;=TODAY(),0,IF($B33="","",IFERROR(_xlfn.LET(_xlpm.Site,$B33,_xlpm.SiteCol,INDIRECT("tblSites[Site]"),_xlpm.ActCol,INDIRECT("tblSites[Site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3" s="9" cm="1">
        <f t="array" aca="1" ref="F33" ca="1">IF(F$5&lt;=TODAY(),0,IF($B33="","",IFERROR(_xlfn.LET(_xlpm.Site,$B33,_xlpm.SiteCol,INDIRECT("tblSites[Site]"),_xlpm.ActCol,INDIRECT("tblSites[Site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3" s="9" cm="1">
        <f t="array" aca="1" ref="G33" ca="1">IF(G$5&lt;=TODAY(),0,IF($B33="","",IFERROR(_xlfn.LET(_xlpm.Site,$B33,_xlpm.SiteCol,INDIRECT("tblSites[Site]"),_xlpm.ActCol,INDIRECT("tblSites[Site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3" s="9" cm="1">
        <f t="array" aca="1" ref="H33" ca="1">IF(H$5&lt;=TODAY(),0,IF($B33="","",IFERROR(_xlfn.LET(_xlpm.Site,$B33,_xlpm.SiteCol,INDIRECT("tblSites[Site]"),_xlpm.ActCol,INDIRECT("tblSites[Site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3" s="9" cm="1">
        <f t="array" aca="1" ref="I33" ca="1">IF(I$5&lt;=TODAY(),0,IF($B33="","",IFERROR(_xlfn.LET(_xlpm.Site,$B33,_xlpm.SiteCol,INDIRECT("tblSites[Site]"),_xlpm.ActCol,INDIRECT("tblSites[Site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3" s="9" t="str" cm="1">
        <f t="array" aca="1" ref="J33" ca="1">IF(J$5&lt;=TODAY(),0,IF($B33="","",IFERROR(_xlfn.LET(_xlpm.Site,$B33,_xlpm.SiteCol,INDIRECT("tblSites[Site]"),_xlpm.ActCol,INDIRECT("tblSites[Site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3" s="9" t="str" cm="1">
        <f t="array" aca="1" ref="K33" ca="1">IF(K$5&lt;=TODAY(),0,IF($B33="","",IFERROR(_xlfn.LET(_xlpm.Site,$B33,_xlpm.SiteCol,INDIRECT("tblSites[Site]"),_xlpm.ActCol,INDIRECT("tblSites[Site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3" s="9" t="str" cm="1">
        <f t="array" aca="1" ref="L33" ca="1">IF(L$5&lt;=TODAY(),0,IF($B33="","",IFERROR(_xlfn.LET(_xlpm.Site,$B33,_xlpm.SiteCol,INDIRECT("tblSites[Site]"),_xlpm.ActCol,INDIRECT("tblSites[Site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3" s="9" t="str" cm="1">
        <f t="array" aca="1" ref="M33" ca="1">IF(M$5&lt;=TODAY(),0,IF($B33="","",IFERROR(_xlfn.LET(_xlpm.Site,$B33,_xlpm.SiteCol,INDIRECT("tblSites[Site]"),_xlpm.ActCol,INDIRECT("tblSites[Site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3" s="9" t="str" cm="1">
        <f t="array" aca="1" ref="N33" ca="1">IF(N$5&lt;=TODAY(),0,IF($B33="","",IFERROR(_xlfn.LET(_xlpm.Site,$B33,_xlpm.SiteCol,INDIRECT("tblSites[Site]"),_xlpm.ActCol,INDIRECT("tblSites[Site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3" s="9" t="str" cm="1">
        <f t="array" aca="1" ref="O33" ca="1">IF(O$5&lt;=TODAY(),0,IF($B33="","",IFERROR(_xlfn.LET(_xlpm.Site,$B33,_xlpm.SiteCol,INDIRECT("tblSites[Site]"),_xlpm.ActCol,INDIRECT("tblSites[Site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3" s="9" t="str" cm="1">
        <f t="array" aca="1" ref="P33" ca="1">IF(P$5&lt;=TODAY(),0,IF($B33="","",IFERROR(_xlfn.LET(_xlpm.Site,$B33,_xlpm.SiteCol,INDIRECT("tblSites[Site]"),_xlpm.ActCol,INDIRECT("tblSites[Site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3" s="9" t="str" cm="1">
        <f t="array" aca="1" ref="Q33" ca="1">IF(Q$5&lt;=TODAY(),0,IF($B33="","",IFERROR(_xlfn.LET(_xlpm.Site,$B33,_xlpm.SiteCol,INDIRECT("tblSites[Site]"),_xlpm.ActCol,INDIRECT("tblSites[Site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3" s="9" t="str" cm="1">
        <f t="array" aca="1" ref="R33" ca="1">IF(R$5&lt;=TODAY(),0,IF($B33="","",IFERROR(_xlfn.LET(_xlpm.Site,$B33,_xlpm.SiteCol,INDIRECT("tblSites[Site]"),_xlpm.ActCol,INDIRECT("tblSites[Site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3" s="9" t="str" cm="1">
        <f t="array" aca="1" ref="S33" ca="1">IF(S$5&lt;=TODAY(),0,IF($B33="","",IFERROR(_xlfn.LET(_xlpm.Site,$B33,_xlpm.SiteCol,INDIRECT("tblSites[Site]"),_xlpm.ActCol,INDIRECT("tblSites[Site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3" s="9" t="str" cm="1">
        <f t="array" aca="1" ref="T33" ca="1">IF(T$5&lt;=TODAY(),0,IF($B33="","",IFERROR(_xlfn.LET(_xlpm.Site,$B33,_xlpm.SiteCol,INDIRECT("tblSites[Site]"),_xlpm.ActCol,INDIRECT("tblSites[Site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3" s="9" t="str" cm="1">
        <f t="array" aca="1" ref="U33" ca="1">IF(U$5&lt;=TODAY(),0,IF($B33="","",IFERROR(_xlfn.LET(_xlpm.Site,$B33,_xlpm.SiteCol,INDIRECT("tblSites[Site]"),_xlpm.ActCol,INDIRECT("tblSites[Site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3" s="9" t="str" cm="1">
        <f t="array" aca="1" ref="V33" ca="1">IF(V$5&lt;=TODAY(),0,IF($B33="","",IFERROR(_xlfn.LET(_xlpm.Site,$B33,_xlpm.SiteCol,INDIRECT("tblSites[Site]"),_xlpm.ActCol,INDIRECT("tblSites[Site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3" s="9" t="str" cm="1">
        <f t="array" aca="1" ref="W33" ca="1">IF(W$5&lt;=TODAY(),0,IF($B33="","",IFERROR(_xlfn.LET(_xlpm.Site,$B33,_xlpm.SiteCol,INDIRECT("tblSites[Site]"),_xlpm.ActCol,INDIRECT("tblSites[Site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3" s="9" t="str" cm="1">
        <f t="array" aca="1" ref="X33" ca="1">IF(X$5&lt;=TODAY(),0,IF($B33="","",IFERROR(_xlfn.LET(_xlpm.Site,$B33,_xlpm.SiteCol,INDIRECT("tblSites[Site]"),_xlpm.ActCol,INDIRECT("tblSites[Site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3" s="9" t="str" cm="1">
        <f t="array" aca="1" ref="Y33" ca="1">IF(Y$5&lt;=TODAY(),0,IF($B33="","",IFERROR(_xlfn.LET(_xlpm.Site,$B33,_xlpm.SiteCol,INDIRECT("tblSites[Site]"),_xlpm.ActCol,INDIRECT("tblSites[Site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3" s="9" t="str" cm="1">
        <f t="array" aca="1" ref="Z33" ca="1">IF(Z$5&lt;=TODAY(),0,IF($B33="","",IFERROR(_xlfn.LET(_xlpm.Site,$B33,_xlpm.SiteCol,INDIRECT("tblSites[Site]"),_xlpm.ActCol,INDIRECT("tblSites[Site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3" s="9" t="str" cm="1">
        <f t="array" aca="1" ref="AA33" ca="1">IF(AA$5&lt;=TODAY(),0,IF($B33="","",IFERROR(_xlfn.LET(_xlpm.Site,$B33,_xlpm.SiteCol,INDIRECT("tblSites[Site]"),_xlpm.ActCol,INDIRECT("tblSites[Site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3" s="9" t="str" cm="1">
        <f t="array" aca="1" ref="AB33" ca="1">IF(AB$5&lt;=TODAY(),0,IF($B33="","",IFERROR(_xlfn.LET(_xlpm.Site,$B33,_xlpm.SiteCol,INDIRECT("tblSites[Site]"),_xlpm.ActCol,INDIRECT("tblSites[Site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3" s="9" t="str" cm="1">
        <f t="array" aca="1" ref="AC33" ca="1">IF(AC$5&lt;=TODAY(),0,IF($B33="","",IFERROR(_xlfn.LET(_xlpm.Site,$B33,_xlpm.SiteCol,INDIRECT("tblSites[Site]"),_xlpm.ActCol,INDIRECT("tblSites[Site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4" spans="3:29" x14ac:dyDescent="0.25">
      <c r="C34" s="9" cm="1">
        <f t="array" aca="1" ref="C34" ca="1">IF(C$5&lt;=TODAY(),0,IF($B34="","",IFERROR(_xlfn.LET(_xlpm.Site,$B34,_xlpm.SiteCol,INDIRECT("tblSites[Site]"),_xlpm.ActCol,INDIRECT("tblSites[Site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4" s="9" cm="1">
        <f t="array" aca="1" ref="D34" ca="1">IF(D$5&lt;=TODAY(),0,IF($B34="","",IFERROR(_xlfn.LET(_xlpm.Site,$B34,_xlpm.SiteCol,INDIRECT("tblSites[Site]"),_xlpm.ActCol,INDIRECT("tblSites[Site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4" s="9" cm="1">
        <f t="array" aca="1" ref="E34" ca="1">IF(E$5&lt;=TODAY(),0,IF($B34="","",IFERROR(_xlfn.LET(_xlpm.Site,$B34,_xlpm.SiteCol,INDIRECT("tblSites[Site]"),_xlpm.ActCol,INDIRECT("tblSites[Site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4" s="9" cm="1">
        <f t="array" aca="1" ref="F34" ca="1">IF(F$5&lt;=TODAY(),0,IF($B34="","",IFERROR(_xlfn.LET(_xlpm.Site,$B34,_xlpm.SiteCol,INDIRECT("tblSites[Site]"),_xlpm.ActCol,INDIRECT("tblSites[Site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4" s="9" cm="1">
        <f t="array" aca="1" ref="G34" ca="1">IF(G$5&lt;=TODAY(),0,IF($B34="","",IFERROR(_xlfn.LET(_xlpm.Site,$B34,_xlpm.SiteCol,INDIRECT("tblSites[Site]"),_xlpm.ActCol,INDIRECT("tblSites[Site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4" s="9" cm="1">
        <f t="array" aca="1" ref="H34" ca="1">IF(H$5&lt;=TODAY(),0,IF($B34="","",IFERROR(_xlfn.LET(_xlpm.Site,$B34,_xlpm.SiteCol,INDIRECT("tblSites[Site]"),_xlpm.ActCol,INDIRECT("tblSites[Site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4" s="9" cm="1">
        <f t="array" aca="1" ref="I34" ca="1">IF(I$5&lt;=TODAY(),0,IF($B34="","",IFERROR(_xlfn.LET(_xlpm.Site,$B34,_xlpm.SiteCol,INDIRECT("tblSites[Site]"),_xlpm.ActCol,INDIRECT("tblSites[Site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4" s="9" t="str" cm="1">
        <f t="array" aca="1" ref="J34" ca="1">IF(J$5&lt;=TODAY(),0,IF($B34="","",IFERROR(_xlfn.LET(_xlpm.Site,$B34,_xlpm.SiteCol,INDIRECT("tblSites[Site]"),_xlpm.ActCol,INDIRECT("tblSites[Site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4" s="9" t="str" cm="1">
        <f t="array" aca="1" ref="K34" ca="1">IF(K$5&lt;=TODAY(),0,IF($B34="","",IFERROR(_xlfn.LET(_xlpm.Site,$B34,_xlpm.SiteCol,INDIRECT("tblSites[Site]"),_xlpm.ActCol,INDIRECT("tblSites[Site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4" s="9" t="str" cm="1">
        <f t="array" aca="1" ref="L34" ca="1">IF(L$5&lt;=TODAY(),0,IF($B34="","",IFERROR(_xlfn.LET(_xlpm.Site,$B34,_xlpm.SiteCol,INDIRECT("tblSites[Site]"),_xlpm.ActCol,INDIRECT("tblSites[Site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4" s="9" t="str" cm="1">
        <f t="array" aca="1" ref="M34" ca="1">IF(M$5&lt;=TODAY(),0,IF($B34="","",IFERROR(_xlfn.LET(_xlpm.Site,$B34,_xlpm.SiteCol,INDIRECT("tblSites[Site]"),_xlpm.ActCol,INDIRECT("tblSites[Site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4" s="9" t="str" cm="1">
        <f t="array" aca="1" ref="N34" ca="1">IF(N$5&lt;=TODAY(),0,IF($B34="","",IFERROR(_xlfn.LET(_xlpm.Site,$B34,_xlpm.SiteCol,INDIRECT("tblSites[Site]"),_xlpm.ActCol,INDIRECT("tblSites[Site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4" s="9" t="str" cm="1">
        <f t="array" aca="1" ref="O34" ca="1">IF(O$5&lt;=TODAY(),0,IF($B34="","",IFERROR(_xlfn.LET(_xlpm.Site,$B34,_xlpm.SiteCol,INDIRECT("tblSites[Site]"),_xlpm.ActCol,INDIRECT("tblSites[Site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4" s="9" t="str" cm="1">
        <f t="array" aca="1" ref="P34" ca="1">IF(P$5&lt;=TODAY(),0,IF($B34="","",IFERROR(_xlfn.LET(_xlpm.Site,$B34,_xlpm.SiteCol,INDIRECT("tblSites[Site]"),_xlpm.ActCol,INDIRECT("tblSites[Site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4" s="9" t="str" cm="1">
        <f t="array" aca="1" ref="Q34" ca="1">IF(Q$5&lt;=TODAY(),0,IF($B34="","",IFERROR(_xlfn.LET(_xlpm.Site,$B34,_xlpm.SiteCol,INDIRECT("tblSites[Site]"),_xlpm.ActCol,INDIRECT("tblSites[Site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4" s="9" t="str" cm="1">
        <f t="array" aca="1" ref="R34" ca="1">IF(R$5&lt;=TODAY(),0,IF($B34="","",IFERROR(_xlfn.LET(_xlpm.Site,$B34,_xlpm.SiteCol,INDIRECT("tblSites[Site]"),_xlpm.ActCol,INDIRECT("tblSites[Site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4" s="9" t="str" cm="1">
        <f t="array" aca="1" ref="S34" ca="1">IF(S$5&lt;=TODAY(),0,IF($B34="","",IFERROR(_xlfn.LET(_xlpm.Site,$B34,_xlpm.SiteCol,INDIRECT("tblSites[Site]"),_xlpm.ActCol,INDIRECT("tblSites[Site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4" s="9" t="str" cm="1">
        <f t="array" aca="1" ref="T34" ca="1">IF(T$5&lt;=TODAY(),0,IF($B34="","",IFERROR(_xlfn.LET(_xlpm.Site,$B34,_xlpm.SiteCol,INDIRECT("tblSites[Site]"),_xlpm.ActCol,INDIRECT("tblSites[Site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4" s="9" t="str" cm="1">
        <f t="array" aca="1" ref="U34" ca="1">IF(U$5&lt;=TODAY(),0,IF($B34="","",IFERROR(_xlfn.LET(_xlpm.Site,$B34,_xlpm.SiteCol,INDIRECT("tblSites[Site]"),_xlpm.ActCol,INDIRECT("tblSites[Site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4" s="9" t="str" cm="1">
        <f t="array" aca="1" ref="V34" ca="1">IF(V$5&lt;=TODAY(),0,IF($B34="","",IFERROR(_xlfn.LET(_xlpm.Site,$B34,_xlpm.SiteCol,INDIRECT("tblSites[Site]"),_xlpm.ActCol,INDIRECT("tblSites[Site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4" s="9" t="str" cm="1">
        <f t="array" aca="1" ref="W34" ca="1">IF(W$5&lt;=TODAY(),0,IF($B34="","",IFERROR(_xlfn.LET(_xlpm.Site,$B34,_xlpm.SiteCol,INDIRECT("tblSites[Site]"),_xlpm.ActCol,INDIRECT("tblSites[Site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4" s="9" t="str" cm="1">
        <f t="array" aca="1" ref="X34" ca="1">IF(X$5&lt;=TODAY(),0,IF($B34="","",IFERROR(_xlfn.LET(_xlpm.Site,$B34,_xlpm.SiteCol,INDIRECT("tblSites[Site]"),_xlpm.ActCol,INDIRECT("tblSites[Site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4" s="9" t="str" cm="1">
        <f t="array" aca="1" ref="Y34" ca="1">IF(Y$5&lt;=TODAY(),0,IF($B34="","",IFERROR(_xlfn.LET(_xlpm.Site,$B34,_xlpm.SiteCol,INDIRECT("tblSites[Site]"),_xlpm.ActCol,INDIRECT("tblSites[Site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4" s="9" t="str" cm="1">
        <f t="array" aca="1" ref="Z34" ca="1">IF(Z$5&lt;=TODAY(),0,IF($B34="","",IFERROR(_xlfn.LET(_xlpm.Site,$B34,_xlpm.SiteCol,INDIRECT("tblSites[Site]"),_xlpm.ActCol,INDIRECT("tblSites[Site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4" s="9" t="str" cm="1">
        <f t="array" aca="1" ref="AA34" ca="1">IF(AA$5&lt;=TODAY(),0,IF($B34="","",IFERROR(_xlfn.LET(_xlpm.Site,$B34,_xlpm.SiteCol,INDIRECT("tblSites[Site]"),_xlpm.ActCol,INDIRECT("tblSites[Site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4" s="9" t="str" cm="1">
        <f t="array" aca="1" ref="AB34" ca="1">IF(AB$5&lt;=TODAY(),0,IF($B34="","",IFERROR(_xlfn.LET(_xlpm.Site,$B34,_xlpm.SiteCol,INDIRECT("tblSites[Site]"),_xlpm.ActCol,INDIRECT("tblSites[Site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4" s="9" t="str" cm="1">
        <f t="array" aca="1" ref="AC34" ca="1">IF(AC$5&lt;=TODAY(),0,IF($B34="","",IFERROR(_xlfn.LET(_xlpm.Site,$B34,_xlpm.SiteCol,INDIRECT("tblSites[Site]"),_xlpm.ActCol,INDIRECT("tblSites[Site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5" spans="3:29" x14ac:dyDescent="0.25">
      <c r="C35" s="9" cm="1">
        <f t="array" aca="1" ref="C35" ca="1">IF(C$5&lt;=TODAY(),0,IF($B35="","",IFERROR(_xlfn.LET(_xlpm.Site,$B35,_xlpm.SiteCol,INDIRECT("tblSites[Site]"),_xlpm.ActCol,INDIRECT("tblSites[Site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5" s="9" cm="1">
        <f t="array" aca="1" ref="D35" ca="1">IF(D$5&lt;=TODAY(),0,IF($B35="","",IFERROR(_xlfn.LET(_xlpm.Site,$B35,_xlpm.SiteCol,INDIRECT("tblSites[Site]"),_xlpm.ActCol,INDIRECT("tblSites[Site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5" s="9" cm="1">
        <f t="array" aca="1" ref="E35" ca="1">IF(E$5&lt;=TODAY(),0,IF($B35="","",IFERROR(_xlfn.LET(_xlpm.Site,$B35,_xlpm.SiteCol,INDIRECT("tblSites[Site]"),_xlpm.ActCol,INDIRECT("tblSites[Site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5" s="9" cm="1">
        <f t="array" aca="1" ref="F35" ca="1">IF(F$5&lt;=TODAY(),0,IF($B35="","",IFERROR(_xlfn.LET(_xlpm.Site,$B35,_xlpm.SiteCol,INDIRECT("tblSites[Site]"),_xlpm.ActCol,INDIRECT("tblSites[Site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5" s="9" cm="1">
        <f t="array" aca="1" ref="G35" ca="1">IF(G$5&lt;=TODAY(),0,IF($B35="","",IFERROR(_xlfn.LET(_xlpm.Site,$B35,_xlpm.SiteCol,INDIRECT("tblSites[Site]"),_xlpm.ActCol,INDIRECT("tblSites[Site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5" s="9" cm="1">
        <f t="array" aca="1" ref="H35" ca="1">IF(H$5&lt;=TODAY(),0,IF($B35="","",IFERROR(_xlfn.LET(_xlpm.Site,$B35,_xlpm.SiteCol,INDIRECT("tblSites[Site]"),_xlpm.ActCol,INDIRECT("tblSites[Site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5" s="9" cm="1">
        <f t="array" aca="1" ref="I35" ca="1">IF(I$5&lt;=TODAY(),0,IF($B35="","",IFERROR(_xlfn.LET(_xlpm.Site,$B35,_xlpm.SiteCol,INDIRECT("tblSites[Site]"),_xlpm.ActCol,INDIRECT("tblSites[Site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5" s="9" t="str" cm="1">
        <f t="array" aca="1" ref="J35" ca="1">IF(J$5&lt;=TODAY(),0,IF($B35="","",IFERROR(_xlfn.LET(_xlpm.Site,$B35,_xlpm.SiteCol,INDIRECT("tblSites[Site]"),_xlpm.ActCol,INDIRECT("tblSites[Site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5" s="9" t="str" cm="1">
        <f t="array" aca="1" ref="K35" ca="1">IF(K$5&lt;=TODAY(),0,IF($B35="","",IFERROR(_xlfn.LET(_xlpm.Site,$B35,_xlpm.SiteCol,INDIRECT("tblSites[Site]"),_xlpm.ActCol,INDIRECT("tblSites[Site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5" s="9" t="str" cm="1">
        <f t="array" aca="1" ref="L35" ca="1">IF(L$5&lt;=TODAY(),0,IF($B35="","",IFERROR(_xlfn.LET(_xlpm.Site,$B35,_xlpm.SiteCol,INDIRECT("tblSites[Site]"),_xlpm.ActCol,INDIRECT("tblSites[Site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5" s="9" t="str" cm="1">
        <f t="array" aca="1" ref="M35" ca="1">IF(M$5&lt;=TODAY(),0,IF($B35="","",IFERROR(_xlfn.LET(_xlpm.Site,$B35,_xlpm.SiteCol,INDIRECT("tblSites[Site]"),_xlpm.ActCol,INDIRECT("tblSites[Site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5" s="9" t="str" cm="1">
        <f t="array" aca="1" ref="N35" ca="1">IF(N$5&lt;=TODAY(),0,IF($B35="","",IFERROR(_xlfn.LET(_xlpm.Site,$B35,_xlpm.SiteCol,INDIRECT("tblSites[Site]"),_xlpm.ActCol,INDIRECT("tblSites[Site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5" s="9" t="str" cm="1">
        <f t="array" aca="1" ref="O35" ca="1">IF(O$5&lt;=TODAY(),0,IF($B35="","",IFERROR(_xlfn.LET(_xlpm.Site,$B35,_xlpm.SiteCol,INDIRECT("tblSites[Site]"),_xlpm.ActCol,INDIRECT("tblSites[Site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5" s="9" t="str" cm="1">
        <f t="array" aca="1" ref="P35" ca="1">IF(P$5&lt;=TODAY(),0,IF($B35="","",IFERROR(_xlfn.LET(_xlpm.Site,$B35,_xlpm.SiteCol,INDIRECT("tblSites[Site]"),_xlpm.ActCol,INDIRECT("tblSites[Site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5" s="9" t="str" cm="1">
        <f t="array" aca="1" ref="Q35" ca="1">IF(Q$5&lt;=TODAY(),0,IF($B35="","",IFERROR(_xlfn.LET(_xlpm.Site,$B35,_xlpm.SiteCol,INDIRECT("tblSites[Site]"),_xlpm.ActCol,INDIRECT("tblSites[Site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5" s="9" t="str" cm="1">
        <f t="array" aca="1" ref="R35" ca="1">IF(R$5&lt;=TODAY(),0,IF($B35="","",IFERROR(_xlfn.LET(_xlpm.Site,$B35,_xlpm.SiteCol,INDIRECT("tblSites[Site]"),_xlpm.ActCol,INDIRECT("tblSites[Site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5" s="9" t="str" cm="1">
        <f t="array" aca="1" ref="S35" ca="1">IF(S$5&lt;=TODAY(),0,IF($B35="","",IFERROR(_xlfn.LET(_xlpm.Site,$B35,_xlpm.SiteCol,INDIRECT("tblSites[Site]"),_xlpm.ActCol,INDIRECT("tblSites[Site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5" s="9" t="str" cm="1">
        <f t="array" aca="1" ref="T35" ca="1">IF(T$5&lt;=TODAY(),0,IF($B35="","",IFERROR(_xlfn.LET(_xlpm.Site,$B35,_xlpm.SiteCol,INDIRECT("tblSites[Site]"),_xlpm.ActCol,INDIRECT("tblSites[Site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5" s="9" t="str" cm="1">
        <f t="array" aca="1" ref="U35" ca="1">IF(U$5&lt;=TODAY(),0,IF($B35="","",IFERROR(_xlfn.LET(_xlpm.Site,$B35,_xlpm.SiteCol,INDIRECT("tblSites[Site]"),_xlpm.ActCol,INDIRECT("tblSites[Site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5" s="9" t="str" cm="1">
        <f t="array" aca="1" ref="V35" ca="1">IF(V$5&lt;=TODAY(),0,IF($B35="","",IFERROR(_xlfn.LET(_xlpm.Site,$B35,_xlpm.SiteCol,INDIRECT("tblSites[Site]"),_xlpm.ActCol,INDIRECT("tblSites[Site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5" s="9" t="str" cm="1">
        <f t="array" aca="1" ref="W35" ca="1">IF(W$5&lt;=TODAY(),0,IF($B35="","",IFERROR(_xlfn.LET(_xlpm.Site,$B35,_xlpm.SiteCol,INDIRECT("tblSites[Site]"),_xlpm.ActCol,INDIRECT("tblSites[Site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5" s="9" t="str" cm="1">
        <f t="array" aca="1" ref="X35" ca="1">IF(X$5&lt;=TODAY(),0,IF($B35="","",IFERROR(_xlfn.LET(_xlpm.Site,$B35,_xlpm.SiteCol,INDIRECT("tblSites[Site]"),_xlpm.ActCol,INDIRECT("tblSites[Site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5" s="9" t="str" cm="1">
        <f t="array" aca="1" ref="Y35" ca="1">IF(Y$5&lt;=TODAY(),0,IF($B35="","",IFERROR(_xlfn.LET(_xlpm.Site,$B35,_xlpm.SiteCol,INDIRECT("tblSites[Site]"),_xlpm.ActCol,INDIRECT("tblSites[Site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5" s="9" t="str" cm="1">
        <f t="array" aca="1" ref="Z35" ca="1">IF(Z$5&lt;=TODAY(),0,IF($B35="","",IFERROR(_xlfn.LET(_xlpm.Site,$B35,_xlpm.SiteCol,INDIRECT("tblSites[Site]"),_xlpm.ActCol,INDIRECT("tblSites[Site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5" s="9" t="str" cm="1">
        <f t="array" aca="1" ref="AA35" ca="1">IF(AA$5&lt;=TODAY(),0,IF($B35="","",IFERROR(_xlfn.LET(_xlpm.Site,$B35,_xlpm.SiteCol,INDIRECT("tblSites[Site]"),_xlpm.ActCol,INDIRECT("tblSites[Site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5" s="9" t="str" cm="1">
        <f t="array" aca="1" ref="AB35" ca="1">IF(AB$5&lt;=TODAY(),0,IF($B35="","",IFERROR(_xlfn.LET(_xlpm.Site,$B35,_xlpm.SiteCol,INDIRECT("tblSites[Site]"),_xlpm.ActCol,INDIRECT("tblSites[Site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5" s="9" t="str" cm="1">
        <f t="array" aca="1" ref="AC35" ca="1">IF(AC$5&lt;=TODAY(),0,IF($B35="","",IFERROR(_xlfn.LET(_xlpm.Site,$B35,_xlpm.SiteCol,INDIRECT("tblSites[Site]"),_xlpm.ActCol,INDIRECT("tblSites[Site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6" spans="3:29" x14ac:dyDescent="0.25">
      <c r="C36" s="9" cm="1">
        <f t="array" aca="1" ref="C36" ca="1">IF(C$5&lt;=TODAY(),0,IF($B36="","",IFERROR(_xlfn.LET(_xlpm.Site,$B36,_xlpm.SiteCol,INDIRECT("tblSites[Site]"),_xlpm.ActCol,INDIRECT("tblSites[Site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6" s="9" cm="1">
        <f t="array" aca="1" ref="D36" ca="1">IF(D$5&lt;=TODAY(),0,IF($B36="","",IFERROR(_xlfn.LET(_xlpm.Site,$B36,_xlpm.SiteCol,INDIRECT("tblSites[Site]"),_xlpm.ActCol,INDIRECT("tblSites[Site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6" s="9" cm="1">
        <f t="array" aca="1" ref="E36" ca="1">IF(E$5&lt;=TODAY(),0,IF($B36="","",IFERROR(_xlfn.LET(_xlpm.Site,$B36,_xlpm.SiteCol,INDIRECT("tblSites[Site]"),_xlpm.ActCol,INDIRECT("tblSites[Site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6" s="9" cm="1">
        <f t="array" aca="1" ref="F36" ca="1">IF(F$5&lt;=TODAY(),0,IF($B36="","",IFERROR(_xlfn.LET(_xlpm.Site,$B36,_xlpm.SiteCol,INDIRECT("tblSites[Site]"),_xlpm.ActCol,INDIRECT("tblSites[Site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6" s="9" cm="1">
        <f t="array" aca="1" ref="G36" ca="1">IF(G$5&lt;=TODAY(),0,IF($B36="","",IFERROR(_xlfn.LET(_xlpm.Site,$B36,_xlpm.SiteCol,INDIRECT("tblSites[Site]"),_xlpm.ActCol,INDIRECT("tblSites[Site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6" s="9" cm="1">
        <f t="array" aca="1" ref="H36" ca="1">IF(H$5&lt;=TODAY(),0,IF($B36="","",IFERROR(_xlfn.LET(_xlpm.Site,$B36,_xlpm.SiteCol,INDIRECT("tblSites[Site]"),_xlpm.ActCol,INDIRECT("tblSites[Site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6" s="9" cm="1">
        <f t="array" aca="1" ref="I36" ca="1">IF(I$5&lt;=TODAY(),0,IF($B36="","",IFERROR(_xlfn.LET(_xlpm.Site,$B36,_xlpm.SiteCol,INDIRECT("tblSites[Site]"),_xlpm.ActCol,INDIRECT("tblSites[Site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6" s="9" t="str" cm="1">
        <f t="array" aca="1" ref="J36" ca="1">IF(J$5&lt;=TODAY(),0,IF($B36="","",IFERROR(_xlfn.LET(_xlpm.Site,$B36,_xlpm.SiteCol,INDIRECT("tblSites[Site]"),_xlpm.ActCol,INDIRECT("tblSites[Site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6" s="9" t="str" cm="1">
        <f t="array" aca="1" ref="K36" ca="1">IF(K$5&lt;=TODAY(),0,IF($B36="","",IFERROR(_xlfn.LET(_xlpm.Site,$B36,_xlpm.SiteCol,INDIRECT("tblSites[Site]"),_xlpm.ActCol,INDIRECT("tblSites[Site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6" s="9" t="str" cm="1">
        <f t="array" aca="1" ref="L36" ca="1">IF(L$5&lt;=TODAY(),0,IF($B36="","",IFERROR(_xlfn.LET(_xlpm.Site,$B36,_xlpm.SiteCol,INDIRECT("tblSites[Site]"),_xlpm.ActCol,INDIRECT("tblSites[Site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6" s="9" t="str" cm="1">
        <f t="array" aca="1" ref="M36" ca="1">IF(M$5&lt;=TODAY(),0,IF($B36="","",IFERROR(_xlfn.LET(_xlpm.Site,$B36,_xlpm.SiteCol,INDIRECT("tblSites[Site]"),_xlpm.ActCol,INDIRECT("tblSites[Site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6" s="9" t="str" cm="1">
        <f t="array" aca="1" ref="N36" ca="1">IF(N$5&lt;=TODAY(),0,IF($B36="","",IFERROR(_xlfn.LET(_xlpm.Site,$B36,_xlpm.SiteCol,INDIRECT("tblSites[Site]"),_xlpm.ActCol,INDIRECT("tblSites[Site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6" s="9" t="str" cm="1">
        <f t="array" aca="1" ref="O36" ca="1">IF(O$5&lt;=TODAY(),0,IF($B36="","",IFERROR(_xlfn.LET(_xlpm.Site,$B36,_xlpm.SiteCol,INDIRECT("tblSites[Site]"),_xlpm.ActCol,INDIRECT("tblSites[Site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6" s="9" t="str" cm="1">
        <f t="array" aca="1" ref="P36" ca="1">IF(P$5&lt;=TODAY(),0,IF($B36="","",IFERROR(_xlfn.LET(_xlpm.Site,$B36,_xlpm.SiteCol,INDIRECT("tblSites[Site]"),_xlpm.ActCol,INDIRECT("tblSites[Site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6" s="9" t="str" cm="1">
        <f t="array" aca="1" ref="Q36" ca="1">IF(Q$5&lt;=TODAY(),0,IF($B36="","",IFERROR(_xlfn.LET(_xlpm.Site,$B36,_xlpm.SiteCol,INDIRECT("tblSites[Site]"),_xlpm.ActCol,INDIRECT("tblSites[Site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6" s="9" t="str" cm="1">
        <f t="array" aca="1" ref="R36" ca="1">IF(R$5&lt;=TODAY(),0,IF($B36="","",IFERROR(_xlfn.LET(_xlpm.Site,$B36,_xlpm.SiteCol,INDIRECT("tblSites[Site]"),_xlpm.ActCol,INDIRECT("tblSites[Site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6" s="9" t="str" cm="1">
        <f t="array" aca="1" ref="S36" ca="1">IF(S$5&lt;=TODAY(),0,IF($B36="","",IFERROR(_xlfn.LET(_xlpm.Site,$B36,_xlpm.SiteCol,INDIRECT("tblSites[Site]"),_xlpm.ActCol,INDIRECT("tblSites[Site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6" s="9" t="str" cm="1">
        <f t="array" aca="1" ref="T36" ca="1">IF(T$5&lt;=TODAY(),0,IF($B36="","",IFERROR(_xlfn.LET(_xlpm.Site,$B36,_xlpm.SiteCol,INDIRECT("tblSites[Site]"),_xlpm.ActCol,INDIRECT("tblSites[Site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6" s="9" t="str" cm="1">
        <f t="array" aca="1" ref="U36" ca="1">IF(U$5&lt;=TODAY(),0,IF($B36="","",IFERROR(_xlfn.LET(_xlpm.Site,$B36,_xlpm.SiteCol,INDIRECT("tblSites[Site]"),_xlpm.ActCol,INDIRECT("tblSites[Site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6" s="9" t="str" cm="1">
        <f t="array" aca="1" ref="V36" ca="1">IF(V$5&lt;=TODAY(),0,IF($B36="","",IFERROR(_xlfn.LET(_xlpm.Site,$B36,_xlpm.SiteCol,INDIRECT("tblSites[Site]"),_xlpm.ActCol,INDIRECT("tblSites[Site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6" s="9" t="str" cm="1">
        <f t="array" aca="1" ref="W36" ca="1">IF(W$5&lt;=TODAY(),0,IF($B36="","",IFERROR(_xlfn.LET(_xlpm.Site,$B36,_xlpm.SiteCol,INDIRECT("tblSites[Site]"),_xlpm.ActCol,INDIRECT("tblSites[Site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6" s="9" t="str" cm="1">
        <f t="array" aca="1" ref="X36" ca="1">IF(X$5&lt;=TODAY(),0,IF($B36="","",IFERROR(_xlfn.LET(_xlpm.Site,$B36,_xlpm.SiteCol,INDIRECT("tblSites[Site]"),_xlpm.ActCol,INDIRECT("tblSites[Site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6" s="9" t="str" cm="1">
        <f t="array" aca="1" ref="Y36" ca="1">IF(Y$5&lt;=TODAY(),0,IF($B36="","",IFERROR(_xlfn.LET(_xlpm.Site,$B36,_xlpm.SiteCol,INDIRECT("tblSites[Site]"),_xlpm.ActCol,INDIRECT("tblSites[Site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6" s="9" t="str" cm="1">
        <f t="array" aca="1" ref="Z36" ca="1">IF(Z$5&lt;=TODAY(),0,IF($B36="","",IFERROR(_xlfn.LET(_xlpm.Site,$B36,_xlpm.SiteCol,INDIRECT("tblSites[Site]"),_xlpm.ActCol,INDIRECT("tblSites[Site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6" s="9" t="str" cm="1">
        <f t="array" aca="1" ref="AA36" ca="1">IF(AA$5&lt;=TODAY(),0,IF($B36="","",IFERROR(_xlfn.LET(_xlpm.Site,$B36,_xlpm.SiteCol,INDIRECT("tblSites[Site]"),_xlpm.ActCol,INDIRECT("tblSites[Site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6" s="9" t="str" cm="1">
        <f t="array" aca="1" ref="AB36" ca="1">IF(AB$5&lt;=TODAY(),0,IF($B36="","",IFERROR(_xlfn.LET(_xlpm.Site,$B36,_xlpm.SiteCol,INDIRECT("tblSites[Site]"),_xlpm.ActCol,INDIRECT("tblSites[Site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6" s="9" t="str" cm="1">
        <f t="array" aca="1" ref="AC36" ca="1">IF(AC$5&lt;=TODAY(),0,IF($B36="","",IFERROR(_xlfn.LET(_xlpm.Site,$B36,_xlpm.SiteCol,INDIRECT("tblSites[Site]"),_xlpm.ActCol,INDIRECT("tblSites[Site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7" spans="3:29" x14ac:dyDescent="0.25">
      <c r="C37" s="9" cm="1">
        <f t="array" aca="1" ref="C37" ca="1">IF(C$5&lt;=TODAY(),0,IF($B37="","",IFERROR(_xlfn.LET(_xlpm.Site,$B37,_xlpm.SiteCol,INDIRECT("tblSites[Site]"),_xlpm.ActCol,INDIRECT("tblSites[Site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7" s="9" cm="1">
        <f t="array" aca="1" ref="D37" ca="1">IF(D$5&lt;=TODAY(),0,IF($B37="","",IFERROR(_xlfn.LET(_xlpm.Site,$B37,_xlpm.SiteCol,INDIRECT("tblSites[Site]"),_xlpm.ActCol,INDIRECT("tblSites[Site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7" s="9" cm="1">
        <f t="array" aca="1" ref="E37" ca="1">IF(E$5&lt;=TODAY(),0,IF($B37="","",IFERROR(_xlfn.LET(_xlpm.Site,$B37,_xlpm.SiteCol,INDIRECT("tblSites[Site]"),_xlpm.ActCol,INDIRECT("tblSites[Site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7" s="9" cm="1">
        <f t="array" aca="1" ref="F37" ca="1">IF(F$5&lt;=TODAY(),0,IF($B37="","",IFERROR(_xlfn.LET(_xlpm.Site,$B37,_xlpm.SiteCol,INDIRECT("tblSites[Site]"),_xlpm.ActCol,INDIRECT("tblSites[Site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7" s="9" cm="1">
        <f t="array" aca="1" ref="G37" ca="1">IF(G$5&lt;=TODAY(),0,IF($B37="","",IFERROR(_xlfn.LET(_xlpm.Site,$B37,_xlpm.SiteCol,INDIRECT("tblSites[Site]"),_xlpm.ActCol,INDIRECT("tblSites[Site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7" s="9" cm="1">
        <f t="array" aca="1" ref="H37" ca="1">IF(H$5&lt;=TODAY(),0,IF($B37="","",IFERROR(_xlfn.LET(_xlpm.Site,$B37,_xlpm.SiteCol,INDIRECT("tblSites[Site]"),_xlpm.ActCol,INDIRECT("tblSites[Site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7" s="9" cm="1">
        <f t="array" aca="1" ref="I37" ca="1">IF(I$5&lt;=TODAY(),0,IF($B37="","",IFERROR(_xlfn.LET(_xlpm.Site,$B37,_xlpm.SiteCol,INDIRECT("tblSites[Site]"),_xlpm.ActCol,INDIRECT("tblSites[Site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7" s="9" t="str" cm="1">
        <f t="array" aca="1" ref="J37" ca="1">IF(J$5&lt;=TODAY(),0,IF($B37="","",IFERROR(_xlfn.LET(_xlpm.Site,$B37,_xlpm.SiteCol,INDIRECT("tblSites[Site]"),_xlpm.ActCol,INDIRECT("tblSites[Site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7" s="9" t="str" cm="1">
        <f t="array" aca="1" ref="K37" ca="1">IF(K$5&lt;=TODAY(),0,IF($B37="","",IFERROR(_xlfn.LET(_xlpm.Site,$B37,_xlpm.SiteCol,INDIRECT("tblSites[Site]"),_xlpm.ActCol,INDIRECT("tblSites[Site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7" s="9" t="str" cm="1">
        <f t="array" aca="1" ref="L37" ca="1">IF(L$5&lt;=TODAY(),0,IF($B37="","",IFERROR(_xlfn.LET(_xlpm.Site,$B37,_xlpm.SiteCol,INDIRECT("tblSites[Site]"),_xlpm.ActCol,INDIRECT("tblSites[Site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7" s="9" t="str" cm="1">
        <f t="array" aca="1" ref="M37" ca="1">IF(M$5&lt;=TODAY(),0,IF($B37="","",IFERROR(_xlfn.LET(_xlpm.Site,$B37,_xlpm.SiteCol,INDIRECT("tblSites[Site]"),_xlpm.ActCol,INDIRECT("tblSites[Site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7" s="9" t="str" cm="1">
        <f t="array" aca="1" ref="N37" ca="1">IF(N$5&lt;=TODAY(),0,IF($B37="","",IFERROR(_xlfn.LET(_xlpm.Site,$B37,_xlpm.SiteCol,INDIRECT("tblSites[Site]"),_xlpm.ActCol,INDIRECT("tblSites[Site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7" s="9" t="str" cm="1">
        <f t="array" aca="1" ref="O37" ca="1">IF(O$5&lt;=TODAY(),0,IF($B37="","",IFERROR(_xlfn.LET(_xlpm.Site,$B37,_xlpm.SiteCol,INDIRECT("tblSites[Site]"),_xlpm.ActCol,INDIRECT("tblSites[Site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7" s="9" t="str" cm="1">
        <f t="array" aca="1" ref="P37" ca="1">IF(P$5&lt;=TODAY(),0,IF($B37="","",IFERROR(_xlfn.LET(_xlpm.Site,$B37,_xlpm.SiteCol,INDIRECT("tblSites[Site]"),_xlpm.ActCol,INDIRECT("tblSites[Site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7" s="9" t="str" cm="1">
        <f t="array" aca="1" ref="Q37" ca="1">IF(Q$5&lt;=TODAY(),0,IF($B37="","",IFERROR(_xlfn.LET(_xlpm.Site,$B37,_xlpm.SiteCol,INDIRECT("tblSites[Site]"),_xlpm.ActCol,INDIRECT("tblSites[Site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7" s="9" t="str" cm="1">
        <f t="array" aca="1" ref="R37" ca="1">IF(R$5&lt;=TODAY(),0,IF($B37="","",IFERROR(_xlfn.LET(_xlpm.Site,$B37,_xlpm.SiteCol,INDIRECT("tblSites[Site]"),_xlpm.ActCol,INDIRECT("tblSites[Site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7" s="9" t="str" cm="1">
        <f t="array" aca="1" ref="S37" ca="1">IF(S$5&lt;=TODAY(),0,IF($B37="","",IFERROR(_xlfn.LET(_xlpm.Site,$B37,_xlpm.SiteCol,INDIRECT("tblSites[Site]"),_xlpm.ActCol,INDIRECT("tblSites[Site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7" s="9" t="str" cm="1">
        <f t="array" aca="1" ref="T37" ca="1">IF(T$5&lt;=TODAY(),0,IF($B37="","",IFERROR(_xlfn.LET(_xlpm.Site,$B37,_xlpm.SiteCol,INDIRECT("tblSites[Site]"),_xlpm.ActCol,INDIRECT("tblSites[Site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7" s="9" t="str" cm="1">
        <f t="array" aca="1" ref="U37" ca="1">IF(U$5&lt;=TODAY(),0,IF($B37="","",IFERROR(_xlfn.LET(_xlpm.Site,$B37,_xlpm.SiteCol,INDIRECT("tblSites[Site]"),_xlpm.ActCol,INDIRECT("tblSites[Site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7" s="9" t="str" cm="1">
        <f t="array" aca="1" ref="V37" ca="1">IF(V$5&lt;=TODAY(),0,IF($B37="","",IFERROR(_xlfn.LET(_xlpm.Site,$B37,_xlpm.SiteCol,INDIRECT("tblSites[Site]"),_xlpm.ActCol,INDIRECT("tblSites[Site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7" s="9" t="str" cm="1">
        <f t="array" aca="1" ref="W37" ca="1">IF(W$5&lt;=TODAY(),0,IF($B37="","",IFERROR(_xlfn.LET(_xlpm.Site,$B37,_xlpm.SiteCol,INDIRECT("tblSites[Site]"),_xlpm.ActCol,INDIRECT("tblSites[Site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7" s="9" t="str" cm="1">
        <f t="array" aca="1" ref="X37" ca="1">IF(X$5&lt;=TODAY(),0,IF($B37="","",IFERROR(_xlfn.LET(_xlpm.Site,$B37,_xlpm.SiteCol,INDIRECT("tblSites[Site]"),_xlpm.ActCol,INDIRECT("tblSites[Site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7" s="9" t="str" cm="1">
        <f t="array" aca="1" ref="Y37" ca="1">IF(Y$5&lt;=TODAY(),0,IF($B37="","",IFERROR(_xlfn.LET(_xlpm.Site,$B37,_xlpm.SiteCol,INDIRECT("tblSites[Site]"),_xlpm.ActCol,INDIRECT("tblSites[Site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7" s="9" t="str" cm="1">
        <f t="array" aca="1" ref="Z37" ca="1">IF(Z$5&lt;=TODAY(),0,IF($B37="","",IFERROR(_xlfn.LET(_xlpm.Site,$B37,_xlpm.SiteCol,INDIRECT("tblSites[Site]"),_xlpm.ActCol,INDIRECT("tblSites[Site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7" s="9" t="str" cm="1">
        <f t="array" aca="1" ref="AA37" ca="1">IF(AA$5&lt;=TODAY(),0,IF($B37="","",IFERROR(_xlfn.LET(_xlpm.Site,$B37,_xlpm.SiteCol,INDIRECT("tblSites[Site]"),_xlpm.ActCol,INDIRECT("tblSites[Site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7" s="9" t="str" cm="1">
        <f t="array" aca="1" ref="AB37" ca="1">IF(AB$5&lt;=TODAY(),0,IF($B37="","",IFERROR(_xlfn.LET(_xlpm.Site,$B37,_xlpm.SiteCol,INDIRECT("tblSites[Site]"),_xlpm.ActCol,INDIRECT("tblSites[Site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7" s="9" t="str" cm="1">
        <f t="array" aca="1" ref="AC37" ca="1">IF(AC$5&lt;=TODAY(),0,IF($B37="","",IFERROR(_xlfn.LET(_xlpm.Site,$B37,_xlpm.SiteCol,INDIRECT("tblSites[Site]"),_xlpm.ActCol,INDIRECT("tblSites[Site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8" spans="3:29" x14ac:dyDescent="0.25">
      <c r="C38" s="9" cm="1">
        <f t="array" aca="1" ref="C38" ca="1">IF(C$5&lt;=TODAY(),0,IF($B38="","",IFERROR(_xlfn.LET(_xlpm.Site,$B38,_xlpm.SiteCol,INDIRECT("tblSites[Site]"),_xlpm.ActCol,INDIRECT("tblSites[Site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8" s="9" cm="1">
        <f t="array" aca="1" ref="D38" ca="1">IF(D$5&lt;=TODAY(),0,IF($B38="","",IFERROR(_xlfn.LET(_xlpm.Site,$B38,_xlpm.SiteCol,INDIRECT("tblSites[Site]"),_xlpm.ActCol,INDIRECT("tblSites[Site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8" s="9" cm="1">
        <f t="array" aca="1" ref="E38" ca="1">IF(E$5&lt;=TODAY(),0,IF($B38="","",IFERROR(_xlfn.LET(_xlpm.Site,$B38,_xlpm.SiteCol,INDIRECT("tblSites[Site]"),_xlpm.ActCol,INDIRECT("tblSites[Site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8" s="9" cm="1">
        <f t="array" aca="1" ref="F38" ca="1">IF(F$5&lt;=TODAY(),0,IF($B38="","",IFERROR(_xlfn.LET(_xlpm.Site,$B38,_xlpm.SiteCol,INDIRECT("tblSites[Site]"),_xlpm.ActCol,INDIRECT("tblSites[Site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8" s="9" cm="1">
        <f t="array" aca="1" ref="G38" ca="1">IF(G$5&lt;=TODAY(),0,IF($B38="","",IFERROR(_xlfn.LET(_xlpm.Site,$B38,_xlpm.SiteCol,INDIRECT("tblSites[Site]"),_xlpm.ActCol,INDIRECT("tblSites[Site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8" s="9" cm="1">
        <f t="array" aca="1" ref="H38" ca="1">IF(H$5&lt;=TODAY(),0,IF($B38="","",IFERROR(_xlfn.LET(_xlpm.Site,$B38,_xlpm.SiteCol,INDIRECT("tblSites[Site]"),_xlpm.ActCol,INDIRECT("tblSites[Site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8" s="9" cm="1">
        <f t="array" aca="1" ref="I38" ca="1">IF(I$5&lt;=TODAY(),0,IF($B38="","",IFERROR(_xlfn.LET(_xlpm.Site,$B38,_xlpm.SiteCol,INDIRECT("tblSites[Site]"),_xlpm.ActCol,INDIRECT("tblSites[Site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8" s="9" t="str" cm="1">
        <f t="array" aca="1" ref="J38" ca="1">IF(J$5&lt;=TODAY(),0,IF($B38="","",IFERROR(_xlfn.LET(_xlpm.Site,$B38,_xlpm.SiteCol,INDIRECT("tblSites[Site]"),_xlpm.ActCol,INDIRECT("tblSites[Site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8" s="9" t="str" cm="1">
        <f t="array" aca="1" ref="K38" ca="1">IF(K$5&lt;=TODAY(),0,IF($B38="","",IFERROR(_xlfn.LET(_xlpm.Site,$B38,_xlpm.SiteCol,INDIRECT("tblSites[Site]"),_xlpm.ActCol,INDIRECT("tblSites[Site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8" s="9" t="str" cm="1">
        <f t="array" aca="1" ref="L38" ca="1">IF(L$5&lt;=TODAY(),0,IF($B38="","",IFERROR(_xlfn.LET(_xlpm.Site,$B38,_xlpm.SiteCol,INDIRECT("tblSites[Site]"),_xlpm.ActCol,INDIRECT("tblSites[Site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8" s="9" t="str" cm="1">
        <f t="array" aca="1" ref="M38" ca="1">IF(M$5&lt;=TODAY(),0,IF($B38="","",IFERROR(_xlfn.LET(_xlpm.Site,$B38,_xlpm.SiteCol,INDIRECT("tblSites[Site]"),_xlpm.ActCol,INDIRECT("tblSites[Site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8" s="9" t="str" cm="1">
        <f t="array" aca="1" ref="N38" ca="1">IF(N$5&lt;=TODAY(),0,IF($B38="","",IFERROR(_xlfn.LET(_xlpm.Site,$B38,_xlpm.SiteCol,INDIRECT("tblSites[Site]"),_xlpm.ActCol,INDIRECT("tblSites[Site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8" s="9" t="str" cm="1">
        <f t="array" aca="1" ref="O38" ca="1">IF(O$5&lt;=TODAY(),0,IF($B38="","",IFERROR(_xlfn.LET(_xlpm.Site,$B38,_xlpm.SiteCol,INDIRECT("tblSites[Site]"),_xlpm.ActCol,INDIRECT("tblSites[Site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8" s="9" t="str" cm="1">
        <f t="array" aca="1" ref="P38" ca="1">IF(P$5&lt;=TODAY(),0,IF($B38="","",IFERROR(_xlfn.LET(_xlpm.Site,$B38,_xlpm.SiteCol,INDIRECT("tblSites[Site]"),_xlpm.ActCol,INDIRECT("tblSites[Site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8" s="9" t="str" cm="1">
        <f t="array" aca="1" ref="Q38" ca="1">IF(Q$5&lt;=TODAY(),0,IF($B38="","",IFERROR(_xlfn.LET(_xlpm.Site,$B38,_xlpm.SiteCol,INDIRECT("tblSites[Site]"),_xlpm.ActCol,INDIRECT("tblSites[Site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8" s="9" t="str" cm="1">
        <f t="array" aca="1" ref="R38" ca="1">IF(R$5&lt;=TODAY(),0,IF($B38="","",IFERROR(_xlfn.LET(_xlpm.Site,$B38,_xlpm.SiteCol,INDIRECT("tblSites[Site]"),_xlpm.ActCol,INDIRECT("tblSites[Site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8" s="9" t="str" cm="1">
        <f t="array" aca="1" ref="S38" ca="1">IF(S$5&lt;=TODAY(),0,IF($B38="","",IFERROR(_xlfn.LET(_xlpm.Site,$B38,_xlpm.SiteCol,INDIRECT("tblSites[Site]"),_xlpm.ActCol,INDIRECT("tblSites[Site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8" s="9" t="str" cm="1">
        <f t="array" aca="1" ref="T38" ca="1">IF(T$5&lt;=TODAY(),0,IF($B38="","",IFERROR(_xlfn.LET(_xlpm.Site,$B38,_xlpm.SiteCol,INDIRECT("tblSites[Site]"),_xlpm.ActCol,INDIRECT("tblSites[Site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8" s="9" t="str" cm="1">
        <f t="array" aca="1" ref="U38" ca="1">IF(U$5&lt;=TODAY(),0,IF($B38="","",IFERROR(_xlfn.LET(_xlpm.Site,$B38,_xlpm.SiteCol,INDIRECT("tblSites[Site]"),_xlpm.ActCol,INDIRECT("tblSites[Site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8" s="9" t="str" cm="1">
        <f t="array" aca="1" ref="V38" ca="1">IF(V$5&lt;=TODAY(),0,IF($B38="","",IFERROR(_xlfn.LET(_xlpm.Site,$B38,_xlpm.SiteCol,INDIRECT("tblSites[Site]"),_xlpm.ActCol,INDIRECT("tblSites[Site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8" s="9" t="str" cm="1">
        <f t="array" aca="1" ref="W38" ca="1">IF(W$5&lt;=TODAY(),0,IF($B38="","",IFERROR(_xlfn.LET(_xlpm.Site,$B38,_xlpm.SiteCol,INDIRECT("tblSites[Site]"),_xlpm.ActCol,INDIRECT("tblSites[Site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8" s="9" t="str" cm="1">
        <f t="array" aca="1" ref="X38" ca="1">IF(X$5&lt;=TODAY(),0,IF($B38="","",IFERROR(_xlfn.LET(_xlpm.Site,$B38,_xlpm.SiteCol,INDIRECT("tblSites[Site]"),_xlpm.ActCol,INDIRECT("tblSites[Site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8" s="9" t="str" cm="1">
        <f t="array" aca="1" ref="Y38" ca="1">IF(Y$5&lt;=TODAY(),0,IF($B38="","",IFERROR(_xlfn.LET(_xlpm.Site,$B38,_xlpm.SiteCol,INDIRECT("tblSites[Site]"),_xlpm.ActCol,INDIRECT("tblSites[Site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8" s="9" t="str" cm="1">
        <f t="array" aca="1" ref="Z38" ca="1">IF(Z$5&lt;=TODAY(),0,IF($B38="","",IFERROR(_xlfn.LET(_xlpm.Site,$B38,_xlpm.SiteCol,INDIRECT("tblSites[Site]"),_xlpm.ActCol,INDIRECT("tblSites[Site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8" s="9" t="str" cm="1">
        <f t="array" aca="1" ref="AA38" ca="1">IF(AA$5&lt;=TODAY(),0,IF($B38="","",IFERROR(_xlfn.LET(_xlpm.Site,$B38,_xlpm.SiteCol,INDIRECT("tblSites[Site]"),_xlpm.ActCol,INDIRECT("tblSites[Site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8" s="9" t="str" cm="1">
        <f t="array" aca="1" ref="AB38" ca="1">IF(AB$5&lt;=TODAY(),0,IF($B38="","",IFERROR(_xlfn.LET(_xlpm.Site,$B38,_xlpm.SiteCol,INDIRECT("tblSites[Site]"),_xlpm.ActCol,INDIRECT("tblSites[Site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8" s="9" t="str" cm="1">
        <f t="array" aca="1" ref="AC38" ca="1">IF(AC$5&lt;=TODAY(),0,IF($B38="","",IFERROR(_xlfn.LET(_xlpm.Site,$B38,_xlpm.SiteCol,INDIRECT("tblSites[Site]"),_xlpm.ActCol,INDIRECT("tblSites[Site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39" spans="3:29" x14ac:dyDescent="0.25">
      <c r="C39" s="9" cm="1">
        <f t="array" aca="1" ref="C39" ca="1">IF(C$5&lt;=TODAY(),0,IF($B39="","",IFERROR(_xlfn.LET(_xlpm.Site,$B39,_xlpm.SiteCol,INDIRECT("tblSites[Site]"),_xlpm.ActCol,INDIRECT("tblSites[Site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39" s="9" cm="1">
        <f t="array" aca="1" ref="D39" ca="1">IF(D$5&lt;=TODAY(),0,IF($B39="","",IFERROR(_xlfn.LET(_xlpm.Site,$B39,_xlpm.SiteCol,INDIRECT("tblSites[Site]"),_xlpm.ActCol,INDIRECT("tblSites[Site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D$5&lt;_xlpm.StartMonth,_xlpm.Remaining&lt;=0),0,_xlpm.MonthlyEnroll)),0)))</f>
        <v>0</v>
      </c>
      <c r="E39" s="9" cm="1">
        <f t="array" aca="1" ref="E39" ca="1">IF(E$5&lt;=TODAY(),0,IF($B39="","",IFERROR(_xlfn.LET(_xlpm.Site,$B39,_xlpm.SiteCol,INDIRECT("tblSites[Site]"),_xlpm.ActCol,INDIRECT("tblSites[Site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E$5&lt;_xlpm.StartMonth,_xlpm.Remaining&lt;=0),0,_xlpm.MonthlyEnroll)),0)))</f>
        <v>0</v>
      </c>
      <c r="F39" s="9" cm="1">
        <f t="array" aca="1" ref="F39" ca="1">IF(F$5&lt;=TODAY(),0,IF($B39="","",IFERROR(_xlfn.LET(_xlpm.Site,$B39,_xlpm.SiteCol,INDIRECT("tblSites[Site]"),_xlpm.ActCol,INDIRECT("tblSites[Site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F$5&lt;_xlpm.StartMonth,_xlpm.Remaining&lt;=0),0,_xlpm.MonthlyEnroll)),0)))</f>
        <v>0</v>
      </c>
      <c r="G39" s="9" cm="1">
        <f t="array" aca="1" ref="G39" ca="1">IF(G$5&lt;=TODAY(),0,IF($B39="","",IFERROR(_xlfn.LET(_xlpm.Site,$B39,_xlpm.SiteCol,INDIRECT("tblSites[Site]"),_xlpm.ActCol,INDIRECT("tblSites[Site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G$5&lt;_xlpm.StartMonth,_xlpm.Remaining&lt;=0),0,_xlpm.MonthlyEnroll)),0)))</f>
        <v>0</v>
      </c>
      <c r="H39" s="9" cm="1">
        <f t="array" aca="1" ref="H39" ca="1">IF(H$5&lt;=TODAY(),0,IF($B39="","",IFERROR(_xlfn.LET(_xlpm.Site,$B39,_xlpm.SiteCol,INDIRECT("tblSites[Site]"),_xlpm.ActCol,INDIRECT("tblSites[Site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H$5&lt;_xlpm.StartMonth,_xlpm.Remaining&lt;=0),0,_xlpm.MonthlyEnroll)),0)))</f>
        <v>0</v>
      </c>
      <c r="I39" s="9" cm="1">
        <f t="array" aca="1" ref="I39" ca="1">IF(I$5&lt;=TODAY(),0,IF($B39="","",IFERROR(_xlfn.LET(_xlpm.Site,$B39,_xlpm.SiteCol,INDIRECT("tblSites[Site]"),_xlpm.ActCol,INDIRECT("tblSites[Site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I$5&lt;_xlpm.StartMonth,_xlpm.Remaining&lt;=0),0,_xlpm.MonthlyEnroll)),0)))</f>
        <v>0</v>
      </c>
      <c r="J39" s="9" t="str" cm="1">
        <f t="array" aca="1" ref="J39" ca="1">IF(J$5&lt;=TODAY(),0,IF($B39="","",IFERROR(_xlfn.LET(_xlpm.Site,$B39,_xlpm.SiteCol,INDIRECT("tblSites[Site]"),_xlpm.ActCol,INDIRECT("tblSites[Site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J$5&lt;_xlpm.StartMonth,_xlpm.Remaining&lt;=0),0,_xlpm.MonthlyEnroll)),0)))</f>
        <v/>
      </c>
      <c r="K39" s="9" t="str" cm="1">
        <f t="array" aca="1" ref="K39" ca="1">IF(K$5&lt;=TODAY(),0,IF($B39="","",IFERROR(_xlfn.LET(_xlpm.Site,$B39,_xlpm.SiteCol,INDIRECT("tblSites[Site]"),_xlpm.ActCol,INDIRECT("tblSites[Site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K$5&lt;_xlpm.StartMonth,_xlpm.Remaining&lt;=0),0,_xlpm.MonthlyEnroll)),0)))</f>
        <v/>
      </c>
      <c r="L39" s="9" t="str" cm="1">
        <f t="array" aca="1" ref="L39" ca="1">IF(L$5&lt;=TODAY(),0,IF($B39="","",IFERROR(_xlfn.LET(_xlpm.Site,$B39,_xlpm.SiteCol,INDIRECT("tblSites[Site]"),_xlpm.ActCol,INDIRECT("tblSites[Site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L$5&lt;_xlpm.StartMonth,_xlpm.Remaining&lt;=0),0,_xlpm.MonthlyEnroll)),0)))</f>
        <v/>
      </c>
      <c r="M39" s="9" t="str" cm="1">
        <f t="array" aca="1" ref="M39" ca="1">IF(M$5&lt;=TODAY(),0,IF($B39="","",IFERROR(_xlfn.LET(_xlpm.Site,$B39,_xlpm.SiteCol,INDIRECT("tblSites[Site]"),_xlpm.ActCol,INDIRECT("tblSites[Site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M$5&lt;_xlpm.StartMonth,_xlpm.Remaining&lt;=0),0,_xlpm.MonthlyEnroll)),0)))</f>
        <v/>
      </c>
      <c r="N39" s="9" t="str" cm="1">
        <f t="array" aca="1" ref="N39" ca="1">IF(N$5&lt;=TODAY(),0,IF($B39="","",IFERROR(_xlfn.LET(_xlpm.Site,$B39,_xlpm.SiteCol,INDIRECT("tblSites[Site]"),_xlpm.ActCol,INDIRECT("tblSites[Site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N$5&lt;_xlpm.StartMonth,_xlpm.Remaining&lt;=0),0,_xlpm.MonthlyEnroll)),0)))</f>
        <v/>
      </c>
      <c r="O39" s="9" t="str" cm="1">
        <f t="array" aca="1" ref="O39" ca="1">IF(O$5&lt;=TODAY(),0,IF($B39="","",IFERROR(_xlfn.LET(_xlpm.Site,$B39,_xlpm.SiteCol,INDIRECT("tblSites[Site]"),_xlpm.ActCol,INDIRECT("tblSites[Site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O$5&lt;_xlpm.StartMonth,_xlpm.Remaining&lt;=0),0,_xlpm.MonthlyEnroll)),0)))</f>
        <v/>
      </c>
      <c r="P39" s="9" t="str" cm="1">
        <f t="array" aca="1" ref="P39" ca="1">IF(P$5&lt;=TODAY(),0,IF($B39="","",IFERROR(_xlfn.LET(_xlpm.Site,$B39,_xlpm.SiteCol,INDIRECT("tblSites[Site]"),_xlpm.ActCol,INDIRECT("tblSites[Site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P$5&lt;_xlpm.StartMonth,_xlpm.Remaining&lt;=0),0,_xlpm.MonthlyEnroll)),0)))</f>
        <v/>
      </c>
      <c r="Q39" s="9" t="str" cm="1">
        <f t="array" aca="1" ref="Q39" ca="1">IF(Q$5&lt;=TODAY(),0,IF($B39="","",IFERROR(_xlfn.LET(_xlpm.Site,$B39,_xlpm.SiteCol,INDIRECT("tblSites[Site]"),_xlpm.ActCol,INDIRECT("tblSites[Site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Q$5&lt;_xlpm.StartMonth,_xlpm.Remaining&lt;=0),0,_xlpm.MonthlyEnroll)),0)))</f>
        <v/>
      </c>
      <c r="R39" s="9" t="str" cm="1">
        <f t="array" aca="1" ref="R39" ca="1">IF(R$5&lt;=TODAY(),0,IF($B39="","",IFERROR(_xlfn.LET(_xlpm.Site,$B39,_xlpm.SiteCol,INDIRECT("tblSites[Site]"),_xlpm.ActCol,INDIRECT("tblSites[Site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R$5&lt;_xlpm.StartMonth,_xlpm.Remaining&lt;=0),0,_xlpm.MonthlyEnroll)),0)))</f>
        <v/>
      </c>
      <c r="S39" s="9" t="str" cm="1">
        <f t="array" aca="1" ref="S39" ca="1">IF(S$5&lt;=TODAY(),0,IF($B39="","",IFERROR(_xlfn.LET(_xlpm.Site,$B39,_xlpm.SiteCol,INDIRECT("tblSites[Site]"),_xlpm.ActCol,INDIRECT("tblSites[Site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S$5&lt;_xlpm.StartMonth,_xlpm.Remaining&lt;=0),0,_xlpm.MonthlyEnroll)),0)))</f>
        <v/>
      </c>
      <c r="T39" s="9" t="str" cm="1">
        <f t="array" aca="1" ref="T39" ca="1">IF(T$5&lt;=TODAY(),0,IF($B39="","",IFERROR(_xlfn.LET(_xlpm.Site,$B39,_xlpm.SiteCol,INDIRECT("tblSites[Site]"),_xlpm.ActCol,INDIRECT("tblSites[Site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T$5&lt;_xlpm.StartMonth,_xlpm.Remaining&lt;=0),0,_xlpm.MonthlyEnroll)),0)))</f>
        <v/>
      </c>
      <c r="U39" s="9" t="str" cm="1">
        <f t="array" aca="1" ref="U39" ca="1">IF(U$5&lt;=TODAY(),0,IF($B39="","",IFERROR(_xlfn.LET(_xlpm.Site,$B39,_xlpm.SiteCol,INDIRECT("tblSites[Site]"),_xlpm.ActCol,INDIRECT("tblSites[Site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U$5&lt;_xlpm.StartMonth,_xlpm.Remaining&lt;=0),0,_xlpm.MonthlyEnroll)),0)))</f>
        <v/>
      </c>
      <c r="V39" s="9" t="str" cm="1">
        <f t="array" aca="1" ref="V39" ca="1">IF(V$5&lt;=TODAY(),0,IF($B39="","",IFERROR(_xlfn.LET(_xlpm.Site,$B39,_xlpm.SiteCol,INDIRECT("tblSites[Site]"),_xlpm.ActCol,INDIRECT("tblSites[Site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V$5&lt;_xlpm.StartMonth,_xlpm.Remaining&lt;=0),0,_xlpm.MonthlyEnroll)),0)))</f>
        <v/>
      </c>
      <c r="W39" s="9" t="str" cm="1">
        <f t="array" aca="1" ref="W39" ca="1">IF(W$5&lt;=TODAY(),0,IF($B39="","",IFERROR(_xlfn.LET(_xlpm.Site,$B39,_xlpm.SiteCol,INDIRECT("tblSites[Site]"),_xlpm.ActCol,INDIRECT("tblSites[Site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W$5&lt;_xlpm.StartMonth,_xlpm.Remaining&lt;=0),0,_xlpm.MonthlyEnroll)),0)))</f>
        <v/>
      </c>
      <c r="X39" s="9" t="str" cm="1">
        <f t="array" aca="1" ref="X39" ca="1">IF(X$5&lt;=TODAY(),0,IF($B39="","",IFERROR(_xlfn.LET(_xlpm.Site,$B39,_xlpm.SiteCol,INDIRECT("tblSites[Site]"),_xlpm.ActCol,INDIRECT("tblSites[Site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X$5&lt;_xlpm.StartMonth,_xlpm.Remaining&lt;=0),0,_xlpm.MonthlyEnroll)),0)))</f>
        <v/>
      </c>
      <c r="Y39" s="9" t="str" cm="1">
        <f t="array" aca="1" ref="Y39" ca="1">IF(Y$5&lt;=TODAY(),0,IF($B39="","",IFERROR(_xlfn.LET(_xlpm.Site,$B39,_xlpm.SiteCol,INDIRECT("tblSites[Site]"),_xlpm.ActCol,INDIRECT("tblSites[Site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Y$5&lt;_xlpm.StartMonth,_xlpm.Remaining&lt;=0),0,_xlpm.MonthlyEnroll)),0)))</f>
        <v/>
      </c>
      <c r="Z39" s="9" t="str" cm="1">
        <f t="array" aca="1" ref="Z39" ca="1">IF(Z$5&lt;=TODAY(),0,IF($B39="","",IFERROR(_xlfn.LET(_xlpm.Site,$B39,_xlpm.SiteCol,INDIRECT("tblSites[Site]"),_xlpm.ActCol,INDIRECT("tblSites[Site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Z$5&lt;_xlpm.StartMonth,_xlpm.Remaining&lt;=0),0,_xlpm.MonthlyEnroll)),0)))</f>
        <v/>
      </c>
      <c r="AA39" s="9" t="str" cm="1">
        <f t="array" aca="1" ref="AA39" ca="1">IF(AA$5&lt;=TODAY(),0,IF($B39="","",IFERROR(_xlfn.LET(_xlpm.Site,$B39,_xlpm.SiteCol,INDIRECT("tblSites[Site]"),_xlpm.ActCol,INDIRECT("tblSites[Site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A$5&lt;_xlpm.StartMonth,_xlpm.Remaining&lt;=0),0,_xlpm.MonthlyEnroll)),0)))</f>
        <v/>
      </c>
      <c r="AB39" s="9" t="str" cm="1">
        <f t="array" aca="1" ref="AB39" ca="1">IF(AB$5&lt;=TODAY(),0,IF($B39="","",IFERROR(_xlfn.LET(_xlpm.Site,$B39,_xlpm.SiteCol,INDIRECT("tblSites[Site]"),_xlpm.ActCol,INDIRECT("tblSites[Site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B$5&lt;_xlpm.StartMonth,_xlpm.Remaining&lt;=0),0,_xlpm.MonthlyEnroll)),0)))</f>
        <v/>
      </c>
      <c r="AC39" s="9" t="str" cm="1">
        <f t="array" aca="1" ref="AC39" ca="1">IF(AC$5&lt;=TODAY(),0,IF($B39="","",IFERROR(_xlfn.LET(_xlpm.Site,$B39,_xlpm.SiteCol,INDIRECT("tblSites[Site]"),_xlpm.ActCol,INDIRECT("tblSites[Site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AC$5&lt;_xlpm.StartMonth,_xlpm.Remaining&lt;=0),0,_xlpm.MonthlyEnroll)),0)))</f>
        <v/>
      </c>
    </row>
    <row r="40" spans="3:29" x14ac:dyDescent="0.25">
      <c r="C40" s="9" cm="1">
        <f t="array" aca="1" ref="C40" ca="1">IF(C$5&lt;=TODAY(),0,IF($B40="","",IFERROR(_xlfn.LET(_xlpm.Site,$B40,_xlpm.SiteCol,INDIRECT("tblSites[Site]"),_xlpm.ActCol,INDIRECT("tblSites[Site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0" s="9" t="str">
        <f>IF($B40="","",IFERROR(_xlfn.LET(_xlpm.Site,$B40,_xlpm.ActDate,_xlfn.XLOOKUP(_xlpm.Site,tblSites[Site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40:INDEX($1:$1048576,ROW(),COLUMN()-1))),_xlpm.Remaining,MAX(0,_xlpm.MaxPts-_xlpm.PriorEnrolled),IF(OR(_xlpm.ActDate="",EOMONTH(D$5,0)&lt;_xlpm.StartDate,_xlpm.Remaining&lt;=0),0,MIN(_xlpm.MonthlyEnroll,_xlpm.Remaining))),0))</f>
        <v/>
      </c>
      <c r="E40" s="9" t="str">
        <f>IF($B40="","",IFERROR(_xlfn.LET(_xlpm.Site,$B40,_xlpm.ActDate,_xlfn.XLOOKUP(_xlpm.Site,tblSites[Monthly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40:INDEX($1:$1048576,ROW(),COLUMN()-1))),_xlpm.Remaining,MAX(0,_xlpm.MaxPts-_xlpm.PriorEnrolled),IF(OR(_xlpm.ActDate="",EOMONTH(E$5,0)&lt;_xlpm.StartDate,_xlpm.Remaining&lt;=0),0,MIN(_xlpm.MonthlyEnroll,_xlpm.Remaining))),0))</f>
        <v/>
      </c>
      <c r="F40" s="9" t="str">
        <f>IF($B40="","",IFERROR(_xlfn.LET(_xlpm.Site,$B40,_xlpm.ActDate,_xlfn.XLOOKUP(_xlpm.Site,tblSites[Site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40:INDEX($1:$1048576,ROW(),COLUMN()-1))),_xlpm.Remaining,MAX(0,_xlpm.MaxPts-_xlpm.PriorEnrolled),IF(OR(_xlpm.ActDate="",EOMONTH(F$5,0)&lt;_xlpm.StartDate,_xlpm.Remaining&lt;=0),0,MIN(_xlpm.MonthlyEnroll,_xlpm.Remaining))),0))</f>
        <v/>
      </c>
      <c r="G40" s="9" t="str">
        <f>IF($B40="","",IFERROR(_xlfn.LET(_xlpm.Site,$B40,_xlpm.ActDate,_xlfn.XLOOKUP(_xlpm.Site,tblSites[Max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40:INDEX($1:$1048576,ROW(),COLUMN()-1))),_xlpm.Remaining,MAX(0,_xlpm.MaxPts-_xlpm.PriorEnrolled),IF(OR(_xlpm.ActDate="",EOMONTH(G$5,0)&lt;_xlpm.StartDate,_xlpm.Remaining&lt;=0),0,MIN(_xlpm.MonthlyEnroll,_xlpm.Remaining))),0))</f>
        <v/>
      </c>
      <c r="H40" s="9" t="str">
        <f>IF($B40="","",IFERROR(_xlfn.LET(_xlpm.Site,$B40,_xlpm.ActDate,_xlfn.XLOOKUP(_xlpm.Site,tblSites[Current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40:INDEX($1:$1048576,ROW(),COLUMN()-1))),_xlpm.Remaining,MAX(0,_xlpm.MaxPts-_xlpm.PriorEnrolled),IF(OR(_xlpm.ActDate="",EOMONTH(H$5,0)&lt;_xlpm.StartDate,_xlpm.Remaining&lt;=0),0,MIN(_xlpm.MonthlyEnroll,_xlpm.Remaining))),0))</f>
        <v/>
      </c>
      <c r="I40" s="9" t="str">
        <f>IF($B40="","",IFERROR(_xlfn.LET(_xlpm.Site,$B40,_xlpm.ActDate,_xlfn.XLOOKUP(_xlpm.Site,tblSites[Include?],tblSites[Scenario?],""),_xlpm.ScreenDays,N('Study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40:INDEX($1:$1048576,ROW(),COLUMN()-1))),_xlpm.Remaining,MAX(0,_xlpm.MaxPts-_xlpm.PriorEnrolled),IF(OR(_xlpm.ActDate="",EOMONTH(I$5,0)&lt;_xlpm.StartDate,_xlpm.Remaining&lt;=0),0,MIN(_xlpm.MonthlyEnroll,_xlpm.Remaining))),0))</f>
        <v/>
      </c>
      <c r="J40" s="9" t="str">
        <f>IF($B40="","",IFERROR(_xlfn.LET(_xlpm.Site,$B40,_xlpm.ActDate,_xlfn.XLOOKUP(_xlpm.Site,tblSites[Scenario?],tblSites[Check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40:INDEX($1:$1048576,ROW(),COLUMN()-1))),_xlpm.Remaining,MAX(0,_xlpm.MaxPts-_xlpm.PriorEnrolled),IF(OR(_xlpm.ActDate="",EOMONTH(J$5,0)&lt;_xlpm.StartDate,_xlpm.Remaining&lt;=0),0,MIN(_xlpm.MonthlyEnroll,_xlpm.Remaining))),0))</f>
        <v/>
      </c>
      <c r="K40" s="9" t="str">
        <f>IF($B40="","",IFERROR(_xlfn.LET(_xlpm.Site,$B40,_xlpm.ActDate,_xlfn.XLOOKUP(_xlpm.Site,tblSites[Check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40:INDEX($1:$1048576,ROW(),COLUMN()-1))),_xlpm.Remaining,MAX(0,_xlpm.MaxPts-_xlpm.PriorEnrolled),IF(OR(_xlpm.ActDate="",EOMONTH(K$5,0)&lt;_xlpm.StartDate,_xlpm.Remaining&lt;=0),0,MIN(_xlpm.MonthlyEnroll,_xlpm.Remaining))),0))</f>
        <v/>
      </c>
      <c r="L40" s="9" t="str">
        <f>IF($B40="","",IFERROR(_xlfn.LET(_xlpm.Site,$B40,_xlpm.ActDate,_xlfn.XLOOKUP(_xlpm.Site,tblSites[Site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40:INDEX($1:$1048576,ROW(),COLUMN()-1))),_xlpm.Remaining,MAX(0,_xlpm.MaxPts-_xlpm.PriorEnrolled),IF(OR(_xlpm.ActDate="",EOMONTH(L$5,0)&lt;_xlpm.StartDate,_xlpm.Remaining&lt;=0),0,MIN(_xlpm.MonthlyEnroll,_xlpm.Remaining))),0))</f>
        <v/>
      </c>
      <c r="M40" s="9" t="str">
        <f>IF($B40="","",IFERROR(_xlfn.LET(_xlpm.Site,$B40,_xlpm.ActDate,_xlfn.XLOOKUP(_xlpm.Site,#REF!,tblSites[Country],""),_xlpm.ScreenDays,N('Study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40:INDEX($1:$1048576,ROW(),COLUMN()-1))),_xlpm.Remaining,MAX(0,_xlpm.MaxPts-_xlpm.PriorEnrolled),IF(OR(_xlpm.ActDate="",EOMONTH(M$5,0)&lt;_xlpm.StartDate,_xlpm.Remaining&lt;=0),0,MIN(_xlpm.MonthlyEnroll,_xlpm.Remaining))),0))</f>
        <v/>
      </c>
      <c r="N40" s="9" t="str">
        <f>IF($B40="","",IFERROR(_xlfn.LET(_xlpm.Site,$B40,_xlpm.ActDate,_xlfn.XLOOKUP(_xlpm.Site,tblSites[Country],tblSites[Site],""),_xlpm.ScreenDays,N('Study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40:INDEX($1:$1048576,ROW(),COLUMN()-1))),_xlpm.Remaining,MAX(0,_xlpm.MaxPts-_xlpm.PriorEnrolled),IF(OR(_xlpm.ActDate="",EOMONTH(N$5,0)&lt;_xlpm.StartDate,_xlpm.Remaining&lt;=0),0,MIN(_xlpm.MonthlyEnroll,_xlpm.Remaining))),0))</f>
        <v/>
      </c>
      <c r="O40" s="9" t="str">
        <f>IF($B40="","",IFERROR(_xlfn.LET(_xlpm.Site,$B40,_xlpm.ActDate,_xlfn.XLOOKUP(_xlpm.Site,tblSites[Site],tblSites[Site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40:INDEX($1:$1048576,ROW(),COLUMN()-1))),_xlpm.Remaining,MAX(0,_xlpm.MaxPts-_xlpm.PriorEnrolled),IF(OR(_xlpm.ActDate="",EOMONTH(O$5,0)&lt;_xlpm.StartDate,_xlpm.Remaining&lt;=0),0,MIN(_xlpm.MonthlyEnroll,_xlpm.Remaining))),0))</f>
        <v/>
      </c>
      <c r="P40" s="9" t="str">
        <f>IF($B40="","",IFERROR(_xlfn.LET(_xlpm.Site,$B40,_xlpm.ActDate,_xlfn.XLOOKUP(_xlpm.Site,tblSites[Site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40:INDEX($1:$1048576,ROW(),COLUMN()-1))),_xlpm.Remaining,MAX(0,_xlpm.MaxPts-_xlpm.PriorEnrolled),IF(OR(_xlpm.ActDate="",EOMONTH(P$5,0)&lt;_xlpm.StartDate,_xlpm.Remaining&lt;=0),0,MIN(_xlpm.MonthlyEnroll,_xlpm.Remaining))),0))</f>
        <v/>
      </c>
      <c r="Q40" s="9" t="str">
        <f>IF($B40="","",IFERROR(_xlfn.LET(_xlpm.Site,$B40,_xlpm.ActDate,_xlfn.XLOOKUP(_xlpm.Site,tblSites[Monthly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40:INDEX($1:$1048576,ROW(),COLUMN()-1))),_xlpm.Remaining,MAX(0,_xlpm.MaxPts-_xlpm.PriorEnrolled),IF(OR(_xlpm.ActDate="",EOMONTH(Q$5,0)&lt;_xlpm.StartDate,_xlpm.Remaining&lt;=0),0,MIN(_xlpm.MonthlyEnroll,_xlpm.Remaining))),0))</f>
        <v/>
      </c>
      <c r="R40" s="9" t="str">
        <f>IF($B40="","",IFERROR(_xlfn.LET(_xlpm.Site,$B40,_xlpm.ActDate,_xlfn.XLOOKUP(_xlpm.Site,tblSites[Site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40:INDEX($1:$1048576,ROW(),COLUMN()-1))),_xlpm.Remaining,MAX(0,_xlpm.MaxPts-_xlpm.PriorEnrolled),IF(OR(_xlpm.ActDate="",EOMONTH(R$5,0)&lt;_xlpm.StartDate,_xlpm.Remaining&lt;=0),0,MIN(_xlpm.MonthlyEnroll,_xlpm.Remaining))),0))</f>
        <v/>
      </c>
      <c r="S40" s="9" t="str">
        <f>IF($B40="","",IFERROR(_xlfn.LET(_xlpm.Site,$B40,_xlpm.ActDate,_xlfn.XLOOKUP(_xlpm.Site,tblSites[Max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40:INDEX($1:$1048576,ROW(),COLUMN()-1))),_xlpm.Remaining,MAX(0,_xlpm.MaxPts-_xlpm.PriorEnrolled),IF(OR(_xlpm.ActDate="",EOMONTH(S$5,0)&lt;_xlpm.StartDate,_xlpm.Remaining&lt;=0),0,MIN(_xlpm.MonthlyEnroll,_xlpm.Remaining))),0))</f>
        <v/>
      </c>
      <c r="T40" s="9" t="str">
        <f>IF($B40="","",IFERROR(_xlfn.LET(_xlpm.Site,$B40,_xlpm.ActDate,_xlfn.XLOOKUP(_xlpm.Site,tblSites[Current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40:INDEX($1:$1048576,ROW(),COLUMN()-1))),_xlpm.Remaining,MAX(0,_xlpm.MaxPts-_xlpm.PriorEnrolled),IF(OR(_xlpm.ActDate="",EOMONTH(T$5,0)&lt;_xlpm.StartDate,_xlpm.Remaining&lt;=0),0,MIN(_xlpm.MonthlyEnroll,_xlpm.Remaining))),0))</f>
        <v/>
      </c>
      <c r="U40" s="9" t="str">
        <f>IF($B40="","",IFERROR(_xlfn.LET(_xlpm.Site,$B40,_xlpm.ActDate,_xlfn.XLOOKUP(_xlpm.Site,tblSites[Include?],tblSites[Scenario?],""),_xlpm.ScreenDays,N('Study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40:INDEX($1:$1048576,ROW(),COLUMN()-1))),_xlpm.Remaining,MAX(0,_xlpm.MaxPts-_xlpm.PriorEnrolled),IF(OR(_xlpm.ActDate="",EOMONTH(U$5,0)&lt;_xlpm.StartDate,_xlpm.Remaining&lt;=0),0,MIN(_xlpm.MonthlyEnroll,_xlpm.Remaining))),0))</f>
        <v/>
      </c>
      <c r="V40" s="9" t="str">
        <f>IF($B40="","",IFERROR(_xlfn.LET(_xlpm.Site,$B40,_xlpm.ActDate,_xlfn.XLOOKUP(_xlpm.Site,tblSites[Scenario?],tblSites[Check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40:INDEX($1:$1048576,ROW(),COLUMN()-1))),_xlpm.Remaining,MAX(0,_xlpm.MaxPts-_xlpm.PriorEnrolled),IF(OR(_xlpm.ActDate="",EOMONTH(V$5,0)&lt;_xlpm.StartDate,_xlpm.Remaining&lt;=0),0,MIN(_xlpm.MonthlyEnroll,_xlpm.Remaining))),0))</f>
        <v/>
      </c>
      <c r="W40" s="9" t="str">
        <f>IF($B40="","",IFERROR(_xlfn.LET(_xlpm.Site,$B40,_xlpm.ActDate,_xlfn.XLOOKUP(_xlpm.Site,tblSites[Check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40:INDEX($1:$1048576,ROW(),COLUMN()-1))),_xlpm.Remaining,MAX(0,_xlpm.MaxPts-_xlpm.PriorEnrolled),IF(OR(_xlpm.ActDate="",EOMONTH(W$5,0)&lt;_xlpm.StartDate,_xlpm.Remaining&lt;=0),0,MIN(_xlpm.MonthlyEnroll,_xlpm.Remaining))),0))</f>
        <v/>
      </c>
      <c r="X40" s="9" t="str">
        <f>IF($B40="","",IFERROR(_xlfn.LET(_xlpm.Site,$B40,_xlpm.ActDate,_xlfn.XLOOKUP(_xlpm.Site,tblSites[Site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40:INDEX($1:$1048576,ROW(),COLUMN()-1))),_xlpm.Remaining,MAX(0,_xlpm.MaxPts-_xlpm.PriorEnrolled),IF(OR(_xlpm.ActDate="",EOMONTH(X$5,0)&lt;_xlpm.StartDate,_xlpm.Remaining&lt;=0),0,MIN(_xlpm.MonthlyEnroll,_xlpm.Remaining))),0))</f>
        <v/>
      </c>
      <c r="Y40" s="9" t="str">
        <f>IF($B40="","",IFERROR(_xlfn.LET(_xlpm.Site,$B40,_xlpm.ActDate,_xlfn.XLOOKUP(_xlpm.Site,#REF!,tblSites[Country],""),_xlpm.ScreenDays,N('Study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40:INDEX($1:$1048576,ROW(),COLUMN()-1))),_xlpm.Remaining,MAX(0,_xlpm.MaxPts-_xlpm.PriorEnrolled),IF(OR(_xlpm.ActDate="",EOMONTH(Y$5,0)&lt;_xlpm.StartDate,_xlpm.Remaining&lt;=0),0,MIN(_xlpm.MonthlyEnroll,_xlpm.Remaining))),0))</f>
        <v/>
      </c>
      <c r="Z40" s="9" t="str">
        <f>IF($B40="","",IFERROR(_xlfn.LET(_xlpm.Site,$B40,_xlpm.ActDate,_xlfn.XLOOKUP(_xlpm.Site,tblSites[Country],tblSites[Site],""),_xlpm.ScreenDays,N('Study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40:INDEX($1:$1048576,ROW(),COLUMN()-1))),_xlpm.Remaining,MAX(0,_xlpm.MaxPts-_xlpm.PriorEnrolled),IF(OR(_xlpm.ActDate="",EOMONTH(Z$5,0)&lt;_xlpm.StartDate,_xlpm.Remaining&lt;=0),0,MIN(_xlpm.MonthlyEnroll,_xlpm.Remaining))),0))</f>
        <v/>
      </c>
      <c r="AA40" s="9" t="str">
        <f>IF($B40="","",IFERROR(_xlfn.LET(_xlpm.Site,$B40,_xlpm.ActDate,_xlfn.XLOOKUP(_xlpm.Site,tblSites[Site],tblSites[Site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40:INDEX($1:$1048576,ROW(),COLUMN()-1))),_xlpm.Remaining,MAX(0,_xlpm.MaxPts-_xlpm.PriorEnrolled),IF(OR(_xlpm.ActDate="",EOMONTH(AA$5,0)&lt;_xlpm.StartDate,_xlpm.Remaining&lt;=0),0,MIN(_xlpm.MonthlyEnroll,_xlpm.Remaining))),0))</f>
        <v/>
      </c>
      <c r="AB40" s="9" t="str">
        <f>IF($B40="","",IFERROR(_xlfn.LET(_xlpm.Site,$B40,_xlpm.ActDate,_xlfn.XLOOKUP(_xlpm.Site,tblSites[Site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40:INDEX($1:$1048576,ROW(),COLUMN()-1))),_xlpm.Remaining,MAX(0,_xlpm.MaxPts-_xlpm.PriorEnrolled),IF(OR(_xlpm.ActDate="",EOMONTH(AB$5,0)&lt;_xlpm.StartDate,_xlpm.Remaining&lt;=0),0,MIN(_xlpm.MonthlyEnroll,_xlpm.Remaining))),0))</f>
        <v/>
      </c>
      <c r="AC40" s="9" t="str">
        <f>IF($B40="","",IFERROR(_xlfn.LET(_xlpm.Site,$B40,_xlpm.ActDate,_xlfn.XLOOKUP(_xlpm.Site,tblSites[Monthly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40:INDEX($1:$1048576,ROW(),COLUMN()-1))),_xlpm.Remaining,MAX(0,_xlpm.MaxPts-_xlpm.PriorEnrolled),IF(OR(_xlpm.ActDate="",EOMONTH(AC$5,0)&lt;_xlpm.StartDate,_xlpm.Remaining&lt;=0),0,MIN(_xlpm.MonthlyEnroll,_xlpm.Remaining))),0))</f>
        <v/>
      </c>
    </row>
    <row r="41" spans="3:29" x14ac:dyDescent="0.25">
      <c r="C41" s="9" cm="1">
        <f t="array" aca="1" ref="C41" ca="1">IF(C$5&lt;=TODAY(),0,IF($B41="","",IFERROR(_xlfn.LET(_xlpm.Site,$B41,_xlpm.SiteCol,INDIRECT("tblSites[Site]"),_xlpm.ActCol,INDIRECT("tblSites[Site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1" s="9" t="str">
        <f>IF($B41="","",IFERROR(_xlfn.LET(_xlpm.Site,$B41,_xlpm.ActDate,_xlfn.XLOOKUP(_xlpm.Site,tblSites[Site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41:INDEX($1:$1048576,ROW(),COLUMN()-1))),_xlpm.Remaining,MAX(0,_xlpm.MaxPts-_xlpm.PriorEnrolled),IF(OR(_xlpm.ActDate="",EOMONTH(D$5,0)&lt;_xlpm.StartDate,_xlpm.Remaining&lt;=0),0,MIN(_xlpm.MonthlyEnroll,_xlpm.Remaining))),0))</f>
        <v/>
      </c>
      <c r="E41" s="9" t="str">
        <f>IF($B41="","",IFERROR(_xlfn.LET(_xlpm.Site,$B41,_xlpm.ActDate,_xlfn.XLOOKUP(_xlpm.Site,tblSites[Monthly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41:INDEX($1:$1048576,ROW(),COLUMN()-1))),_xlpm.Remaining,MAX(0,_xlpm.MaxPts-_xlpm.PriorEnrolled),IF(OR(_xlpm.ActDate="",EOMONTH(E$5,0)&lt;_xlpm.StartDate,_xlpm.Remaining&lt;=0),0,MIN(_xlpm.MonthlyEnroll,_xlpm.Remaining))),0))</f>
        <v/>
      </c>
      <c r="F41" s="9" t="str">
        <f>IF($B41="","",IFERROR(_xlfn.LET(_xlpm.Site,$B41,_xlpm.ActDate,_xlfn.XLOOKUP(_xlpm.Site,tblSites[Site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41:INDEX($1:$1048576,ROW(),COLUMN()-1))),_xlpm.Remaining,MAX(0,_xlpm.MaxPts-_xlpm.PriorEnrolled),IF(OR(_xlpm.ActDate="",EOMONTH(F$5,0)&lt;_xlpm.StartDate,_xlpm.Remaining&lt;=0),0,MIN(_xlpm.MonthlyEnroll,_xlpm.Remaining))),0))</f>
        <v/>
      </c>
      <c r="G41" s="9" t="str">
        <f>IF($B41="","",IFERROR(_xlfn.LET(_xlpm.Site,$B41,_xlpm.ActDate,_xlfn.XLOOKUP(_xlpm.Site,tblSites[Max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41:INDEX($1:$1048576,ROW(),COLUMN()-1))),_xlpm.Remaining,MAX(0,_xlpm.MaxPts-_xlpm.PriorEnrolled),IF(OR(_xlpm.ActDate="",EOMONTH(G$5,0)&lt;_xlpm.StartDate,_xlpm.Remaining&lt;=0),0,MIN(_xlpm.MonthlyEnroll,_xlpm.Remaining))),0))</f>
        <v/>
      </c>
      <c r="H41" s="9" t="str">
        <f>IF($B41="","",IFERROR(_xlfn.LET(_xlpm.Site,$B41,_xlpm.ActDate,_xlfn.XLOOKUP(_xlpm.Site,tblSites[Current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41:INDEX($1:$1048576,ROW(),COLUMN()-1))),_xlpm.Remaining,MAX(0,_xlpm.MaxPts-_xlpm.PriorEnrolled),IF(OR(_xlpm.ActDate="",EOMONTH(H$5,0)&lt;_xlpm.StartDate,_xlpm.Remaining&lt;=0),0,MIN(_xlpm.MonthlyEnroll,_xlpm.Remaining))),0))</f>
        <v/>
      </c>
      <c r="I41" s="9" t="str">
        <f>IF($B41="","",IFERROR(_xlfn.LET(_xlpm.Site,$B41,_xlpm.ActDate,_xlfn.XLOOKUP(_xlpm.Site,tblSites[Include?],tblSites[Scenario?],""),_xlpm.ScreenDays,N('Study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41:INDEX($1:$1048576,ROW(),COLUMN()-1))),_xlpm.Remaining,MAX(0,_xlpm.MaxPts-_xlpm.PriorEnrolled),IF(OR(_xlpm.ActDate="",EOMONTH(I$5,0)&lt;_xlpm.StartDate,_xlpm.Remaining&lt;=0),0,MIN(_xlpm.MonthlyEnroll,_xlpm.Remaining))),0))</f>
        <v/>
      </c>
      <c r="J41" s="9" t="str">
        <f>IF($B41="","",IFERROR(_xlfn.LET(_xlpm.Site,$B41,_xlpm.ActDate,_xlfn.XLOOKUP(_xlpm.Site,tblSites[Scenario?],tblSites[Check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41:INDEX($1:$1048576,ROW(),COLUMN()-1))),_xlpm.Remaining,MAX(0,_xlpm.MaxPts-_xlpm.PriorEnrolled),IF(OR(_xlpm.ActDate="",EOMONTH(J$5,0)&lt;_xlpm.StartDate,_xlpm.Remaining&lt;=0),0,MIN(_xlpm.MonthlyEnroll,_xlpm.Remaining))),0))</f>
        <v/>
      </c>
      <c r="K41" s="9" t="str">
        <f>IF($B41="","",IFERROR(_xlfn.LET(_xlpm.Site,$B41,_xlpm.ActDate,_xlfn.XLOOKUP(_xlpm.Site,tblSites[Check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41:INDEX($1:$1048576,ROW(),COLUMN()-1))),_xlpm.Remaining,MAX(0,_xlpm.MaxPts-_xlpm.PriorEnrolled),IF(OR(_xlpm.ActDate="",EOMONTH(K$5,0)&lt;_xlpm.StartDate,_xlpm.Remaining&lt;=0),0,MIN(_xlpm.MonthlyEnroll,_xlpm.Remaining))),0))</f>
        <v/>
      </c>
      <c r="L41" s="9" t="str">
        <f>IF($B41="","",IFERROR(_xlfn.LET(_xlpm.Site,$B41,_xlpm.ActDate,_xlfn.XLOOKUP(_xlpm.Site,tblSites[Site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41:INDEX($1:$1048576,ROW(),COLUMN()-1))),_xlpm.Remaining,MAX(0,_xlpm.MaxPts-_xlpm.PriorEnrolled),IF(OR(_xlpm.ActDate="",EOMONTH(L$5,0)&lt;_xlpm.StartDate,_xlpm.Remaining&lt;=0),0,MIN(_xlpm.MonthlyEnroll,_xlpm.Remaining))),0))</f>
        <v/>
      </c>
      <c r="M41" s="9" t="str">
        <f>IF($B41="","",IFERROR(_xlfn.LET(_xlpm.Site,$B41,_xlpm.ActDate,_xlfn.XLOOKUP(_xlpm.Site,#REF!,tblSites[Country],""),_xlpm.ScreenDays,N('Study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41:INDEX($1:$1048576,ROW(),COLUMN()-1))),_xlpm.Remaining,MAX(0,_xlpm.MaxPts-_xlpm.PriorEnrolled),IF(OR(_xlpm.ActDate="",EOMONTH(M$5,0)&lt;_xlpm.StartDate,_xlpm.Remaining&lt;=0),0,MIN(_xlpm.MonthlyEnroll,_xlpm.Remaining))),0))</f>
        <v/>
      </c>
      <c r="N41" s="9" t="str">
        <f>IF($B41="","",IFERROR(_xlfn.LET(_xlpm.Site,$B41,_xlpm.ActDate,_xlfn.XLOOKUP(_xlpm.Site,tblSites[Country],tblSites[Site],""),_xlpm.ScreenDays,N('Study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41:INDEX($1:$1048576,ROW(),COLUMN()-1))),_xlpm.Remaining,MAX(0,_xlpm.MaxPts-_xlpm.PriorEnrolled),IF(OR(_xlpm.ActDate="",EOMONTH(N$5,0)&lt;_xlpm.StartDate,_xlpm.Remaining&lt;=0),0,MIN(_xlpm.MonthlyEnroll,_xlpm.Remaining))),0))</f>
        <v/>
      </c>
      <c r="O41" s="9" t="str">
        <f>IF($B41="","",IFERROR(_xlfn.LET(_xlpm.Site,$B41,_xlpm.ActDate,_xlfn.XLOOKUP(_xlpm.Site,tblSites[Site],tblSites[Site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41:INDEX($1:$1048576,ROW(),COLUMN()-1))),_xlpm.Remaining,MAX(0,_xlpm.MaxPts-_xlpm.PriorEnrolled),IF(OR(_xlpm.ActDate="",EOMONTH(O$5,0)&lt;_xlpm.StartDate,_xlpm.Remaining&lt;=0),0,MIN(_xlpm.MonthlyEnroll,_xlpm.Remaining))),0))</f>
        <v/>
      </c>
      <c r="P41" s="9" t="str">
        <f>IF($B41="","",IFERROR(_xlfn.LET(_xlpm.Site,$B41,_xlpm.ActDate,_xlfn.XLOOKUP(_xlpm.Site,tblSites[Site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41:INDEX($1:$1048576,ROW(),COLUMN()-1))),_xlpm.Remaining,MAX(0,_xlpm.MaxPts-_xlpm.PriorEnrolled),IF(OR(_xlpm.ActDate="",EOMONTH(P$5,0)&lt;_xlpm.StartDate,_xlpm.Remaining&lt;=0),0,MIN(_xlpm.MonthlyEnroll,_xlpm.Remaining))),0))</f>
        <v/>
      </c>
      <c r="Q41" s="9" t="str">
        <f>IF($B41="","",IFERROR(_xlfn.LET(_xlpm.Site,$B41,_xlpm.ActDate,_xlfn.XLOOKUP(_xlpm.Site,tblSites[Monthly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41:INDEX($1:$1048576,ROW(),COLUMN()-1))),_xlpm.Remaining,MAX(0,_xlpm.MaxPts-_xlpm.PriorEnrolled),IF(OR(_xlpm.ActDate="",EOMONTH(Q$5,0)&lt;_xlpm.StartDate,_xlpm.Remaining&lt;=0),0,MIN(_xlpm.MonthlyEnroll,_xlpm.Remaining))),0))</f>
        <v/>
      </c>
      <c r="R41" s="9" t="str">
        <f>IF($B41="","",IFERROR(_xlfn.LET(_xlpm.Site,$B41,_xlpm.ActDate,_xlfn.XLOOKUP(_xlpm.Site,tblSites[Site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41:INDEX($1:$1048576,ROW(),COLUMN()-1))),_xlpm.Remaining,MAX(0,_xlpm.MaxPts-_xlpm.PriorEnrolled),IF(OR(_xlpm.ActDate="",EOMONTH(R$5,0)&lt;_xlpm.StartDate,_xlpm.Remaining&lt;=0),0,MIN(_xlpm.MonthlyEnroll,_xlpm.Remaining))),0))</f>
        <v/>
      </c>
      <c r="S41" s="9" t="str">
        <f>IF($B41="","",IFERROR(_xlfn.LET(_xlpm.Site,$B41,_xlpm.ActDate,_xlfn.XLOOKUP(_xlpm.Site,tblSites[Max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41:INDEX($1:$1048576,ROW(),COLUMN()-1))),_xlpm.Remaining,MAX(0,_xlpm.MaxPts-_xlpm.PriorEnrolled),IF(OR(_xlpm.ActDate="",EOMONTH(S$5,0)&lt;_xlpm.StartDate,_xlpm.Remaining&lt;=0),0,MIN(_xlpm.MonthlyEnroll,_xlpm.Remaining))),0))</f>
        <v/>
      </c>
      <c r="T41" s="9" t="str">
        <f>IF($B41="","",IFERROR(_xlfn.LET(_xlpm.Site,$B41,_xlpm.ActDate,_xlfn.XLOOKUP(_xlpm.Site,tblSites[Current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41:INDEX($1:$1048576,ROW(),COLUMN()-1))),_xlpm.Remaining,MAX(0,_xlpm.MaxPts-_xlpm.PriorEnrolled),IF(OR(_xlpm.ActDate="",EOMONTH(T$5,0)&lt;_xlpm.StartDate,_xlpm.Remaining&lt;=0),0,MIN(_xlpm.MonthlyEnroll,_xlpm.Remaining))),0))</f>
        <v/>
      </c>
      <c r="U41" s="9" t="str">
        <f>IF($B41="","",IFERROR(_xlfn.LET(_xlpm.Site,$B41,_xlpm.ActDate,_xlfn.XLOOKUP(_xlpm.Site,tblSites[Include?],tblSites[Scenario?],""),_xlpm.ScreenDays,N('Study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41:INDEX($1:$1048576,ROW(),COLUMN()-1))),_xlpm.Remaining,MAX(0,_xlpm.MaxPts-_xlpm.PriorEnrolled),IF(OR(_xlpm.ActDate="",EOMONTH(U$5,0)&lt;_xlpm.StartDate,_xlpm.Remaining&lt;=0),0,MIN(_xlpm.MonthlyEnroll,_xlpm.Remaining))),0))</f>
        <v/>
      </c>
      <c r="V41" s="9" t="str">
        <f>IF($B41="","",IFERROR(_xlfn.LET(_xlpm.Site,$B41,_xlpm.ActDate,_xlfn.XLOOKUP(_xlpm.Site,tblSites[Scenario?],tblSites[Check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41:INDEX($1:$1048576,ROW(),COLUMN()-1))),_xlpm.Remaining,MAX(0,_xlpm.MaxPts-_xlpm.PriorEnrolled),IF(OR(_xlpm.ActDate="",EOMONTH(V$5,0)&lt;_xlpm.StartDate,_xlpm.Remaining&lt;=0),0,MIN(_xlpm.MonthlyEnroll,_xlpm.Remaining))),0))</f>
        <v/>
      </c>
      <c r="W41" s="9" t="str">
        <f>IF($B41="","",IFERROR(_xlfn.LET(_xlpm.Site,$B41,_xlpm.ActDate,_xlfn.XLOOKUP(_xlpm.Site,tblSites[Check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41:INDEX($1:$1048576,ROW(),COLUMN()-1))),_xlpm.Remaining,MAX(0,_xlpm.MaxPts-_xlpm.PriorEnrolled),IF(OR(_xlpm.ActDate="",EOMONTH(W$5,0)&lt;_xlpm.StartDate,_xlpm.Remaining&lt;=0),0,MIN(_xlpm.MonthlyEnroll,_xlpm.Remaining))),0))</f>
        <v/>
      </c>
      <c r="X41" s="9" t="str">
        <f>IF($B41="","",IFERROR(_xlfn.LET(_xlpm.Site,$B41,_xlpm.ActDate,_xlfn.XLOOKUP(_xlpm.Site,tblSites[Site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41:INDEX($1:$1048576,ROW(),COLUMN()-1))),_xlpm.Remaining,MAX(0,_xlpm.MaxPts-_xlpm.PriorEnrolled),IF(OR(_xlpm.ActDate="",EOMONTH(X$5,0)&lt;_xlpm.StartDate,_xlpm.Remaining&lt;=0),0,MIN(_xlpm.MonthlyEnroll,_xlpm.Remaining))),0))</f>
        <v/>
      </c>
      <c r="Y41" s="9" t="str">
        <f>IF($B41="","",IFERROR(_xlfn.LET(_xlpm.Site,$B41,_xlpm.ActDate,_xlfn.XLOOKUP(_xlpm.Site,#REF!,tblSites[Country],""),_xlpm.ScreenDays,N('Study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41:INDEX($1:$1048576,ROW(),COLUMN()-1))),_xlpm.Remaining,MAX(0,_xlpm.MaxPts-_xlpm.PriorEnrolled),IF(OR(_xlpm.ActDate="",EOMONTH(Y$5,0)&lt;_xlpm.StartDate,_xlpm.Remaining&lt;=0),0,MIN(_xlpm.MonthlyEnroll,_xlpm.Remaining))),0))</f>
        <v/>
      </c>
      <c r="Z41" s="9" t="str">
        <f>IF($B41="","",IFERROR(_xlfn.LET(_xlpm.Site,$B41,_xlpm.ActDate,_xlfn.XLOOKUP(_xlpm.Site,tblSites[Country],tblSites[Site],""),_xlpm.ScreenDays,N('Study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41:INDEX($1:$1048576,ROW(),COLUMN()-1))),_xlpm.Remaining,MAX(0,_xlpm.MaxPts-_xlpm.PriorEnrolled),IF(OR(_xlpm.ActDate="",EOMONTH(Z$5,0)&lt;_xlpm.StartDate,_xlpm.Remaining&lt;=0),0,MIN(_xlpm.MonthlyEnroll,_xlpm.Remaining))),0))</f>
        <v/>
      </c>
      <c r="AA41" s="9" t="str">
        <f>IF($B41="","",IFERROR(_xlfn.LET(_xlpm.Site,$B41,_xlpm.ActDate,_xlfn.XLOOKUP(_xlpm.Site,tblSites[Site],tblSites[Site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41:INDEX($1:$1048576,ROW(),COLUMN()-1))),_xlpm.Remaining,MAX(0,_xlpm.MaxPts-_xlpm.PriorEnrolled),IF(OR(_xlpm.ActDate="",EOMONTH(AA$5,0)&lt;_xlpm.StartDate,_xlpm.Remaining&lt;=0),0,MIN(_xlpm.MonthlyEnroll,_xlpm.Remaining))),0))</f>
        <v/>
      </c>
      <c r="AB41" s="9" t="str">
        <f>IF($B41="","",IFERROR(_xlfn.LET(_xlpm.Site,$B41,_xlpm.ActDate,_xlfn.XLOOKUP(_xlpm.Site,tblSites[Site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41:INDEX($1:$1048576,ROW(),COLUMN()-1))),_xlpm.Remaining,MAX(0,_xlpm.MaxPts-_xlpm.PriorEnrolled),IF(OR(_xlpm.ActDate="",EOMONTH(AB$5,0)&lt;_xlpm.StartDate,_xlpm.Remaining&lt;=0),0,MIN(_xlpm.MonthlyEnroll,_xlpm.Remaining))),0))</f>
        <v/>
      </c>
      <c r="AC41" s="9" t="str">
        <f>IF($B41="","",IFERROR(_xlfn.LET(_xlpm.Site,$B41,_xlpm.ActDate,_xlfn.XLOOKUP(_xlpm.Site,tblSites[Monthly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41:INDEX($1:$1048576,ROW(),COLUMN()-1))),_xlpm.Remaining,MAX(0,_xlpm.MaxPts-_xlpm.PriorEnrolled),IF(OR(_xlpm.ActDate="",EOMONTH(AC$5,0)&lt;_xlpm.StartDate,_xlpm.Remaining&lt;=0),0,MIN(_xlpm.MonthlyEnroll,_xlpm.Remaining))),0))</f>
        <v/>
      </c>
    </row>
    <row r="42" spans="3:29" x14ac:dyDescent="0.25">
      <c r="C42" s="9" cm="1">
        <f t="array" aca="1" ref="C42" ca="1">IF(C$5&lt;=TODAY(),0,IF($B42="","",IFERROR(_xlfn.LET(_xlpm.Site,$B42,_xlpm.SiteCol,INDIRECT("tblSites[Site]"),_xlpm.ActCol,INDIRECT("tblSites[Site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2" s="9" t="str">
        <f>IF($B42="","",IFERROR(_xlfn.LET(_xlpm.Site,$B42,_xlpm.ActDate,_xlfn.XLOOKUP(_xlpm.Site,tblSites[Site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42:INDEX($1:$1048576,ROW(),COLUMN()-1))),_xlpm.Remaining,MAX(0,_xlpm.MaxPts-_xlpm.PriorEnrolled),IF(OR(_xlpm.ActDate="",EOMONTH(D$5,0)&lt;_xlpm.StartDate,_xlpm.Remaining&lt;=0),0,MIN(_xlpm.MonthlyEnroll,_xlpm.Remaining))),0))</f>
        <v/>
      </c>
      <c r="E42" s="9" t="str">
        <f>IF($B42="","",IFERROR(_xlfn.LET(_xlpm.Site,$B42,_xlpm.ActDate,_xlfn.XLOOKUP(_xlpm.Site,tblSites[Monthly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42:INDEX($1:$1048576,ROW(),COLUMN()-1))),_xlpm.Remaining,MAX(0,_xlpm.MaxPts-_xlpm.PriorEnrolled),IF(OR(_xlpm.ActDate="",EOMONTH(E$5,0)&lt;_xlpm.StartDate,_xlpm.Remaining&lt;=0),0,MIN(_xlpm.MonthlyEnroll,_xlpm.Remaining))),0))</f>
        <v/>
      </c>
      <c r="F42" s="9" t="str">
        <f>IF($B42="","",IFERROR(_xlfn.LET(_xlpm.Site,$B42,_xlpm.ActDate,_xlfn.XLOOKUP(_xlpm.Site,tblSites[Site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42:INDEX($1:$1048576,ROW(),COLUMN()-1))),_xlpm.Remaining,MAX(0,_xlpm.MaxPts-_xlpm.PriorEnrolled),IF(OR(_xlpm.ActDate="",EOMONTH(F$5,0)&lt;_xlpm.StartDate,_xlpm.Remaining&lt;=0),0,MIN(_xlpm.MonthlyEnroll,_xlpm.Remaining))),0))</f>
        <v/>
      </c>
      <c r="G42" s="9" t="str">
        <f>IF($B42="","",IFERROR(_xlfn.LET(_xlpm.Site,$B42,_xlpm.ActDate,_xlfn.XLOOKUP(_xlpm.Site,tblSites[Max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42:INDEX($1:$1048576,ROW(),COLUMN()-1))),_xlpm.Remaining,MAX(0,_xlpm.MaxPts-_xlpm.PriorEnrolled),IF(OR(_xlpm.ActDate="",EOMONTH(G$5,0)&lt;_xlpm.StartDate,_xlpm.Remaining&lt;=0),0,MIN(_xlpm.MonthlyEnroll,_xlpm.Remaining))),0))</f>
        <v/>
      </c>
      <c r="H42" s="9" t="str">
        <f>IF($B42="","",IFERROR(_xlfn.LET(_xlpm.Site,$B42,_xlpm.ActDate,_xlfn.XLOOKUP(_xlpm.Site,tblSites[Current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42:INDEX($1:$1048576,ROW(),COLUMN()-1))),_xlpm.Remaining,MAX(0,_xlpm.MaxPts-_xlpm.PriorEnrolled),IF(OR(_xlpm.ActDate="",EOMONTH(H$5,0)&lt;_xlpm.StartDate,_xlpm.Remaining&lt;=0),0,MIN(_xlpm.MonthlyEnroll,_xlpm.Remaining))),0))</f>
        <v/>
      </c>
      <c r="I42" s="9" t="str">
        <f>IF($B42="","",IFERROR(_xlfn.LET(_xlpm.Site,$B42,_xlpm.ActDate,_xlfn.XLOOKUP(_xlpm.Site,tblSites[Include?],tblSites[Scenario?],""),_xlpm.ScreenDays,N('Study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42:INDEX($1:$1048576,ROW(),COLUMN()-1))),_xlpm.Remaining,MAX(0,_xlpm.MaxPts-_xlpm.PriorEnrolled),IF(OR(_xlpm.ActDate="",EOMONTH(I$5,0)&lt;_xlpm.StartDate,_xlpm.Remaining&lt;=0),0,MIN(_xlpm.MonthlyEnroll,_xlpm.Remaining))),0))</f>
        <v/>
      </c>
      <c r="J42" s="9" t="str">
        <f>IF($B42="","",IFERROR(_xlfn.LET(_xlpm.Site,$B42,_xlpm.ActDate,_xlfn.XLOOKUP(_xlpm.Site,tblSites[Scenario?],tblSites[Check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42:INDEX($1:$1048576,ROW(),COLUMN()-1))),_xlpm.Remaining,MAX(0,_xlpm.MaxPts-_xlpm.PriorEnrolled),IF(OR(_xlpm.ActDate="",EOMONTH(J$5,0)&lt;_xlpm.StartDate,_xlpm.Remaining&lt;=0),0,MIN(_xlpm.MonthlyEnroll,_xlpm.Remaining))),0))</f>
        <v/>
      </c>
      <c r="K42" s="9" t="str">
        <f>IF($B42="","",IFERROR(_xlfn.LET(_xlpm.Site,$B42,_xlpm.ActDate,_xlfn.XLOOKUP(_xlpm.Site,tblSites[Check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42:INDEX($1:$1048576,ROW(),COLUMN()-1))),_xlpm.Remaining,MAX(0,_xlpm.MaxPts-_xlpm.PriorEnrolled),IF(OR(_xlpm.ActDate="",EOMONTH(K$5,0)&lt;_xlpm.StartDate,_xlpm.Remaining&lt;=0),0,MIN(_xlpm.MonthlyEnroll,_xlpm.Remaining))),0))</f>
        <v/>
      </c>
      <c r="L42" s="9" t="str">
        <f>IF($B42="","",IFERROR(_xlfn.LET(_xlpm.Site,$B42,_xlpm.ActDate,_xlfn.XLOOKUP(_xlpm.Site,tblSites[Site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42:INDEX($1:$1048576,ROW(),COLUMN()-1))),_xlpm.Remaining,MAX(0,_xlpm.MaxPts-_xlpm.PriorEnrolled),IF(OR(_xlpm.ActDate="",EOMONTH(L$5,0)&lt;_xlpm.StartDate,_xlpm.Remaining&lt;=0),0,MIN(_xlpm.MonthlyEnroll,_xlpm.Remaining))),0))</f>
        <v/>
      </c>
      <c r="M42" s="9" t="str">
        <f>IF($B42="","",IFERROR(_xlfn.LET(_xlpm.Site,$B42,_xlpm.ActDate,_xlfn.XLOOKUP(_xlpm.Site,#REF!,tblSites[Country],""),_xlpm.ScreenDays,N('Study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42:INDEX($1:$1048576,ROW(),COLUMN()-1))),_xlpm.Remaining,MAX(0,_xlpm.MaxPts-_xlpm.PriorEnrolled),IF(OR(_xlpm.ActDate="",EOMONTH(M$5,0)&lt;_xlpm.StartDate,_xlpm.Remaining&lt;=0),0,MIN(_xlpm.MonthlyEnroll,_xlpm.Remaining))),0))</f>
        <v/>
      </c>
      <c r="N42" s="9" t="str">
        <f>IF($B42="","",IFERROR(_xlfn.LET(_xlpm.Site,$B42,_xlpm.ActDate,_xlfn.XLOOKUP(_xlpm.Site,tblSites[Country],tblSites[Site],""),_xlpm.ScreenDays,N('Study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42:INDEX($1:$1048576,ROW(),COLUMN()-1))),_xlpm.Remaining,MAX(0,_xlpm.MaxPts-_xlpm.PriorEnrolled),IF(OR(_xlpm.ActDate="",EOMONTH(N$5,0)&lt;_xlpm.StartDate,_xlpm.Remaining&lt;=0),0,MIN(_xlpm.MonthlyEnroll,_xlpm.Remaining))),0))</f>
        <v/>
      </c>
      <c r="O42" s="9" t="str">
        <f>IF($B42="","",IFERROR(_xlfn.LET(_xlpm.Site,$B42,_xlpm.ActDate,_xlfn.XLOOKUP(_xlpm.Site,tblSites[Site],tblSites[Site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42:INDEX($1:$1048576,ROW(),COLUMN()-1))),_xlpm.Remaining,MAX(0,_xlpm.MaxPts-_xlpm.PriorEnrolled),IF(OR(_xlpm.ActDate="",EOMONTH(O$5,0)&lt;_xlpm.StartDate,_xlpm.Remaining&lt;=0),0,MIN(_xlpm.MonthlyEnroll,_xlpm.Remaining))),0))</f>
        <v/>
      </c>
      <c r="P42" s="9" t="str">
        <f>IF($B42="","",IFERROR(_xlfn.LET(_xlpm.Site,$B42,_xlpm.ActDate,_xlfn.XLOOKUP(_xlpm.Site,tblSites[Site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42:INDEX($1:$1048576,ROW(),COLUMN()-1))),_xlpm.Remaining,MAX(0,_xlpm.MaxPts-_xlpm.PriorEnrolled),IF(OR(_xlpm.ActDate="",EOMONTH(P$5,0)&lt;_xlpm.StartDate,_xlpm.Remaining&lt;=0),0,MIN(_xlpm.MonthlyEnroll,_xlpm.Remaining))),0))</f>
        <v/>
      </c>
      <c r="Q42" s="9" t="str">
        <f>IF($B42="","",IFERROR(_xlfn.LET(_xlpm.Site,$B42,_xlpm.ActDate,_xlfn.XLOOKUP(_xlpm.Site,tblSites[Monthly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42:INDEX($1:$1048576,ROW(),COLUMN()-1))),_xlpm.Remaining,MAX(0,_xlpm.MaxPts-_xlpm.PriorEnrolled),IF(OR(_xlpm.ActDate="",EOMONTH(Q$5,0)&lt;_xlpm.StartDate,_xlpm.Remaining&lt;=0),0,MIN(_xlpm.MonthlyEnroll,_xlpm.Remaining))),0))</f>
        <v/>
      </c>
      <c r="R42" s="9" t="str">
        <f>IF($B42="","",IFERROR(_xlfn.LET(_xlpm.Site,$B42,_xlpm.ActDate,_xlfn.XLOOKUP(_xlpm.Site,tblSites[Site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42:INDEX($1:$1048576,ROW(),COLUMN()-1))),_xlpm.Remaining,MAX(0,_xlpm.MaxPts-_xlpm.PriorEnrolled),IF(OR(_xlpm.ActDate="",EOMONTH(R$5,0)&lt;_xlpm.StartDate,_xlpm.Remaining&lt;=0),0,MIN(_xlpm.MonthlyEnroll,_xlpm.Remaining))),0))</f>
        <v/>
      </c>
      <c r="S42" s="9" t="str">
        <f>IF($B42="","",IFERROR(_xlfn.LET(_xlpm.Site,$B42,_xlpm.ActDate,_xlfn.XLOOKUP(_xlpm.Site,tblSites[Max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42:INDEX($1:$1048576,ROW(),COLUMN()-1))),_xlpm.Remaining,MAX(0,_xlpm.MaxPts-_xlpm.PriorEnrolled),IF(OR(_xlpm.ActDate="",EOMONTH(S$5,0)&lt;_xlpm.StartDate,_xlpm.Remaining&lt;=0),0,MIN(_xlpm.MonthlyEnroll,_xlpm.Remaining))),0))</f>
        <v/>
      </c>
      <c r="T42" s="9" t="str">
        <f>IF($B42="","",IFERROR(_xlfn.LET(_xlpm.Site,$B42,_xlpm.ActDate,_xlfn.XLOOKUP(_xlpm.Site,tblSites[Current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42:INDEX($1:$1048576,ROW(),COLUMN()-1))),_xlpm.Remaining,MAX(0,_xlpm.MaxPts-_xlpm.PriorEnrolled),IF(OR(_xlpm.ActDate="",EOMONTH(T$5,0)&lt;_xlpm.StartDate,_xlpm.Remaining&lt;=0),0,MIN(_xlpm.MonthlyEnroll,_xlpm.Remaining))),0))</f>
        <v/>
      </c>
      <c r="U42" s="9" t="str">
        <f>IF($B42="","",IFERROR(_xlfn.LET(_xlpm.Site,$B42,_xlpm.ActDate,_xlfn.XLOOKUP(_xlpm.Site,tblSites[Include?],tblSites[Scenario?],""),_xlpm.ScreenDays,N('Study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42:INDEX($1:$1048576,ROW(),COLUMN()-1))),_xlpm.Remaining,MAX(0,_xlpm.MaxPts-_xlpm.PriorEnrolled),IF(OR(_xlpm.ActDate="",EOMONTH(U$5,0)&lt;_xlpm.StartDate,_xlpm.Remaining&lt;=0),0,MIN(_xlpm.MonthlyEnroll,_xlpm.Remaining))),0))</f>
        <v/>
      </c>
      <c r="V42" s="9" t="str">
        <f>IF($B42="","",IFERROR(_xlfn.LET(_xlpm.Site,$B42,_xlpm.ActDate,_xlfn.XLOOKUP(_xlpm.Site,tblSites[Scenario?],tblSites[Check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42:INDEX($1:$1048576,ROW(),COLUMN()-1))),_xlpm.Remaining,MAX(0,_xlpm.MaxPts-_xlpm.PriorEnrolled),IF(OR(_xlpm.ActDate="",EOMONTH(V$5,0)&lt;_xlpm.StartDate,_xlpm.Remaining&lt;=0),0,MIN(_xlpm.MonthlyEnroll,_xlpm.Remaining))),0))</f>
        <v/>
      </c>
      <c r="W42" s="9" t="str">
        <f>IF($B42="","",IFERROR(_xlfn.LET(_xlpm.Site,$B42,_xlpm.ActDate,_xlfn.XLOOKUP(_xlpm.Site,tblSites[Check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42:INDEX($1:$1048576,ROW(),COLUMN()-1))),_xlpm.Remaining,MAX(0,_xlpm.MaxPts-_xlpm.PriorEnrolled),IF(OR(_xlpm.ActDate="",EOMONTH(W$5,0)&lt;_xlpm.StartDate,_xlpm.Remaining&lt;=0),0,MIN(_xlpm.MonthlyEnroll,_xlpm.Remaining))),0))</f>
        <v/>
      </c>
      <c r="X42" s="9" t="str">
        <f>IF($B42="","",IFERROR(_xlfn.LET(_xlpm.Site,$B42,_xlpm.ActDate,_xlfn.XLOOKUP(_xlpm.Site,tblSites[Site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42:INDEX($1:$1048576,ROW(),COLUMN()-1))),_xlpm.Remaining,MAX(0,_xlpm.MaxPts-_xlpm.PriorEnrolled),IF(OR(_xlpm.ActDate="",EOMONTH(X$5,0)&lt;_xlpm.StartDate,_xlpm.Remaining&lt;=0),0,MIN(_xlpm.MonthlyEnroll,_xlpm.Remaining))),0))</f>
        <v/>
      </c>
      <c r="Y42" s="9" t="str">
        <f>IF($B42="","",IFERROR(_xlfn.LET(_xlpm.Site,$B42,_xlpm.ActDate,_xlfn.XLOOKUP(_xlpm.Site,#REF!,tblSites[Country],""),_xlpm.ScreenDays,N('Study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42:INDEX($1:$1048576,ROW(),COLUMN()-1))),_xlpm.Remaining,MAX(0,_xlpm.MaxPts-_xlpm.PriorEnrolled),IF(OR(_xlpm.ActDate="",EOMONTH(Y$5,0)&lt;_xlpm.StartDate,_xlpm.Remaining&lt;=0),0,MIN(_xlpm.MonthlyEnroll,_xlpm.Remaining))),0))</f>
        <v/>
      </c>
      <c r="Z42" s="9" t="str">
        <f>IF($B42="","",IFERROR(_xlfn.LET(_xlpm.Site,$B42,_xlpm.ActDate,_xlfn.XLOOKUP(_xlpm.Site,tblSites[Country],tblSites[Site],""),_xlpm.ScreenDays,N('Study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42:INDEX($1:$1048576,ROW(),COLUMN()-1))),_xlpm.Remaining,MAX(0,_xlpm.MaxPts-_xlpm.PriorEnrolled),IF(OR(_xlpm.ActDate="",EOMONTH(Z$5,0)&lt;_xlpm.StartDate,_xlpm.Remaining&lt;=0),0,MIN(_xlpm.MonthlyEnroll,_xlpm.Remaining))),0))</f>
        <v/>
      </c>
      <c r="AA42" s="9" t="str">
        <f>IF($B42="","",IFERROR(_xlfn.LET(_xlpm.Site,$B42,_xlpm.ActDate,_xlfn.XLOOKUP(_xlpm.Site,tblSites[Site],tblSites[Site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42:INDEX($1:$1048576,ROW(),COLUMN()-1))),_xlpm.Remaining,MAX(0,_xlpm.MaxPts-_xlpm.PriorEnrolled),IF(OR(_xlpm.ActDate="",EOMONTH(AA$5,0)&lt;_xlpm.StartDate,_xlpm.Remaining&lt;=0),0,MIN(_xlpm.MonthlyEnroll,_xlpm.Remaining))),0))</f>
        <v/>
      </c>
      <c r="AB42" s="9" t="str">
        <f>IF($B42="","",IFERROR(_xlfn.LET(_xlpm.Site,$B42,_xlpm.ActDate,_xlfn.XLOOKUP(_xlpm.Site,tblSites[Site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42:INDEX($1:$1048576,ROW(),COLUMN()-1))),_xlpm.Remaining,MAX(0,_xlpm.MaxPts-_xlpm.PriorEnrolled),IF(OR(_xlpm.ActDate="",EOMONTH(AB$5,0)&lt;_xlpm.StartDate,_xlpm.Remaining&lt;=0),0,MIN(_xlpm.MonthlyEnroll,_xlpm.Remaining))),0))</f>
        <v/>
      </c>
      <c r="AC42" s="9" t="str">
        <f>IF($B42="","",IFERROR(_xlfn.LET(_xlpm.Site,$B42,_xlpm.ActDate,_xlfn.XLOOKUP(_xlpm.Site,tblSites[Monthly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42:INDEX($1:$1048576,ROW(),COLUMN()-1))),_xlpm.Remaining,MAX(0,_xlpm.MaxPts-_xlpm.PriorEnrolled),IF(OR(_xlpm.ActDate="",EOMONTH(AC$5,0)&lt;_xlpm.StartDate,_xlpm.Remaining&lt;=0),0,MIN(_xlpm.MonthlyEnroll,_xlpm.Remaining))),0))</f>
        <v/>
      </c>
    </row>
    <row r="43" spans="3:29" x14ac:dyDescent="0.25">
      <c r="C43" s="9" cm="1">
        <f t="array" aca="1" ref="C43" ca="1">IF(C$5&lt;=TODAY(),0,IF($B43="","",IFERROR(_xlfn.LET(_xlpm.Site,$B43,_xlpm.SiteCol,INDIRECT("tblSites[Site]"),_xlpm.ActCol,INDIRECT("tblSites[Site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3" s="9" t="str">
        <f>IF($B43="","",IFERROR(_xlfn.LET(_xlpm.Site,$B43,_xlpm.ActDate,_xlfn.XLOOKUP(_xlpm.Site,tblSites[Site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43:INDEX($1:$1048576,ROW(),COLUMN()-1))),_xlpm.Remaining,MAX(0,_xlpm.MaxPts-_xlpm.PriorEnrolled),IF(OR(_xlpm.ActDate="",EOMONTH(D$5,0)&lt;_xlpm.StartDate,_xlpm.Remaining&lt;=0),0,MIN(_xlpm.MonthlyEnroll,_xlpm.Remaining))),0))</f>
        <v/>
      </c>
      <c r="E43" s="9" t="str">
        <f>IF($B43="","",IFERROR(_xlfn.LET(_xlpm.Site,$B43,_xlpm.ActDate,_xlfn.XLOOKUP(_xlpm.Site,tblSites[Monthly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43:INDEX($1:$1048576,ROW(),COLUMN()-1))),_xlpm.Remaining,MAX(0,_xlpm.MaxPts-_xlpm.PriorEnrolled),IF(OR(_xlpm.ActDate="",EOMONTH(E$5,0)&lt;_xlpm.StartDate,_xlpm.Remaining&lt;=0),0,MIN(_xlpm.MonthlyEnroll,_xlpm.Remaining))),0))</f>
        <v/>
      </c>
      <c r="F43" s="9" t="str">
        <f>IF($B43="","",IFERROR(_xlfn.LET(_xlpm.Site,$B43,_xlpm.ActDate,_xlfn.XLOOKUP(_xlpm.Site,tblSites[Site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43:INDEX($1:$1048576,ROW(),COLUMN()-1))),_xlpm.Remaining,MAX(0,_xlpm.MaxPts-_xlpm.PriorEnrolled),IF(OR(_xlpm.ActDate="",EOMONTH(F$5,0)&lt;_xlpm.StartDate,_xlpm.Remaining&lt;=0),0,MIN(_xlpm.MonthlyEnroll,_xlpm.Remaining))),0))</f>
        <v/>
      </c>
      <c r="G43" s="9" t="str">
        <f>IF($B43="","",IFERROR(_xlfn.LET(_xlpm.Site,$B43,_xlpm.ActDate,_xlfn.XLOOKUP(_xlpm.Site,tblSites[Max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43:INDEX($1:$1048576,ROW(),COLUMN()-1))),_xlpm.Remaining,MAX(0,_xlpm.MaxPts-_xlpm.PriorEnrolled),IF(OR(_xlpm.ActDate="",EOMONTH(G$5,0)&lt;_xlpm.StartDate,_xlpm.Remaining&lt;=0),0,MIN(_xlpm.MonthlyEnroll,_xlpm.Remaining))),0))</f>
        <v/>
      </c>
      <c r="H43" s="9" t="str">
        <f>IF($B43="","",IFERROR(_xlfn.LET(_xlpm.Site,$B43,_xlpm.ActDate,_xlfn.XLOOKUP(_xlpm.Site,tblSites[Current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43:INDEX($1:$1048576,ROW(),COLUMN()-1))),_xlpm.Remaining,MAX(0,_xlpm.MaxPts-_xlpm.PriorEnrolled),IF(OR(_xlpm.ActDate="",EOMONTH(H$5,0)&lt;_xlpm.StartDate,_xlpm.Remaining&lt;=0),0,MIN(_xlpm.MonthlyEnroll,_xlpm.Remaining))),0))</f>
        <v/>
      </c>
      <c r="I43" s="9" t="str">
        <f>IF($B43="","",IFERROR(_xlfn.LET(_xlpm.Site,$B43,_xlpm.ActDate,_xlfn.XLOOKUP(_xlpm.Site,tblSites[Include?],tblSites[Scenario?],""),_xlpm.ScreenDays,N('Study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43:INDEX($1:$1048576,ROW(),COLUMN()-1))),_xlpm.Remaining,MAX(0,_xlpm.MaxPts-_xlpm.PriorEnrolled),IF(OR(_xlpm.ActDate="",EOMONTH(I$5,0)&lt;_xlpm.StartDate,_xlpm.Remaining&lt;=0),0,MIN(_xlpm.MonthlyEnroll,_xlpm.Remaining))),0))</f>
        <v/>
      </c>
      <c r="J43" s="9" t="str">
        <f>IF($B43="","",IFERROR(_xlfn.LET(_xlpm.Site,$B43,_xlpm.ActDate,_xlfn.XLOOKUP(_xlpm.Site,tblSites[Scenario?],tblSites[Check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43:INDEX($1:$1048576,ROW(),COLUMN()-1))),_xlpm.Remaining,MAX(0,_xlpm.MaxPts-_xlpm.PriorEnrolled),IF(OR(_xlpm.ActDate="",EOMONTH(J$5,0)&lt;_xlpm.StartDate,_xlpm.Remaining&lt;=0),0,MIN(_xlpm.MonthlyEnroll,_xlpm.Remaining))),0))</f>
        <v/>
      </c>
      <c r="K43" s="9" t="str">
        <f>IF($B43="","",IFERROR(_xlfn.LET(_xlpm.Site,$B43,_xlpm.ActDate,_xlfn.XLOOKUP(_xlpm.Site,tblSites[Check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43:INDEX($1:$1048576,ROW(),COLUMN()-1))),_xlpm.Remaining,MAX(0,_xlpm.MaxPts-_xlpm.PriorEnrolled),IF(OR(_xlpm.ActDate="",EOMONTH(K$5,0)&lt;_xlpm.StartDate,_xlpm.Remaining&lt;=0),0,MIN(_xlpm.MonthlyEnroll,_xlpm.Remaining))),0))</f>
        <v/>
      </c>
      <c r="L43" s="9" t="str">
        <f>IF($B43="","",IFERROR(_xlfn.LET(_xlpm.Site,$B43,_xlpm.ActDate,_xlfn.XLOOKUP(_xlpm.Site,tblSites[Site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43:INDEX($1:$1048576,ROW(),COLUMN()-1))),_xlpm.Remaining,MAX(0,_xlpm.MaxPts-_xlpm.PriorEnrolled),IF(OR(_xlpm.ActDate="",EOMONTH(L$5,0)&lt;_xlpm.StartDate,_xlpm.Remaining&lt;=0),0,MIN(_xlpm.MonthlyEnroll,_xlpm.Remaining))),0))</f>
        <v/>
      </c>
      <c r="M43" s="9" t="str">
        <f>IF($B43="","",IFERROR(_xlfn.LET(_xlpm.Site,$B43,_xlpm.ActDate,_xlfn.XLOOKUP(_xlpm.Site,#REF!,tblSites[Country],""),_xlpm.ScreenDays,N('Study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43:INDEX($1:$1048576,ROW(),COLUMN()-1))),_xlpm.Remaining,MAX(0,_xlpm.MaxPts-_xlpm.PriorEnrolled),IF(OR(_xlpm.ActDate="",EOMONTH(M$5,0)&lt;_xlpm.StartDate,_xlpm.Remaining&lt;=0),0,MIN(_xlpm.MonthlyEnroll,_xlpm.Remaining))),0))</f>
        <v/>
      </c>
      <c r="N43" s="9" t="str">
        <f>IF($B43="","",IFERROR(_xlfn.LET(_xlpm.Site,$B43,_xlpm.ActDate,_xlfn.XLOOKUP(_xlpm.Site,tblSites[Country],tblSites[Site],""),_xlpm.ScreenDays,N('Study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43:INDEX($1:$1048576,ROW(),COLUMN()-1))),_xlpm.Remaining,MAX(0,_xlpm.MaxPts-_xlpm.PriorEnrolled),IF(OR(_xlpm.ActDate="",EOMONTH(N$5,0)&lt;_xlpm.StartDate,_xlpm.Remaining&lt;=0),0,MIN(_xlpm.MonthlyEnroll,_xlpm.Remaining))),0))</f>
        <v/>
      </c>
      <c r="O43" s="9" t="str">
        <f>IF($B43="","",IFERROR(_xlfn.LET(_xlpm.Site,$B43,_xlpm.ActDate,_xlfn.XLOOKUP(_xlpm.Site,tblSites[Site],tblSites[Site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43:INDEX($1:$1048576,ROW(),COLUMN()-1))),_xlpm.Remaining,MAX(0,_xlpm.MaxPts-_xlpm.PriorEnrolled),IF(OR(_xlpm.ActDate="",EOMONTH(O$5,0)&lt;_xlpm.StartDate,_xlpm.Remaining&lt;=0),0,MIN(_xlpm.MonthlyEnroll,_xlpm.Remaining))),0))</f>
        <v/>
      </c>
      <c r="P43" s="9" t="str">
        <f>IF($B43="","",IFERROR(_xlfn.LET(_xlpm.Site,$B43,_xlpm.ActDate,_xlfn.XLOOKUP(_xlpm.Site,tblSites[Site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43:INDEX($1:$1048576,ROW(),COLUMN()-1))),_xlpm.Remaining,MAX(0,_xlpm.MaxPts-_xlpm.PriorEnrolled),IF(OR(_xlpm.ActDate="",EOMONTH(P$5,0)&lt;_xlpm.StartDate,_xlpm.Remaining&lt;=0),0,MIN(_xlpm.MonthlyEnroll,_xlpm.Remaining))),0))</f>
        <v/>
      </c>
      <c r="Q43" s="9" t="str">
        <f>IF($B43="","",IFERROR(_xlfn.LET(_xlpm.Site,$B43,_xlpm.ActDate,_xlfn.XLOOKUP(_xlpm.Site,tblSites[Monthly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43:INDEX($1:$1048576,ROW(),COLUMN()-1))),_xlpm.Remaining,MAX(0,_xlpm.MaxPts-_xlpm.PriorEnrolled),IF(OR(_xlpm.ActDate="",EOMONTH(Q$5,0)&lt;_xlpm.StartDate,_xlpm.Remaining&lt;=0),0,MIN(_xlpm.MonthlyEnroll,_xlpm.Remaining))),0))</f>
        <v/>
      </c>
      <c r="R43" s="9" t="str">
        <f>IF($B43="","",IFERROR(_xlfn.LET(_xlpm.Site,$B43,_xlpm.ActDate,_xlfn.XLOOKUP(_xlpm.Site,tblSites[Site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43:INDEX($1:$1048576,ROW(),COLUMN()-1))),_xlpm.Remaining,MAX(0,_xlpm.MaxPts-_xlpm.PriorEnrolled),IF(OR(_xlpm.ActDate="",EOMONTH(R$5,0)&lt;_xlpm.StartDate,_xlpm.Remaining&lt;=0),0,MIN(_xlpm.MonthlyEnroll,_xlpm.Remaining))),0))</f>
        <v/>
      </c>
      <c r="S43" s="9" t="str">
        <f>IF($B43="","",IFERROR(_xlfn.LET(_xlpm.Site,$B43,_xlpm.ActDate,_xlfn.XLOOKUP(_xlpm.Site,tblSites[Max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43:INDEX($1:$1048576,ROW(),COLUMN()-1))),_xlpm.Remaining,MAX(0,_xlpm.MaxPts-_xlpm.PriorEnrolled),IF(OR(_xlpm.ActDate="",EOMONTH(S$5,0)&lt;_xlpm.StartDate,_xlpm.Remaining&lt;=0),0,MIN(_xlpm.MonthlyEnroll,_xlpm.Remaining))),0))</f>
        <v/>
      </c>
      <c r="T43" s="9" t="str">
        <f>IF($B43="","",IFERROR(_xlfn.LET(_xlpm.Site,$B43,_xlpm.ActDate,_xlfn.XLOOKUP(_xlpm.Site,tblSites[Current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43:INDEX($1:$1048576,ROW(),COLUMN()-1))),_xlpm.Remaining,MAX(0,_xlpm.MaxPts-_xlpm.PriorEnrolled),IF(OR(_xlpm.ActDate="",EOMONTH(T$5,0)&lt;_xlpm.StartDate,_xlpm.Remaining&lt;=0),0,MIN(_xlpm.MonthlyEnroll,_xlpm.Remaining))),0))</f>
        <v/>
      </c>
      <c r="U43" s="9" t="str">
        <f>IF($B43="","",IFERROR(_xlfn.LET(_xlpm.Site,$B43,_xlpm.ActDate,_xlfn.XLOOKUP(_xlpm.Site,tblSites[Include?],tblSites[Scenario?],""),_xlpm.ScreenDays,N('Study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43:INDEX($1:$1048576,ROW(),COLUMN()-1))),_xlpm.Remaining,MAX(0,_xlpm.MaxPts-_xlpm.PriorEnrolled),IF(OR(_xlpm.ActDate="",EOMONTH(U$5,0)&lt;_xlpm.StartDate,_xlpm.Remaining&lt;=0),0,MIN(_xlpm.MonthlyEnroll,_xlpm.Remaining))),0))</f>
        <v/>
      </c>
      <c r="V43" s="9" t="str">
        <f>IF($B43="","",IFERROR(_xlfn.LET(_xlpm.Site,$B43,_xlpm.ActDate,_xlfn.XLOOKUP(_xlpm.Site,tblSites[Scenario?],tblSites[Check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43:INDEX($1:$1048576,ROW(),COLUMN()-1))),_xlpm.Remaining,MAX(0,_xlpm.MaxPts-_xlpm.PriorEnrolled),IF(OR(_xlpm.ActDate="",EOMONTH(V$5,0)&lt;_xlpm.StartDate,_xlpm.Remaining&lt;=0),0,MIN(_xlpm.MonthlyEnroll,_xlpm.Remaining))),0))</f>
        <v/>
      </c>
      <c r="W43" s="9" t="str">
        <f>IF($B43="","",IFERROR(_xlfn.LET(_xlpm.Site,$B43,_xlpm.ActDate,_xlfn.XLOOKUP(_xlpm.Site,tblSites[Check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43:INDEX($1:$1048576,ROW(),COLUMN()-1))),_xlpm.Remaining,MAX(0,_xlpm.MaxPts-_xlpm.PriorEnrolled),IF(OR(_xlpm.ActDate="",EOMONTH(W$5,0)&lt;_xlpm.StartDate,_xlpm.Remaining&lt;=0),0,MIN(_xlpm.MonthlyEnroll,_xlpm.Remaining))),0))</f>
        <v/>
      </c>
      <c r="X43" s="9" t="str">
        <f>IF($B43="","",IFERROR(_xlfn.LET(_xlpm.Site,$B43,_xlpm.ActDate,_xlfn.XLOOKUP(_xlpm.Site,tblSites[Site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43:INDEX($1:$1048576,ROW(),COLUMN()-1))),_xlpm.Remaining,MAX(0,_xlpm.MaxPts-_xlpm.PriorEnrolled),IF(OR(_xlpm.ActDate="",EOMONTH(X$5,0)&lt;_xlpm.StartDate,_xlpm.Remaining&lt;=0),0,MIN(_xlpm.MonthlyEnroll,_xlpm.Remaining))),0))</f>
        <v/>
      </c>
      <c r="Y43" s="9" t="str">
        <f>IF($B43="","",IFERROR(_xlfn.LET(_xlpm.Site,$B43,_xlpm.ActDate,_xlfn.XLOOKUP(_xlpm.Site,#REF!,tblSites[Country],""),_xlpm.ScreenDays,N('Study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43:INDEX($1:$1048576,ROW(),COLUMN()-1))),_xlpm.Remaining,MAX(0,_xlpm.MaxPts-_xlpm.PriorEnrolled),IF(OR(_xlpm.ActDate="",EOMONTH(Y$5,0)&lt;_xlpm.StartDate,_xlpm.Remaining&lt;=0),0,MIN(_xlpm.MonthlyEnroll,_xlpm.Remaining))),0))</f>
        <v/>
      </c>
      <c r="Z43" s="9" t="str">
        <f>IF($B43="","",IFERROR(_xlfn.LET(_xlpm.Site,$B43,_xlpm.ActDate,_xlfn.XLOOKUP(_xlpm.Site,tblSites[Country],tblSites[Site],""),_xlpm.ScreenDays,N('Study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43:INDEX($1:$1048576,ROW(),COLUMN()-1))),_xlpm.Remaining,MAX(0,_xlpm.MaxPts-_xlpm.PriorEnrolled),IF(OR(_xlpm.ActDate="",EOMONTH(Z$5,0)&lt;_xlpm.StartDate,_xlpm.Remaining&lt;=0),0,MIN(_xlpm.MonthlyEnroll,_xlpm.Remaining))),0))</f>
        <v/>
      </c>
      <c r="AA43" s="9" t="str">
        <f>IF($B43="","",IFERROR(_xlfn.LET(_xlpm.Site,$B43,_xlpm.ActDate,_xlfn.XLOOKUP(_xlpm.Site,tblSites[Site],tblSites[Site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43:INDEX($1:$1048576,ROW(),COLUMN()-1))),_xlpm.Remaining,MAX(0,_xlpm.MaxPts-_xlpm.PriorEnrolled),IF(OR(_xlpm.ActDate="",EOMONTH(AA$5,0)&lt;_xlpm.StartDate,_xlpm.Remaining&lt;=0),0,MIN(_xlpm.MonthlyEnroll,_xlpm.Remaining))),0))</f>
        <v/>
      </c>
      <c r="AB43" s="9" t="str">
        <f>IF($B43="","",IFERROR(_xlfn.LET(_xlpm.Site,$B43,_xlpm.ActDate,_xlfn.XLOOKUP(_xlpm.Site,tblSites[Site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43:INDEX($1:$1048576,ROW(),COLUMN()-1))),_xlpm.Remaining,MAX(0,_xlpm.MaxPts-_xlpm.PriorEnrolled),IF(OR(_xlpm.ActDate="",EOMONTH(AB$5,0)&lt;_xlpm.StartDate,_xlpm.Remaining&lt;=0),0,MIN(_xlpm.MonthlyEnroll,_xlpm.Remaining))),0))</f>
        <v/>
      </c>
      <c r="AC43" s="9" t="str">
        <f>IF($B43="","",IFERROR(_xlfn.LET(_xlpm.Site,$B43,_xlpm.ActDate,_xlfn.XLOOKUP(_xlpm.Site,tblSites[Monthly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43:INDEX($1:$1048576,ROW(),COLUMN()-1))),_xlpm.Remaining,MAX(0,_xlpm.MaxPts-_xlpm.PriorEnrolled),IF(OR(_xlpm.ActDate="",EOMONTH(AC$5,0)&lt;_xlpm.StartDate,_xlpm.Remaining&lt;=0),0,MIN(_xlpm.MonthlyEnroll,_xlpm.Remaining))),0))</f>
        <v/>
      </c>
    </row>
    <row r="44" spans="3:29" x14ac:dyDescent="0.25">
      <c r="C44" s="9" cm="1">
        <f t="array" aca="1" ref="C44" ca="1">IF(C$5&lt;=TODAY(),0,IF($B44="","",IFERROR(_xlfn.LET(_xlpm.Site,$B44,_xlpm.SiteCol,INDIRECT("tblSites[Site]"),_xlpm.ActCol,INDIRECT("tblSites[Site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4" s="9" t="str">
        <f>IF($B44="","",IFERROR(_xlfn.LET(_xlpm.Site,$B44,_xlpm.ActDate,_xlfn.XLOOKUP(_xlpm.Site,tblSites[Site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44:INDEX($1:$1048576,ROW(),COLUMN()-1))),_xlpm.Remaining,MAX(0,_xlpm.MaxPts-_xlpm.PriorEnrolled),IF(OR(_xlpm.ActDate="",EOMONTH(D$5,0)&lt;_xlpm.StartDate,_xlpm.Remaining&lt;=0),0,MIN(_xlpm.MonthlyEnroll,_xlpm.Remaining))),0))</f>
        <v/>
      </c>
      <c r="E44" s="9" t="str">
        <f>IF($B44="","",IFERROR(_xlfn.LET(_xlpm.Site,$B44,_xlpm.ActDate,_xlfn.XLOOKUP(_xlpm.Site,tblSites[Monthly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44:INDEX($1:$1048576,ROW(),COLUMN()-1))),_xlpm.Remaining,MAX(0,_xlpm.MaxPts-_xlpm.PriorEnrolled),IF(OR(_xlpm.ActDate="",EOMONTH(E$5,0)&lt;_xlpm.StartDate,_xlpm.Remaining&lt;=0),0,MIN(_xlpm.MonthlyEnroll,_xlpm.Remaining))),0))</f>
        <v/>
      </c>
      <c r="F44" s="9" t="str">
        <f>IF($B44="","",IFERROR(_xlfn.LET(_xlpm.Site,$B44,_xlpm.ActDate,_xlfn.XLOOKUP(_xlpm.Site,tblSites[Site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44:INDEX($1:$1048576,ROW(),COLUMN()-1))),_xlpm.Remaining,MAX(0,_xlpm.MaxPts-_xlpm.PriorEnrolled),IF(OR(_xlpm.ActDate="",EOMONTH(F$5,0)&lt;_xlpm.StartDate,_xlpm.Remaining&lt;=0),0,MIN(_xlpm.MonthlyEnroll,_xlpm.Remaining))),0))</f>
        <v/>
      </c>
      <c r="G44" s="9" t="str">
        <f>IF($B44="","",IFERROR(_xlfn.LET(_xlpm.Site,$B44,_xlpm.ActDate,_xlfn.XLOOKUP(_xlpm.Site,tblSites[Max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44:INDEX($1:$1048576,ROW(),COLUMN()-1))),_xlpm.Remaining,MAX(0,_xlpm.MaxPts-_xlpm.PriorEnrolled),IF(OR(_xlpm.ActDate="",EOMONTH(G$5,0)&lt;_xlpm.StartDate,_xlpm.Remaining&lt;=0),0,MIN(_xlpm.MonthlyEnroll,_xlpm.Remaining))),0))</f>
        <v/>
      </c>
      <c r="H44" s="9" t="str">
        <f>IF($B44="","",IFERROR(_xlfn.LET(_xlpm.Site,$B44,_xlpm.ActDate,_xlfn.XLOOKUP(_xlpm.Site,tblSites[Current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44:INDEX($1:$1048576,ROW(),COLUMN()-1))),_xlpm.Remaining,MAX(0,_xlpm.MaxPts-_xlpm.PriorEnrolled),IF(OR(_xlpm.ActDate="",EOMONTH(H$5,0)&lt;_xlpm.StartDate,_xlpm.Remaining&lt;=0),0,MIN(_xlpm.MonthlyEnroll,_xlpm.Remaining))),0))</f>
        <v/>
      </c>
      <c r="I44" s="9" t="str">
        <f>IF($B44="","",IFERROR(_xlfn.LET(_xlpm.Site,$B44,_xlpm.ActDate,_xlfn.XLOOKUP(_xlpm.Site,tblSites[Include?],tblSites[Scenario?],""),_xlpm.ScreenDays,N('Study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44:INDEX($1:$1048576,ROW(),COLUMN()-1))),_xlpm.Remaining,MAX(0,_xlpm.MaxPts-_xlpm.PriorEnrolled),IF(OR(_xlpm.ActDate="",EOMONTH(I$5,0)&lt;_xlpm.StartDate,_xlpm.Remaining&lt;=0),0,MIN(_xlpm.MonthlyEnroll,_xlpm.Remaining))),0))</f>
        <v/>
      </c>
      <c r="J44" s="9" t="str">
        <f>IF($B44="","",IFERROR(_xlfn.LET(_xlpm.Site,$B44,_xlpm.ActDate,_xlfn.XLOOKUP(_xlpm.Site,tblSites[Scenario?],tblSites[Check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44:INDEX($1:$1048576,ROW(),COLUMN()-1))),_xlpm.Remaining,MAX(0,_xlpm.MaxPts-_xlpm.PriorEnrolled),IF(OR(_xlpm.ActDate="",EOMONTH(J$5,0)&lt;_xlpm.StartDate,_xlpm.Remaining&lt;=0),0,MIN(_xlpm.MonthlyEnroll,_xlpm.Remaining))),0))</f>
        <v/>
      </c>
      <c r="K44" s="9" t="str">
        <f>IF($B44="","",IFERROR(_xlfn.LET(_xlpm.Site,$B44,_xlpm.ActDate,_xlfn.XLOOKUP(_xlpm.Site,tblSites[Check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44:INDEX($1:$1048576,ROW(),COLUMN()-1))),_xlpm.Remaining,MAX(0,_xlpm.MaxPts-_xlpm.PriorEnrolled),IF(OR(_xlpm.ActDate="",EOMONTH(K$5,0)&lt;_xlpm.StartDate,_xlpm.Remaining&lt;=0),0,MIN(_xlpm.MonthlyEnroll,_xlpm.Remaining))),0))</f>
        <v/>
      </c>
      <c r="L44" s="9" t="str">
        <f>IF($B44="","",IFERROR(_xlfn.LET(_xlpm.Site,$B44,_xlpm.ActDate,_xlfn.XLOOKUP(_xlpm.Site,tblSites[Site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44:INDEX($1:$1048576,ROW(),COLUMN()-1))),_xlpm.Remaining,MAX(0,_xlpm.MaxPts-_xlpm.PriorEnrolled),IF(OR(_xlpm.ActDate="",EOMONTH(L$5,0)&lt;_xlpm.StartDate,_xlpm.Remaining&lt;=0),0,MIN(_xlpm.MonthlyEnroll,_xlpm.Remaining))),0))</f>
        <v/>
      </c>
      <c r="M44" s="9" t="str">
        <f>IF($B44="","",IFERROR(_xlfn.LET(_xlpm.Site,$B44,_xlpm.ActDate,_xlfn.XLOOKUP(_xlpm.Site,#REF!,tblSites[Country],""),_xlpm.ScreenDays,N('Study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44:INDEX($1:$1048576,ROW(),COLUMN()-1))),_xlpm.Remaining,MAX(0,_xlpm.MaxPts-_xlpm.PriorEnrolled),IF(OR(_xlpm.ActDate="",EOMONTH(M$5,0)&lt;_xlpm.StartDate,_xlpm.Remaining&lt;=0),0,MIN(_xlpm.MonthlyEnroll,_xlpm.Remaining))),0))</f>
        <v/>
      </c>
      <c r="N44" s="9" t="str">
        <f>IF($B44="","",IFERROR(_xlfn.LET(_xlpm.Site,$B44,_xlpm.ActDate,_xlfn.XLOOKUP(_xlpm.Site,tblSites[Country],tblSites[Site],""),_xlpm.ScreenDays,N('Study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44:INDEX($1:$1048576,ROW(),COLUMN()-1))),_xlpm.Remaining,MAX(0,_xlpm.MaxPts-_xlpm.PriorEnrolled),IF(OR(_xlpm.ActDate="",EOMONTH(N$5,0)&lt;_xlpm.StartDate,_xlpm.Remaining&lt;=0),0,MIN(_xlpm.MonthlyEnroll,_xlpm.Remaining))),0))</f>
        <v/>
      </c>
      <c r="O44" s="9" t="str">
        <f>IF($B44="","",IFERROR(_xlfn.LET(_xlpm.Site,$B44,_xlpm.ActDate,_xlfn.XLOOKUP(_xlpm.Site,tblSites[Site],tblSites[Site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44:INDEX($1:$1048576,ROW(),COLUMN()-1))),_xlpm.Remaining,MAX(0,_xlpm.MaxPts-_xlpm.PriorEnrolled),IF(OR(_xlpm.ActDate="",EOMONTH(O$5,0)&lt;_xlpm.StartDate,_xlpm.Remaining&lt;=0),0,MIN(_xlpm.MonthlyEnroll,_xlpm.Remaining))),0))</f>
        <v/>
      </c>
      <c r="P44" s="9" t="str">
        <f>IF($B44="","",IFERROR(_xlfn.LET(_xlpm.Site,$B44,_xlpm.ActDate,_xlfn.XLOOKUP(_xlpm.Site,tblSites[Site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44:INDEX($1:$1048576,ROW(),COLUMN()-1))),_xlpm.Remaining,MAX(0,_xlpm.MaxPts-_xlpm.PriorEnrolled),IF(OR(_xlpm.ActDate="",EOMONTH(P$5,0)&lt;_xlpm.StartDate,_xlpm.Remaining&lt;=0),0,MIN(_xlpm.MonthlyEnroll,_xlpm.Remaining))),0))</f>
        <v/>
      </c>
      <c r="Q44" s="9" t="str">
        <f>IF($B44="","",IFERROR(_xlfn.LET(_xlpm.Site,$B44,_xlpm.ActDate,_xlfn.XLOOKUP(_xlpm.Site,tblSites[Monthly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44:INDEX($1:$1048576,ROW(),COLUMN()-1))),_xlpm.Remaining,MAX(0,_xlpm.MaxPts-_xlpm.PriorEnrolled),IF(OR(_xlpm.ActDate="",EOMONTH(Q$5,0)&lt;_xlpm.StartDate,_xlpm.Remaining&lt;=0),0,MIN(_xlpm.MonthlyEnroll,_xlpm.Remaining))),0))</f>
        <v/>
      </c>
      <c r="R44" s="9" t="str">
        <f>IF($B44="","",IFERROR(_xlfn.LET(_xlpm.Site,$B44,_xlpm.ActDate,_xlfn.XLOOKUP(_xlpm.Site,tblSites[Site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44:INDEX($1:$1048576,ROW(),COLUMN()-1))),_xlpm.Remaining,MAX(0,_xlpm.MaxPts-_xlpm.PriorEnrolled),IF(OR(_xlpm.ActDate="",EOMONTH(R$5,0)&lt;_xlpm.StartDate,_xlpm.Remaining&lt;=0),0,MIN(_xlpm.MonthlyEnroll,_xlpm.Remaining))),0))</f>
        <v/>
      </c>
      <c r="S44" s="9" t="str">
        <f>IF($B44="","",IFERROR(_xlfn.LET(_xlpm.Site,$B44,_xlpm.ActDate,_xlfn.XLOOKUP(_xlpm.Site,tblSites[Max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44:INDEX($1:$1048576,ROW(),COLUMN()-1))),_xlpm.Remaining,MAX(0,_xlpm.MaxPts-_xlpm.PriorEnrolled),IF(OR(_xlpm.ActDate="",EOMONTH(S$5,0)&lt;_xlpm.StartDate,_xlpm.Remaining&lt;=0),0,MIN(_xlpm.MonthlyEnroll,_xlpm.Remaining))),0))</f>
        <v/>
      </c>
      <c r="T44" s="9" t="str">
        <f>IF($B44="","",IFERROR(_xlfn.LET(_xlpm.Site,$B44,_xlpm.ActDate,_xlfn.XLOOKUP(_xlpm.Site,tblSites[Current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44:INDEX($1:$1048576,ROW(),COLUMN()-1))),_xlpm.Remaining,MAX(0,_xlpm.MaxPts-_xlpm.PriorEnrolled),IF(OR(_xlpm.ActDate="",EOMONTH(T$5,0)&lt;_xlpm.StartDate,_xlpm.Remaining&lt;=0),0,MIN(_xlpm.MonthlyEnroll,_xlpm.Remaining))),0))</f>
        <v/>
      </c>
      <c r="U44" s="9" t="str">
        <f>IF($B44="","",IFERROR(_xlfn.LET(_xlpm.Site,$B44,_xlpm.ActDate,_xlfn.XLOOKUP(_xlpm.Site,tblSites[Include?],tblSites[Scenario?],""),_xlpm.ScreenDays,N('Study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44:INDEX($1:$1048576,ROW(),COLUMN()-1))),_xlpm.Remaining,MAX(0,_xlpm.MaxPts-_xlpm.PriorEnrolled),IF(OR(_xlpm.ActDate="",EOMONTH(U$5,0)&lt;_xlpm.StartDate,_xlpm.Remaining&lt;=0),0,MIN(_xlpm.MonthlyEnroll,_xlpm.Remaining))),0))</f>
        <v/>
      </c>
      <c r="V44" s="9" t="str">
        <f>IF($B44="","",IFERROR(_xlfn.LET(_xlpm.Site,$B44,_xlpm.ActDate,_xlfn.XLOOKUP(_xlpm.Site,tblSites[Scenario?],tblSites[Check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44:INDEX($1:$1048576,ROW(),COLUMN()-1))),_xlpm.Remaining,MAX(0,_xlpm.MaxPts-_xlpm.PriorEnrolled),IF(OR(_xlpm.ActDate="",EOMONTH(V$5,0)&lt;_xlpm.StartDate,_xlpm.Remaining&lt;=0),0,MIN(_xlpm.MonthlyEnroll,_xlpm.Remaining))),0))</f>
        <v/>
      </c>
      <c r="W44" s="9" t="str">
        <f>IF($B44="","",IFERROR(_xlfn.LET(_xlpm.Site,$B44,_xlpm.ActDate,_xlfn.XLOOKUP(_xlpm.Site,tblSites[Check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44:INDEX($1:$1048576,ROW(),COLUMN()-1))),_xlpm.Remaining,MAX(0,_xlpm.MaxPts-_xlpm.PriorEnrolled),IF(OR(_xlpm.ActDate="",EOMONTH(W$5,0)&lt;_xlpm.StartDate,_xlpm.Remaining&lt;=0),0,MIN(_xlpm.MonthlyEnroll,_xlpm.Remaining))),0))</f>
        <v/>
      </c>
      <c r="X44" s="9" t="str">
        <f>IF($B44="","",IFERROR(_xlfn.LET(_xlpm.Site,$B44,_xlpm.ActDate,_xlfn.XLOOKUP(_xlpm.Site,tblSites[Site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44:INDEX($1:$1048576,ROW(),COLUMN()-1))),_xlpm.Remaining,MAX(0,_xlpm.MaxPts-_xlpm.PriorEnrolled),IF(OR(_xlpm.ActDate="",EOMONTH(X$5,0)&lt;_xlpm.StartDate,_xlpm.Remaining&lt;=0),0,MIN(_xlpm.MonthlyEnroll,_xlpm.Remaining))),0))</f>
        <v/>
      </c>
      <c r="Y44" s="9" t="str">
        <f>IF($B44="","",IFERROR(_xlfn.LET(_xlpm.Site,$B44,_xlpm.ActDate,_xlfn.XLOOKUP(_xlpm.Site,#REF!,tblSites[Country],""),_xlpm.ScreenDays,N('Study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44:INDEX($1:$1048576,ROW(),COLUMN()-1))),_xlpm.Remaining,MAX(0,_xlpm.MaxPts-_xlpm.PriorEnrolled),IF(OR(_xlpm.ActDate="",EOMONTH(Y$5,0)&lt;_xlpm.StartDate,_xlpm.Remaining&lt;=0),0,MIN(_xlpm.MonthlyEnroll,_xlpm.Remaining))),0))</f>
        <v/>
      </c>
      <c r="Z44" s="9" t="str">
        <f>IF($B44="","",IFERROR(_xlfn.LET(_xlpm.Site,$B44,_xlpm.ActDate,_xlfn.XLOOKUP(_xlpm.Site,tblSites[Country],tblSites[Site],""),_xlpm.ScreenDays,N('Study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44:INDEX($1:$1048576,ROW(),COLUMN()-1))),_xlpm.Remaining,MAX(0,_xlpm.MaxPts-_xlpm.PriorEnrolled),IF(OR(_xlpm.ActDate="",EOMONTH(Z$5,0)&lt;_xlpm.StartDate,_xlpm.Remaining&lt;=0),0,MIN(_xlpm.MonthlyEnroll,_xlpm.Remaining))),0))</f>
        <v/>
      </c>
      <c r="AA44" s="9" t="str">
        <f>IF($B44="","",IFERROR(_xlfn.LET(_xlpm.Site,$B44,_xlpm.ActDate,_xlfn.XLOOKUP(_xlpm.Site,tblSites[Site],tblSites[Site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44:INDEX($1:$1048576,ROW(),COLUMN()-1))),_xlpm.Remaining,MAX(0,_xlpm.MaxPts-_xlpm.PriorEnrolled),IF(OR(_xlpm.ActDate="",EOMONTH(AA$5,0)&lt;_xlpm.StartDate,_xlpm.Remaining&lt;=0),0,MIN(_xlpm.MonthlyEnroll,_xlpm.Remaining))),0))</f>
        <v/>
      </c>
      <c r="AB44" s="9" t="str">
        <f>IF($B44="","",IFERROR(_xlfn.LET(_xlpm.Site,$B44,_xlpm.ActDate,_xlfn.XLOOKUP(_xlpm.Site,tblSites[Site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44:INDEX($1:$1048576,ROW(),COLUMN()-1))),_xlpm.Remaining,MAX(0,_xlpm.MaxPts-_xlpm.PriorEnrolled),IF(OR(_xlpm.ActDate="",EOMONTH(AB$5,0)&lt;_xlpm.StartDate,_xlpm.Remaining&lt;=0),0,MIN(_xlpm.MonthlyEnroll,_xlpm.Remaining))),0))</f>
        <v/>
      </c>
      <c r="AC44" s="9" t="str">
        <f>IF($B44="","",IFERROR(_xlfn.LET(_xlpm.Site,$B44,_xlpm.ActDate,_xlfn.XLOOKUP(_xlpm.Site,tblSites[Monthly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44:INDEX($1:$1048576,ROW(),COLUMN()-1))),_xlpm.Remaining,MAX(0,_xlpm.MaxPts-_xlpm.PriorEnrolled),IF(OR(_xlpm.ActDate="",EOMONTH(AC$5,0)&lt;_xlpm.StartDate,_xlpm.Remaining&lt;=0),0,MIN(_xlpm.MonthlyEnroll,_xlpm.Remaining))),0))</f>
        <v/>
      </c>
    </row>
    <row r="45" spans="3:29" x14ac:dyDescent="0.25">
      <c r="C45" s="9" cm="1">
        <f t="array" aca="1" ref="C45" ca="1">IF(C$5&lt;=TODAY(),0,IF($B45="","",IFERROR(_xlfn.LET(_xlpm.Site,$B45,_xlpm.SiteCol,INDIRECT("tblSites[Site]"),_xlpm.ActCol,INDIRECT("tblSites[Site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5" s="9" t="str">
        <f>IF($B45="","",IFERROR(_xlfn.LET(_xlpm.Site,$B45,_xlpm.ActDate,_xlfn.XLOOKUP(_xlpm.Site,tblSites[Site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45:INDEX($1:$1048576,ROW(),COLUMN()-1))),_xlpm.Remaining,MAX(0,_xlpm.MaxPts-_xlpm.PriorEnrolled),IF(OR(_xlpm.ActDate="",EOMONTH(D$5,0)&lt;_xlpm.StartDate,_xlpm.Remaining&lt;=0),0,MIN(_xlpm.MonthlyEnroll,_xlpm.Remaining))),0))</f>
        <v/>
      </c>
      <c r="E45" s="9" t="str">
        <f>IF($B45="","",IFERROR(_xlfn.LET(_xlpm.Site,$B45,_xlpm.ActDate,_xlfn.XLOOKUP(_xlpm.Site,tblSites[Monthly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45:INDEX($1:$1048576,ROW(),COLUMN()-1))),_xlpm.Remaining,MAX(0,_xlpm.MaxPts-_xlpm.PriorEnrolled),IF(OR(_xlpm.ActDate="",EOMONTH(E$5,0)&lt;_xlpm.StartDate,_xlpm.Remaining&lt;=0),0,MIN(_xlpm.MonthlyEnroll,_xlpm.Remaining))),0))</f>
        <v/>
      </c>
      <c r="F45" s="9" t="str">
        <f>IF($B45="","",IFERROR(_xlfn.LET(_xlpm.Site,$B45,_xlpm.ActDate,_xlfn.XLOOKUP(_xlpm.Site,tblSites[Site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45:INDEX($1:$1048576,ROW(),COLUMN()-1))),_xlpm.Remaining,MAX(0,_xlpm.MaxPts-_xlpm.PriorEnrolled),IF(OR(_xlpm.ActDate="",EOMONTH(F$5,0)&lt;_xlpm.StartDate,_xlpm.Remaining&lt;=0),0,MIN(_xlpm.MonthlyEnroll,_xlpm.Remaining))),0))</f>
        <v/>
      </c>
      <c r="G45" s="9" t="str">
        <f>IF($B45="","",IFERROR(_xlfn.LET(_xlpm.Site,$B45,_xlpm.ActDate,_xlfn.XLOOKUP(_xlpm.Site,tblSites[Max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45:INDEX($1:$1048576,ROW(),COLUMN()-1))),_xlpm.Remaining,MAX(0,_xlpm.MaxPts-_xlpm.PriorEnrolled),IF(OR(_xlpm.ActDate="",EOMONTH(G$5,0)&lt;_xlpm.StartDate,_xlpm.Remaining&lt;=0),0,MIN(_xlpm.MonthlyEnroll,_xlpm.Remaining))),0))</f>
        <v/>
      </c>
      <c r="H45" s="9" t="str">
        <f>IF($B45="","",IFERROR(_xlfn.LET(_xlpm.Site,$B45,_xlpm.ActDate,_xlfn.XLOOKUP(_xlpm.Site,tblSites[Current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45:INDEX($1:$1048576,ROW(),COLUMN()-1))),_xlpm.Remaining,MAX(0,_xlpm.MaxPts-_xlpm.PriorEnrolled),IF(OR(_xlpm.ActDate="",EOMONTH(H$5,0)&lt;_xlpm.StartDate,_xlpm.Remaining&lt;=0),0,MIN(_xlpm.MonthlyEnroll,_xlpm.Remaining))),0))</f>
        <v/>
      </c>
      <c r="I45" s="9" t="str">
        <f>IF($B45="","",IFERROR(_xlfn.LET(_xlpm.Site,$B45,_xlpm.ActDate,_xlfn.XLOOKUP(_xlpm.Site,tblSites[Include?],tblSites[Scenario?],""),_xlpm.ScreenDays,N('Study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45:INDEX($1:$1048576,ROW(),COLUMN()-1))),_xlpm.Remaining,MAX(0,_xlpm.MaxPts-_xlpm.PriorEnrolled),IF(OR(_xlpm.ActDate="",EOMONTH(I$5,0)&lt;_xlpm.StartDate,_xlpm.Remaining&lt;=0),0,MIN(_xlpm.MonthlyEnroll,_xlpm.Remaining))),0))</f>
        <v/>
      </c>
      <c r="J45" s="9" t="str">
        <f>IF($B45="","",IFERROR(_xlfn.LET(_xlpm.Site,$B45,_xlpm.ActDate,_xlfn.XLOOKUP(_xlpm.Site,tblSites[Scenario?],tblSites[Check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45:INDEX($1:$1048576,ROW(),COLUMN()-1))),_xlpm.Remaining,MAX(0,_xlpm.MaxPts-_xlpm.PriorEnrolled),IF(OR(_xlpm.ActDate="",EOMONTH(J$5,0)&lt;_xlpm.StartDate,_xlpm.Remaining&lt;=0),0,MIN(_xlpm.MonthlyEnroll,_xlpm.Remaining))),0))</f>
        <v/>
      </c>
      <c r="K45" s="9" t="str">
        <f>IF($B45="","",IFERROR(_xlfn.LET(_xlpm.Site,$B45,_xlpm.ActDate,_xlfn.XLOOKUP(_xlpm.Site,tblSites[Check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45:INDEX($1:$1048576,ROW(),COLUMN()-1))),_xlpm.Remaining,MAX(0,_xlpm.MaxPts-_xlpm.PriorEnrolled),IF(OR(_xlpm.ActDate="",EOMONTH(K$5,0)&lt;_xlpm.StartDate,_xlpm.Remaining&lt;=0),0,MIN(_xlpm.MonthlyEnroll,_xlpm.Remaining))),0))</f>
        <v/>
      </c>
      <c r="L45" s="9" t="str">
        <f>IF($B45="","",IFERROR(_xlfn.LET(_xlpm.Site,$B45,_xlpm.ActDate,_xlfn.XLOOKUP(_xlpm.Site,tblSites[Site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45:INDEX($1:$1048576,ROW(),COLUMN()-1))),_xlpm.Remaining,MAX(0,_xlpm.MaxPts-_xlpm.PriorEnrolled),IF(OR(_xlpm.ActDate="",EOMONTH(L$5,0)&lt;_xlpm.StartDate,_xlpm.Remaining&lt;=0),0,MIN(_xlpm.MonthlyEnroll,_xlpm.Remaining))),0))</f>
        <v/>
      </c>
      <c r="M45" s="9" t="str">
        <f>IF($B45="","",IFERROR(_xlfn.LET(_xlpm.Site,$B45,_xlpm.ActDate,_xlfn.XLOOKUP(_xlpm.Site,#REF!,tblSites[Country],""),_xlpm.ScreenDays,N('Study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45:INDEX($1:$1048576,ROW(),COLUMN()-1))),_xlpm.Remaining,MAX(0,_xlpm.MaxPts-_xlpm.PriorEnrolled),IF(OR(_xlpm.ActDate="",EOMONTH(M$5,0)&lt;_xlpm.StartDate,_xlpm.Remaining&lt;=0),0,MIN(_xlpm.MonthlyEnroll,_xlpm.Remaining))),0))</f>
        <v/>
      </c>
      <c r="N45" s="9" t="str">
        <f>IF($B45="","",IFERROR(_xlfn.LET(_xlpm.Site,$B45,_xlpm.ActDate,_xlfn.XLOOKUP(_xlpm.Site,tblSites[Country],tblSites[Site],""),_xlpm.ScreenDays,N('Study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45:INDEX($1:$1048576,ROW(),COLUMN()-1))),_xlpm.Remaining,MAX(0,_xlpm.MaxPts-_xlpm.PriorEnrolled),IF(OR(_xlpm.ActDate="",EOMONTH(N$5,0)&lt;_xlpm.StartDate,_xlpm.Remaining&lt;=0),0,MIN(_xlpm.MonthlyEnroll,_xlpm.Remaining))),0))</f>
        <v/>
      </c>
      <c r="O45" s="9" t="str">
        <f>IF($B45="","",IFERROR(_xlfn.LET(_xlpm.Site,$B45,_xlpm.ActDate,_xlfn.XLOOKUP(_xlpm.Site,tblSites[Site],tblSites[Site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45:INDEX($1:$1048576,ROW(),COLUMN()-1))),_xlpm.Remaining,MAX(0,_xlpm.MaxPts-_xlpm.PriorEnrolled),IF(OR(_xlpm.ActDate="",EOMONTH(O$5,0)&lt;_xlpm.StartDate,_xlpm.Remaining&lt;=0),0,MIN(_xlpm.MonthlyEnroll,_xlpm.Remaining))),0))</f>
        <v/>
      </c>
      <c r="P45" s="9" t="str">
        <f>IF($B45="","",IFERROR(_xlfn.LET(_xlpm.Site,$B45,_xlpm.ActDate,_xlfn.XLOOKUP(_xlpm.Site,tblSites[Site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45:INDEX($1:$1048576,ROW(),COLUMN()-1))),_xlpm.Remaining,MAX(0,_xlpm.MaxPts-_xlpm.PriorEnrolled),IF(OR(_xlpm.ActDate="",EOMONTH(P$5,0)&lt;_xlpm.StartDate,_xlpm.Remaining&lt;=0),0,MIN(_xlpm.MonthlyEnroll,_xlpm.Remaining))),0))</f>
        <v/>
      </c>
      <c r="Q45" s="9" t="str">
        <f>IF($B45="","",IFERROR(_xlfn.LET(_xlpm.Site,$B45,_xlpm.ActDate,_xlfn.XLOOKUP(_xlpm.Site,tblSites[Monthly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45:INDEX($1:$1048576,ROW(),COLUMN()-1))),_xlpm.Remaining,MAX(0,_xlpm.MaxPts-_xlpm.PriorEnrolled),IF(OR(_xlpm.ActDate="",EOMONTH(Q$5,0)&lt;_xlpm.StartDate,_xlpm.Remaining&lt;=0),0,MIN(_xlpm.MonthlyEnroll,_xlpm.Remaining))),0))</f>
        <v/>
      </c>
      <c r="R45" s="9" t="str">
        <f>IF($B45="","",IFERROR(_xlfn.LET(_xlpm.Site,$B45,_xlpm.ActDate,_xlfn.XLOOKUP(_xlpm.Site,tblSites[Site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45:INDEX($1:$1048576,ROW(),COLUMN()-1))),_xlpm.Remaining,MAX(0,_xlpm.MaxPts-_xlpm.PriorEnrolled),IF(OR(_xlpm.ActDate="",EOMONTH(R$5,0)&lt;_xlpm.StartDate,_xlpm.Remaining&lt;=0),0,MIN(_xlpm.MonthlyEnroll,_xlpm.Remaining))),0))</f>
        <v/>
      </c>
      <c r="S45" s="9" t="str">
        <f>IF($B45="","",IFERROR(_xlfn.LET(_xlpm.Site,$B45,_xlpm.ActDate,_xlfn.XLOOKUP(_xlpm.Site,tblSites[Max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45:INDEX($1:$1048576,ROW(),COLUMN()-1))),_xlpm.Remaining,MAX(0,_xlpm.MaxPts-_xlpm.PriorEnrolled),IF(OR(_xlpm.ActDate="",EOMONTH(S$5,0)&lt;_xlpm.StartDate,_xlpm.Remaining&lt;=0),0,MIN(_xlpm.MonthlyEnroll,_xlpm.Remaining))),0))</f>
        <v/>
      </c>
      <c r="T45" s="9" t="str">
        <f>IF($B45="","",IFERROR(_xlfn.LET(_xlpm.Site,$B45,_xlpm.ActDate,_xlfn.XLOOKUP(_xlpm.Site,tblSites[Current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45:INDEX($1:$1048576,ROW(),COLUMN()-1))),_xlpm.Remaining,MAX(0,_xlpm.MaxPts-_xlpm.PriorEnrolled),IF(OR(_xlpm.ActDate="",EOMONTH(T$5,0)&lt;_xlpm.StartDate,_xlpm.Remaining&lt;=0),0,MIN(_xlpm.MonthlyEnroll,_xlpm.Remaining))),0))</f>
        <v/>
      </c>
      <c r="U45" s="9" t="str">
        <f>IF($B45="","",IFERROR(_xlfn.LET(_xlpm.Site,$B45,_xlpm.ActDate,_xlfn.XLOOKUP(_xlpm.Site,tblSites[Include?],tblSites[Scenario?],""),_xlpm.ScreenDays,N('Study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45:INDEX($1:$1048576,ROW(),COLUMN()-1))),_xlpm.Remaining,MAX(0,_xlpm.MaxPts-_xlpm.PriorEnrolled),IF(OR(_xlpm.ActDate="",EOMONTH(U$5,0)&lt;_xlpm.StartDate,_xlpm.Remaining&lt;=0),0,MIN(_xlpm.MonthlyEnroll,_xlpm.Remaining))),0))</f>
        <v/>
      </c>
      <c r="V45" s="9" t="str">
        <f>IF($B45="","",IFERROR(_xlfn.LET(_xlpm.Site,$B45,_xlpm.ActDate,_xlfn.XLOOKUP(_xlpm.Site,tblSites[Scenario?],tblSites[Check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45:INDEX($1:$1048576,ROW(),COLUMN()-1))),_xlpm.Remaining,MAX(0,_xlpm.MaxPts-_xlpm.PriorEnrolled),IF(OR(_xlpm.ActDate="",EOMONTH(V$5,0)&lt;_xlpm.StartDate,_xlpm.Remaining&lt;=0),0,MIN(_xlpm.MonthlyEnroll,_xlpm.Remaining))),0))</f>
        <v/>
      </c>
      <c r="W45" s="9" t="str">
        <f>IF($B45="","",IFERROR(_xlfn.LET(_xlpm.Site,$B45,_xlpm.ActDate,_xlfn.XLOOKUP(_xlpm.Site,tblSites[Check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45:INDEX($1:$1048576,ROW(),COLUMN()-1))),_xlpm.Remaining,MAX(0,_xlpm.MaxPts-_xlpm.PriorEnrolled),IF(OR(_xlpm.ActDate="",EOMONTH(W$5,0)&lt;_xlpm.StartDate,_xlpm.Remaining&lt;=0),0,MIN(_xlpm.MonthlyEnroll,_xlpm.Remaining))),0))</f>
        <v/>
      </c>
      <c r="X45" s="9" t="str">
        <f>IF($B45="","",IFERROR(_xlfn.LET(_xlpm.Site,$B45,_xlpm.ActDate,_xlfn.XLOOKUP(_xlpm.Site,tblSites[Site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45:INDEX($1:$1048576,ROW(),COLUMN()-1))),_xlpm.Remaining,MAX(0,_xlpm.MaxPts-_xlpm.PriorEnrolled),IF(OR(_xlpm.ActDate="",EOMONTH(X$5,0)&lt;_xlpm.StartDate,_xlpm.Remaining&lt;=0),0,MIN(_xlpm.MonthlyEnroll,_xlpm.Remaining))),0))</f>
        <v/>
      </c>
      <c r="Y45" s="9" t="str">
        <f>IF($B45="","",IFERROR(_xlfn.LET(_xlpm.Site,$B45,_xlpm.ActDate,_xlfn.XLOOKUP(_xlpm.Site,#REF!,tblSites[Country],""),_xlpm.ScreenDays,N('Study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45:INDEX($1:$1048576,ROW(),COLUMN()-1))),_xlpm.Remaining,MAX(0,_xlpm.MaxPts-_xlpm.PriorEnrolled),IF(OR(_xlpm.ActDate="",EOMONTH(Y$5,0)&lt;_xlpm.StartDate,_xlpm.Remaining&lt;=0),0,MIN(_xlpm.MonthlyEnroll,_xlpm.Remaining))),0))</f>
        <v/>
      </c>
      <c r="Z45" s="9" t="str">
        <f>IF($B45="","",IFERROR(_xlfn.LET(_xlpm.Site,$B45,_xlpm.ActDate,_xlfn.XLOOKUP(_xlpm.Site,tblSites[Country],tblSites[Site],""),_xlpm.ScreenDays,N('Study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45:INDEX($1:$1048576,ROW(),COLUMN()-1))),_xlpm.Remaining,MAX(0,_xlpm.MaxPts-_xlpm.PriorEnrolled),IF(OR(_xlpm.ActDate="",EOMONTH(Z$5,0)&lt;_xlpm.StartDate,_xlpm.Remaining&lt;=0),0,MIN(_xlpm.MonthlyEnroll,_xlpm.Remaining))),0))</f>
        <v/>
      </c>
      <c r="AA45" s="9" t="str">
        <f>IF($B45="","",IFERROR(_xlfn.LET(_xlpm.Site,$B45,_xlpm.ActDate,_xlfn.XLOOKUP(_xlpm.Site,tblSites[Site],tblSites[Site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45:INDEX($1:$1048576,ROW(),COLUMN()-1))),_xlpm.Remaining,MAX(0,_xlpm.MaxPts-_xlpm.PriorEnrolled),IF(OR(_xlpm.ActDate="",EOMONTH(AA$5,0)&lt;_xlpm.StartDate,_xlpm.Remaining&lt;=0),0,MIN(_xlpm.MonthlyEnroll,_xlpm.Remaining))),0))</f>
        <v/>
      </c>
      <c r="AB45" s="9" t="str">
        <f>IF($B45="","",IFERROR(_xlfn.LET(_xlpm.Site,$B45,_xlpm.ActDate,_xlfn.XLOOKUP(_xlpm.Site,tblSites[Site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45:INDEX($1:$1048576,ROW(),COLUMN()-1))),_xlpm.Remaining,MAX(0,_xlpm.MaxPts-_xlpm.PriorEnrolled),IF(OR(_xlpm.ActDate="",EOMONTH(AB$5,0)&lt;_xlpm.StartDate,_xlpm.Remaining&lt;=0),0,MIN(_xlpm.MonthlyEnroll,_xlpm.Remaining))),0))</f>
        <v/>
      </c>
      <c r="AC45" s="9" t="str">
        <f>IF($B45="","",IFERROR(_xlfn.LET(_xlpm.Site,$B45,_xlpm.ActDate,_xlfn.XLOOKUP(_xlpm.Site,tblSites[Monthly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45:INDEX($1:$1048576,ROW(),COLUMN()-1))),_xlpm.Remaining,MAX(0,_xlpm.MaxPts-_xlpm.PriorEnrolled),IF(OR(_xlpm.ActDate="",EOMONTH(AC$5,0)&lt;_xlpm.StartDate,_xlpm.Remaining&lt;=0),0,MIN(_xlpm.MonthlyEnroll,_xlpm.Remaining))),0))</f>
        <v/>
      </c>
    </row>
    <row r="46" spans="3:29" x14ac:dyDescent="0.25">
      <c r="C46" s="9" cm="1">
        <f t="array" aca="1" ref="C46" ca="1">IF(C$5&lt;=TODAY(),0,IF($B46="","",IFERROR(_xlfn.LET(_xlpm.Site,$B46,_xlpm.SiteCol,INDIRECT("tblSites[Site]"),_xlpm.ActCol,INDIRECT("tblSites[Site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6" s="9" t="str">
        <f>IF($B46="","",IFERROR(_xlfn.LET(_xlpm.Site,$B46,_xlpm.ActDate,_xlfn.XLOOKUP(_xlpm.Site,tblSites[Site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46:INDEX($1:$1048576,ROW(),COLUMN()-1))),_xlpm.Remaining,MAX(0,_xlpm.MaxPts-_xlpm.PriorEnrolled),IF(OR(_xlpm.ActDate="",EOMONTH(D$5,0)&lt;_xlpm.StartDate,_xlpm.Remaining&lt;=0),0,MIN(_xlpm.MonthlyEnroll,_xlpm.Remaining))),0))</f>
        <v/>
      </c>
      <c r="E46" s="9" t="str">
        <f>IF($B46="","",IFERROR(_xlfn.LET(_xlpm.Site,$B46,_xlpm.ActDate,_xlfn.XLOOKUP(_xlpm.Site,tblSites[Monthly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46:INDEX($1:$1048576,ROW(),COLUMN()-1))),_xlpm.Remaining,MAX(0,_xlpm.MaxPts-_xlpm.PriorEnrolled),IF(OR(_xlpm.ActDate="",EOMONTH(E$5,0)&lt;_xlpm.StartDate,_xlpm.Remaining&lt;=0),0,MIN(_xlpm.MonthlyEnroll,_xlpm.Remaining))),0))</f>
        <v/>
      </c>
      <c r="F46" s="9" t="str">
        <f>IF($B46="","",IFERROR(_xlfn.LET(_xlpm.Site,$B46,_xlpm.ActDate,_xlfn.XLOOKUP(_xlpm.Site,tblSites[Site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46:INDEX($1:$1048576,ROW(),COLUMN()-1))),_xlpm.Remaining,MAX(0,_xlpm.MaxPts-_xlpm.PriorEnrolled),IF(OR(_xlpm.ActDate="",EOMONTH(F$5,0)&lt;_xlpm.StartDate,_xlpm.Remaining&lt;=0),0,MIN(_xlpm.MonthlyEnroll,_xlpm.Remaining))),0))</f>
        <v/>
      </c>
      <c r="G46" s="9" t="str">
        <f>IF($B46="","",IFERROR(_xlfn.LET(_xlpm.Site,$B46,_xlpm.ActDate,_xlfn.XLOOKUP(_xlpm.Site,tblSites[Max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46:INDEX($1:$1048576,ROW(),COLUMN()-1))),_xlpm.Remaining,MAX(0,_xlpm.MaxPts-_xlpm.PriorEnrolled),IF(OR(_xlpm.ActDate="",EOMONTH(G$5,0)&lt;_xlpm.StartDate,_xlpm.Remaining&lt;=0),0,MIN(_xlpm.MonthlyEnroll,_xlpm.Remaining))),0))</f>
        <v/>
      </c>
      <c r="H46" s="9" t="str">
        <f>IF($B46="","",IFERROR(_xlfn.LET(_xlpm.Site,$B46,_xlpm.ActDate,_xlfn.XLOOKUP(_xlpm.Site,tblSites[Current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46:INDEX($1:$1048576,ROW(),COLUMN()-1))),_xlpm.Remaining,MAX(0,_xlpm.MaxPts-_xlpm.PriorEnrolled),IF(OR(_xlpm.ActDate="",EOMONTH(H$5,0)&lt;_xlpm.StartDate,_xlpm.Remaining&lt;=0),0,MIN(_xlpm.MonthlyEnroll,_xlpm.Remaining))),0))</f>
        <v/>
      </c>
      <c r="I46" s="9" t="str">
        <f>IF($B46="","",IFERROR(_xlfn.LET(_xlpm.Site,$B46,_xlpm.ActDate,_xlfn.XLOOKUP(_xlpm.Site,tblSites[Include?],tblSites[Scenario?],""),_xlpm.ScreenDays,N('Study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46:INDEX($1:$1048576,ROW(),COLUMN()-1))),_xlpm.Remaining,MAX(0,_xlpm.MaxPts-_xlpm.PriorEnrolled),IF(OR(_xlpm.ActDate="",EOMONTH(I$5,0)&lt;_xlpm.StartDate,_xlpm.Remaining&lt;=0),0,MIN(_xlpm.MonthlyEnroll,_xlpm.Remaining))),0))</f>
        <v/>
      </c>
      <c r="J46" s="9" t="str">
        <f>IF($B46="","",IFERROR(_xlfn.LET(_xlpm.Site,$B46,_xlpm.ActDate,_xlfn.XLOOKUP(_xlpm.Site,tblSites[Scenario?],tblSites[Check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46:INDEX($1:$1048576,ROW(),COLUMN()-1))),_xlpm.Remaining,MAX(0,_xlpm.MaxPts-_xlpm.PriorEnrolled),IF(OR(_xlpm.ActDate="",EOMONTH(J$5,0)&lt;_xlpm.StartDate,_xlpm.Remaining&lt;=0),0,MIN(_xlpm.MonthlyEnroll,_xlpm.Remaining))),0))</f>
        <v/>
      </c>
      <c r="K46" s="9" t="str">
        <f>IF($B46="","",IFERROR(_xlfn.LET(_xlpm.Site,$B46,_xlpm.ActDate,_xlfn.XLOOKUP(_xlpm.Site,tblSites[Check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46:INDEX($1:$1048576,ROW(),COLUMN()-1))),_xlpm.Remaining,MAX(0,_xlpm.MaxPts-_xlpm.PriorEnrolled),IF(OR(_xlpm.ActDate="",EOMONTH(K$5,0)&lt;_xlpm.StartDate,_xlpm.Remaining&lt;=0),0,MIN(_xlpm.MonthlyEnroll,_xlpm.Remaining))),0))</f>
        <v/>
      </c>
      <c r="L46" s="9" t="str">
        <f>IF($B46="","",IFERROR(_xlfn.LET(_xlpm.Site,$B46,_xlpm.ActDate,_xlfn.XLOOKUP(_xlpm.Site,tblSites[Site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46:INDEX($1:$1048576,ROW(),COLUMN()-1))),_xlpm.Remaining,MAX(0,_xlpm.MaxPts-_xlpm.PriorEnrolled),IF(OR(_xlpm.ActDate="",EOMONTH(L$5,0)&lt;_xlpm.StartDate,_xlpm.Remaining&lt;=0),0,MIN(_xlpm.MonthlyEnroll,_xlpm.Remaining))),0))</f>
        <v/>
      </c>
      <c r="M46" s="9" t="str">
        <f>IF($B46="","",IFERROR(_xlfn.LET(_xlpm.Site,$B46,_xlpm.ActDate,_xlfn.XLOOKUP(_xlpm.Site,#REF!,tblSites[Country],""),_xlpm.ScreenDays,N('Study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46:INDEX($1:$1048576,ROW(),COLUMN()-1))),_xlpm.Remaining,MAX(0,_xlpm.MaxPts-_xlpm.PriorEnrolled),IF(OR(_xlpm.ActDate="",EOMONTH(M$5,0)&lt;_xlpm.StartDate,_xlpm.Remaining&lt;=0),0,MIN(_xlpm.MonthlyEnroll,_xlpm.Remaining))),0))</f>
        <v/>
      </c>
      <c r="N46" s="9" t="str">
        <f>IF($B46="","",IFERROR(_xlfn.LET(_xlpm.Site,$B46,_xlpm.ActDate,_xlfn.XLOOKUP(_xlpm.Site,tblSites[Country],tblSites[Site],""),_xlpm.ScreenDays,N('Study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46:INDEX($1:$1048576,ROW(),COLUMN()-1))),_xlpm.Remaining,MAX(0,_xlpm.MaxPts-_xlpm.PriorEnrolled),IF(OR(_xlpm.ActDate="",EOMONTH(N$5,0)&lt;_xlpm.StartDate,_xlpm.Remaining&lt;=0),0,MIN(_xlpm.MonthlyEnroll,_xlpm.Remaining))),0))</f>
        <v/>
      </c>
      <c r="O46" s="9" t="str">
        <f>IF($B46="","",IFERROR(_xlfn.LET(_xlpm.Site,$B46,_xlpm.ActDate,_xlfn.XLOOKUP(_xlpm.Site,tblSites[Site],tblSites[Site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46:INDEX($1:$1048576,ROW(),COLUMN()-1))),_xlpm.Remaining,MAX(0,_xlpm.MaxPts-_xlpm.PriorEnrolled),IF(OR(_xlpm.ActDate="",EOMONTH(O$5,0)&lt;_xlpm.StartDate,_xlpm.Remaining&lt;=0),0,MIN(_xlpm.MonthlyEnroll,_xlpm.Remaining))),0))</f>
        <v/>
      </c>
      <c r="P46" s="9" t="str">
        <f>IF($B46="","",IFERROR(_xlfn.LET(_xlpm.Site,$B46,_xlpm.ActDate,_xlfn.XLOOKUP(_xlpm.Site,tblSites[Site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46:INDEX($1:$1048576,ROW(),COLUMN()-1))),_xlpm.Remaining,MAX(0,_xlpm.MaxPts-_xlpm.PriorEnrolled),IF(OR(_xlpm.ActDate="",EOMONTH(P$5,0)&lt;_xlpm.StartDate,_xlpm.Remaining&lt;=0),0,MIN(_xlpm.MonthlyEnroll,_xlpm.Remaining))),0))</f>
        <v/>
      </c>
      <c r="Q46" s="9" t="str">
        <f>IF($B46="","",IFERROR(_xlfn.LET(_xlpm.Site,$B46,_xlpm.ActDate,_xlfn.XLOOKUP(_xlpm.Site,tblSites[Monthly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46:INDEX($1:$1048576,ROW(),COLUMN()-1))),_xlpm.Remaining,MAX(0,_xlpm.MaxPts-_xlpm.PriorEnrolled),IF(OR(_xlpm.ActDate="",EOMONTH(Q$5,0)&lt;_xlpm.StartDate,_xlpm.Remaining&lt;=0),0,MIN(_xlpm.MonthlyEnroll,_xlpm.Remaining))),0))</f>
        <v/>
      </c>
      <c r="R46" s="9" t="str">
        <f>IF($B46="","",IFERROR(_xlfn.LET(_xlpm.Site,$B46,_xlpm.ActDate,_xlfn.XLOOKUP(_xlpm.Site,tblSites[Site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46:INDEX($1:$1048576,ROW(),COLUMN()-1))),_xlpm.Remaining,MAX(0,_xlpm.MaxPts-_xlpm.PriorEnrolled),IF(OR(_xlpm.ActDate="",EOMONTH(R$5,0)&lt;_xlpm.StartDate,_xlpm.Remaining&lt;=0),0,MIN(_xlpm.MonthlyEnroll,_xlpm.Remaining))),0))</f>
        <v/>
      </c>
      <c r="S46" s="9" t="str">
        <f>IF($B46="","",IFERROR(_xlfn.LET(_xlpm.Site,$B46,_xlpm.ActDate,_xlfn.XLOOKUP(_xlpm.Site,tblSites[Max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46:INDEX($1:$1048576,ROW(),COLUMN()-1))),_xlpm.Remaining,MAX(0,_xlpm.MaxPts-_xlpm.PriorEnrolled),IF(OR(_xlpm.ActDate="",EOMONTH(S$5,0)&lt;_xlpm.StartDate,_xlpm.Remaining&lt;=0),0,MIN(_xlpm.MonthlyEnroll,_xlpm.Remaining))),0))</f>
        <v/>
      </c>
      <c r="T46" s="9" t="str">
        <f>IF($B46="","",IFERROR(_xlfn.LET(_xlpm.Site,$B46,_xlpm.ActDate,_xlfn.XLOOKUP(_xlpm.Site,tblSites[Current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46:INDEX($1:$1048576,ROW(),COLUMN()-1))),_xlpm.Remaining,MAX(0,_xlpm.MaxPts-_xlpm.PriorEnrolled),IF(OR(_xlpm.ActDate="",EOMONTH(T$5,0)&lt;_xlpm.StartDate,_xlpm.Remaining&lt;=0),0,MIN(_xlpm.MonthlyEnroll,_xlpm.Remaining))),0))</f>
        <v/>
      </c>
      <c r="U46" s="9" t="str">
        <f>IF($B46="","",IFERROR(_xlfn.LET(_xlpm.Site,$B46,_xlpm.ActDate,_xlfn.XLOOKUP(_xlpm.Site,tblSites[Include?],tblSites[Scenario?],""),_xlpm.ScreenDays,N('Study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46:INDEX($1:$1048576,ROW(),COLUMN()-1))),_xlpm.Remaining,MAX(0,_xlpm.MaxPts-_xlpm.PriorEnrolled),IF(OR(_xlpm.ActDate="",EOMONTH(U$5,0)&lt;_xlpm.StartDate,_xlpm.Remaining&lt;=0),0,MIN(_xlpm.MonthlyEnroll,_xlpm.Remaining))),0))</f>
        <v/>
      </c>
      <c r="V46" s="9" t="str">
        <f>IF($B46="","",IFERROR(_xlfn.LET(_xlpm.Site,$B46,_xlpm.ActDate,_xlfn.XLOOKUP(_xlpm.Site,tblSites[Scenario?],tblSites[Check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46:INDEX($1:$1048576,ROW(),COLUMN()-1))),_xlpm.Remaining,MAX(0,_xlpm.MaxPts-_xlpm.PriorEnrolled),IF(OR(_xlpm.ActDate="",EOMONTH(V$5,0)&lt;_xlpm.StartDate,_xlpm.Remaining&lt;=0),0,MIN(_xlpm.MonthlyEnroll,_xlpm.Remaining))),0))</f>
        <v/>
      </c>
      <c r="W46" s="9" t="str">
        <f>IF($B46="","",IFERROR(_xlfn.LET(_xlpm.Site,$B46,_xlpm.ActDate,_xlfn.XLOOKUP(_xlpm.Site,tblSites[Check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46:INDEX($1:$1048576,ROW(),COLUMN()-1))),_xlpm.Remaining,MAX(0,_xlpm.MaxPts-_xlpm.PriorEnrolled),IF(OR(_xlpm.ActDate="",EOMONTH(W$5,0)&lt;_xlpm.StartDate,_xlpm.Remaining&lt;=0),0,MIN(_xlpm.MonthlyEnroll,_xlpm.Remaining))),0))</f>
        <v/>
      </c>
      <c r="X46" s="9" t="str">
        <f>IF($B46="","",IFERROR(_xlfn.LET(_xlpm.Site,$B46,_xlpm.ActDate,_xlfn.XLOOKUP(_xlpm.Site,tblSites[Site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46:INDEX($1:$1048576,ROW(),COLUMN()-1))),_xlpm.Remaining,MAX(0,_xlpm.MaxPts-_xlpm.PriorEnrolled),IF(OR(_xlpm.ActDate="",EOMONTH(X$5,0)&lt;_xlpm.StartDate,_xlpm.Remaining&lt;=0),0,MIN(_xlpm.MonthlyEnroll,_xlpm.Remaining))),0))</f>
        <v/>
      </c>
      <c r="Y46" s="9" t="str">
        <f>IF($B46="","",IFERROR(_xlfn.LET(_xlpm.Site,$B46,_xlpm.ActDate,_xlfn.XLOOKUP(_xlpm.Site,#REF!,tblSites[Country],""),_xlpm.ScreenDays,N('Study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46:INDEX($1:$1048576,ROW(),COLUMN()-1))),_xlpm.Remaining,MAX(0,_xlpm.MaxPts-_xlpm.PriorEnrolled),IF(OR(_xlpm.ActDate="",EOMONTH(Y$5,0)&lt;_xlpm.StartDate,_xlpm.Remaining&lt;=0),0,MIN(_xlpm.MonthlyEnroll,_xlpm.Remaining))),0))</f>
        <v/>
      </c>
      <c r="Z46" s="9" t="str">
        <f>IF($B46="","",IFERROR(_xlfn.LET(_xlpm.Site,$B46,_xlpm.ActDate,_xlfn.XLOOKUP(_xlpm.Site,tblSites[Country],tblSites[Site],""),_xlpm.ScreenDays,N('Study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46:INDEX($1:$1048576,ROW(),COLUMN()-1))),_xlpm.Remaining,MAX(0,_xlpm.MaxPts-_xlpm.PriorEnrolled),IF(OR(_xlpm.ActDate="",EOMONTH(Z$5,0)&lt;_xlpm.StartDate,_xlpm.Remaining&lt;=0),0,MIN(_xlpm.MonthlyEnroll,_xlpm.Remaining))),0))</f>
        <v/>
      </c>
      <c r="AA46" s="9" t="str">
        <f>IF($B46="","",IFERROR(_xlfn.LET(_xlpm.Site,$B46,_xlpm.ActDate,_xlfn.XLOOKUP(_xlpm.Site,tblSites[Site],tblSites[Site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46:INDEX($1:$1048576,ROW(),COLUMN()-1))),_xlpm.Remaining,MAX(0,_xlpm.MaxPts-_xlpm.PriorEnrolled),IF(OR(_xlpm.ActDate="",EOMONTH(AA$5,0)&lt;_xlpm.StartDate,_xlpm.Remaining&lt;=0),0,MIN(_xlpm.MonthlyEnroll,_xlpm.Remaining))),0))</f>
        <v/>
      </c>
      <c r="AB46" s="9" t="str">
        <f>IF($B46="","",IFERROR(_xlfn.LET(_xlpm.Site,$B46,_xlpm.ActDate,_xlfn.XLOOKUP(_xlpm.Site,tblSites[Site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46:INDEX($1:$1048576,ROW(),COLUMN()-1))),_xlpm.Remaining,MAX(0,_xlpm.MaxPts-_xlpm.PriorEnrolled),IF(OR(_xlpm.ActDate="",EOMONTH(AB$5,0)&lt;_xlpm.StartDate,_xlpm.Remaining&lt;=0),0,MIN(_xlpm.MonthlyEnroll,_xlpm.Remaining))),0))</f>
        <v/>
      </c>
      <c r="AC46" s="9" t="str">
        <f>IF($B46="","",IFERROR(_xlfn.LET(_xlpm.Site,$B46,_xlpm.ActDate,_xlfn.XLOOKUP(_xlpm.Site,tblSites[Monthly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46:INDEX($1:$1048576,ROW(),COLUMN()-1))),_xlpm.Remaining,MAX(0,_xlpm.MaxPts-_xlpm.PriorEnrolled),IF(OR(_xlpm.ActDate="",EOMONTH(AC$5,0)&lt;_xlpm.StartDate,_xlpm.Remaining&lt;=0),0,MIN(_xlpm.MonthlyEnroll,_xlpm.Remaining))),0))</f>
        <v/>
      </c>
    </row>
    <row r="47" spans="3:29" x14ac:dyDescent="0.25">
      <c r="C47" s="9" cm="1">
        <f t="array" aca="1" ref="C47" ca="1">IF(C$5&lt;=TODAY(),0,IF($B47="","",IFERROR(_xlfn.LET(_xlpm.Site,$B47,_xlpm.SiteCol,INDIRECT("tblSites[Site]"),_xlpm.ActCol,INDIRECT("tblSites[Site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7" s="9" t="str">
        <f>IF($B47="","",IFERROR(_xlfn.LET(_xlpm.Site,$B47,_xlpm.ActDate,_xlfn.XLOOKUP(_xlpm.Site,tblSites[Site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47:INDEX($1:$1048576,ROW(),COLUMN()-1))),_xlpm.Remaining,MAX(0,_xlpm.MaxPts-_xlpm.PriorEnrolled),IF(OR(_xlpm.ActDate="",EOMONTH(D$5,0)&lt;_xlpm.StartDate,_xlpm.Remaining&lt;=0),0,MIN(_xlpm.MonthlyEnroll,_xlpm.Remaining))),0))</f>
        <v/>
      </c>
      <c r="E47" s="9" t="str">
        <f>IF($B47="","",IFERROR(_xlfn.LET(_xlpm.Site,$B47,_xlpm.ActDate,_xlfn.XLOOKUP(_xlpm.Site,tblSites[Monthly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47:INDEX($1:$1048576,ROW(),COLUMN()-1))),_xlpm.Remaining,MAX(0,_xlpm.MaxPts-_xlpm.PriorEnrolled),IF(OR(_xlpm.ActDate="",EOMONTH(E$5,0)&lt;_xlpm.StartDate,_xlpm.Remaining&lt;=0),0,MIN(_xlpm.MonthlyEnroll,_xlpm.Remaining))),0))</f>
        <v/>
      </c>
      <c r="F47" s="9" t="str">
        <f>IF($B47="","",IFERROR(_xlfn.LET(_xlpm.Site,$B47,_xlpm.ActDate,_xlfn.XLOOKUP(_xlpm.Site,tblSites[Site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47:INDEX($1:$1048576,ROW(),COLUMN()-1))),_xlpm.Remaining,MAX(0,_xlpm.MaxPts-_xlpm.PriorEnrolled),IF(OR(_xlpm.ActDate="",EOMONTH(F$5,0)&lt;_xlpm.StartDate,_xlpm.Remaining&lt;=0),0,MIN(_xlpm.MonthlyEnroll,_xlpm.Remaining))),0))</f>
        <v/>
      </c>
      <c r="G47" s="9" t="str">
        <f>IF($B47="","",IFERROR(_xlfn.LET(_xlpm.Site,$B47,_xlpm.ActDate,_xlfn.XLOOKUP(_xlpm.Site,tblSites[Max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47:INDEX($1:$1048576,ROW(),COLUMN()-1))),_xlpm.Remaining,MAX(0,_xlpm.MaxPts-_xlpm.PriorEnrolled),IF(OR(_xlpm.ActDate="",EOMONTH(G$5,0)&lt;_xlpm.StartDate,_xlpm.Remaining&lt;=0),0,MIN(_xlpm.MonthlyEnroll,_xlpm.Remaining))),0))</f>
        <v/>
      </c>
      <c r="H47" s="9" t="str">
        <f>IF($B47="","",IFERROR(_xlfn.LET(_xlpm.Site,$B47,_xlpm.ActDate,_xlfn.XLOOKUP(_xlpm.Site,tblSites[Current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47:INDEX($1:$1048576,ROW(),COLUMN()-1))),_xlpm.Remaining,MAX(0,_xlpm.MaxPts-_xlpm.PriorEnrolled),IF(OR(_xlpm.ActDate="",EOMONTH(H$5,0)&lt;_xlpm.StartDate,_xlpm.Remaining&lt;=0),0,MIN(_xlpm.MonthlyEnroll,_xlpm.Remaining))),0))</f>
        <v/>
      </c>
      <c r="I47" s="9" t="str">
        <f>IF($B47="","",IFERROR(_xlfn.LET(_xlpm.Site,$B47,_xlpm.ActDate,_xlfn.XLOOKUP(_xlpm.Site,tblSites[Include?],tblSites[Scenario?],""),_xlpm.ScreenDays,N('Study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47:INDEX($1:$1048576,ROW(),COLUMN()-1))),_xlpm.Remaining,MAX(0,_xlpm.MaxPts-_xlpm.PriorEnrolled),IF(OR(_xlpm.ActDate="",EOMONTH(I$5,0)&lt;_xlpm.StartDate,_xlpm.Remaining&lt;=0),0,MIN(_xlpm.MonthlyEnroll,_xlpm.Remaining))),0))</f>
        <v/>
      </c>
      <c r="J47" s="9" t="str">
        <f>IF($B47="","",IFERROR(_xlfn.LET(_xlpm.Site,$B47,_xlpm.ActDate,_xlfn.XLOOKUP(_xlpm.Site,tblSites[Scenario?],tblSites[Check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47:INDEX($1:$1048576,ROW(),COLUMN()-1))),_xlpm.Remaining,MAX(0,_xlpm.MaxPts-_xlpm.PriorEnrolled),IF(OR(_xlpm.ActDate="",EOMONTH(J$5,0)&lt;_xlpm.StartDate,_xlpm.Remaining&lt;=0),0,MIN(_xlpm.MonthlyEnroll,_xlpm.Remaining))),0))</f>
        <v/>
      </c>
      <c r="K47" s="9" t="str">
        <f>IF($B47="","",IFERROR(_xlfn.LET(_xlpm.Site,$B47,_xlpm.ActDate,_xlfn.XLOOKUP(_xlpm.Site,tblSites[Check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47:INDEX($1:$1048576,ROW(),COLUMN()-1))),_xlpm.Remaining,MAX(0,_xlpm.MaxPts-_xlpm.PriorEnrolled),IF(OR(_xlpm.ActDate="",EOMONTH(K$5,0)&lt;_xlpm.StartDate,_xlpm.Remaining&lt;=0),0,MIN(_xlpm.MonthlyEnroll,_xlpm.Remaining))),0))</f>
        <v/>
      </c>
      <c r="L47" s="9" t="str">
        <f>IF($B47="","",IFERROR(_xlfn.LET(_xlpm.Site,$B47,_xlpm.ActDate,_xlfn.XLOOKUP(_xlpm.Site,tblSites[Site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47:INDEX($1:$1048576,ROW(),COLUMN()-1))),_xlpm.Remaining,MAX(0,_xlpm.MaxPts-_xlpm.PriorEnrolled),IF(OR(_xlpm.ActDate="",EOMONTH(L$5,0)&lt;_xlpm.StartDate,_xlpm.Remaining&lt;=0),0,MIN(_xlpm.MonthlyEnroll,_xlpm.Remaining))),0))</f>
        <v/>
      </c>
      <c r="M47" s="9" t="str">
        <f>IF($B47="","",IFERROR(_xlfn.LET(_xlpm.Site,$B47,_xlpm.ActDate,_xlfn.XLOOKUP(_xlpm.Site,#REF!,tblSites[Country],""),_xlpm.ScreenDays,N('Study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47:INDEX($1:$1048576,ROW(),COLUMN()-1))),_xlpm.Remaining,MAX(0,_xlpm.MaxPts-_xlpm.PriorEnrolled),IF(OR(_xlpm.ActDate="",EOMONTH(M$5,0)&lt;_xlpm.StartDate,_xlpm.Remaining&lt;=0),0,MIN(_xlpm.MonthlyEnroll,_xlpm.Remaining))),0))</f>
        <v/>
      </c>
      <c r="N47" s="9" t="str">
        <f>IF($B47="","",IFERROR(_xlfn.LET(_xlpm.Site,$B47,_xlpm.ActDate,_xlfn.XLOOKUP(_xlpm.Site,tblSites[Country],tblSites[Site],""),_xlpm.ScreenDays,N('Study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47:INDEX($1:$1048576,ROW(),COLUMN()-1))),_xlpm.Remaining,MAX(0,_xlpm.MaxPts-_xlpm.PriorEnrolled),IF(OR(_xlpm.ActDate="",EOMONTH(N$5,0)&lt;_xlpm.StartDate,_xlpm.Remaining&lt;=0),0,MIN(_xlpm.MonthlyEnroll,_xlpm.Remaining))),0))</f>
        <v/>
      </c>
      <c r="O47" s="9" t="str">
        <f>IF($B47="","",IFERROR(_xlfn.LET(_xlpm.Site,$B47,_xlpm.ActDate,_xlfn.XLOOKUP(_xlpm.Site,tblSites[Site],tblSites[Site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47:INDEX($1:$1048576,ROW(),COLUMN()-1))),_xlpm.Remaining,MAX(0,_xlpm.MaxPts-_xlpm.PriorEnrolled),IF(OR(_xlpm.ActDate="",EOMONTH(O$5,0)&lt;_xlpm.StartDate,_xlpm.Remaining&lt;=0),0,MIN(_xlpm.MonthlyEnroll,_xlpm.Remaining))),0))</f>
        <v/>
      </c>
      <c r="P47" s="9" t="str">
        <f>IF($B47="","",IFERROR(_xlfn.LET(_xlpm.Site,$B47,_xlpm.ActDate,_xlfn.XLOOKUP(_xlpm.Site,tblSites[Site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47:INDEX($1:$1048576,ROW(),COLUMN()-1))),_xlpm.Remaining,MAX(0,_xlpm.MaxPts-_xlpm.PriorEnrolled),IF(OR(_xlpm.ActDate="",EOMONTH(P$5,0)&lt;_xlpm.StartDate,_xlpm.Remaining&lt;=0),0,MIN(_xlpm.MonthlyEnroll,_xlpm.Remaining))),0))</f>
        <v/>
      </c>
      <c r="Q47" s="9" t="str">
        <f>IF($B47="","",IFERROR(_xlfn.LET(_xlpm.Site,$B47,_xlpm.ActDate,_xlfn.XLOOKUP(_xlpm.Site,tblSites[Monthly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47:INDEX($1:$1048576,ROW(),COLUMN()-1))),_xlpm.Remaining,MAX(0,_xlpm.MaxPts-_xlpm.PriorEnrolled),IF(OR(_xlpm.ActDate="",EOMONTH(Q$5,0)&lt;_xlpm.StartDate,_xlpm.Remaining&lt;=0),0,MIN(_xlpm.MonthlyEnroll,_xlpm.Remaining))),0))</f>
        <v/>
      </c>
      <c r="R47" s="9" t="str">
        <f>IF($B47="","",IFERROR(_xlfn.LET(_xlpm.Site,$B47,_xlpm.ActDate,_xlfn.XLOOKUP(_xlpm.Site,tblSites[Site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47:INDEX($1:$1048576,ROW(),COLUMN()-1))),_xlpm.Remaining,MAX(0,_xlpm.MaxPts-_xlpm.PriorEnrolled),IF(OR(_xlpm.ActDate="",EOMONTH(R$5,0)&lt;_xlpm.StartDate,_xlpm.Remaining&lt;=0),0,MIN(_xlpm.MonthlyEnroll,_xlpm.Remaining))),0))</f>
        <v/>
      </c>
      <c r="S47" s="9" t="str">
        <f>IF($B47="","",IFERROR(_xlfn.LET(_xlpm.Site,$B47,_xlpm.ActDate,_xlfn.XLOOKUP(_xlpm.Site,tblSites[Max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47:INDEX($1:$1048576,ROW(),COLUMN()-1))),_xlpm.Remaining,MAX(0,_xlpm.MaxPts-_xlpm.PriorEnrolled),IF(OR(_xlpm.ActDate="",EOMONTH(S$5,0)&lt;_xlpm.StartDate,_xlpm.Remaining&lt;=0),0,MIN(_xlpm.MonthlyEnroll,_xlpm.Remaining))),0))</f>
        <v/>
      </c>
      <c r="T47" s="9" t="str">
        <f>IF($B47="","",IFERROR(_xlfn.LET(_xlpm.Site,$B47,_xlpm.ActDate,_xlfn.XLOOKUP(_xlpm.Site,tblSites[Current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47:INDEX($1:$1048576,ROW(),COLUMN()-1))),_xlpm.Remaining,MAX(0,_xlpm.MaxPts-_xlpm.PriorEnrolled),IF(OR(_xlpm.ActDate="",EOMONTH(T$5,0)&lt;_xlpm.StartDate,_xlpm.Remaining&lt;=0),0,MIN(_xlpm.MonthlyEnroll,_xlpm.Remaining))),0))</f>
        <v/>
      </c>
      <c r="U47" s="9" t="str">
        <f>IF($B47="","",IFERROR(_xlfn.LET(_xlpm.Site,$B47,_xlpm.ActDate,_xlfn.XLOOKUP(_xlpm.Site,tblSites[Include?],tblSites[Scenario?],""),_xlpm.ScreenDays,N('Study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47:INDEX($1:$1048576,ROW(),COLUMN()-1))),_xlpm.Remaining,MAX(0,_xlpm.MaxPts-_xlpm.PriorEnrolled),IF(OR(_xlpm.ActDate="",EOMONTH(U$5,0)&lt;_xlpm.StartDate,_xlpm.Remaining&lt;=0),0,MIN(_xlpm.MonthlyEnroll,_xlpm.Remaining))),0))</f>
        <v/>
      </c>
      <c r="V47" s="9" t="str">
        <f>IF($B47="","",IFERROR(_xlfn.LET(_xlpm.Site,$B47,_xlpm.ActDate,_xlfn.XLOOKUP(_xlpm.Site,tblSites[Scenario?],tblSites[Check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47:INDEX($1:$1048576,ROW(),COLUMN()-1))),_xlpm.Remaining,MAX(0,_xlpm.MaxPts-_xlpm.PriorEnrolled),IF(OR(_xlpm.ActDate="",EOMONTH(V$5,0)&lt;_xlpm.StartDate,_xlpm.Remaining&lt;=0),0,MIN(_xlpm.MonthlyEnroll,_xlpm.Remaining))),0))</f>
        <v/>
      </c>
      <c r="W47" s="9" t="str">
        <f>IF($B47="","",IFERROR(_xlfn.LET(_xlpm.Site,$B47,_xlpm.ActDate,_xlfn.XLOOKUP(_xlpm.Site,tblSites[Check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47:INDEX($1:$1048576,ROW(),COLUMN()-1))),_xlpm.Remaining,MAX(0,_xlpm.MaxPts-_xlpm.PriorEnrolled),IF(OR(_xlpm.ActDate="",EOMONTH(W$5,0)&lt;_xlpm.StartDate,_xlpm.Remaining&lt;=0),0,MIN(_xlpm.MonthlyEnroll,_xlpm.Remaining))),0))</f>
        <v/>
      </c>
      <c r="X47" s="9" t="str">
        <f>IF($B47="","",IFERROR(_xlfn.LET(_xlpm.Site,$B47,_xlpm.ActDate,_xlfn.XLOOKUP(_xlpm.Site,tblSites[Site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47:INDEX($1:$1048576,ROW(),COLUMN()-1))),_xlpm.Remaining,MAX(0,_xlpm.MaxPts-_xlpm.PriorEnrolled),IF(OR(_xlpm.ActDate="",EOMONTH(X$5,0)&lt;_xlpm.StartDate,_xlpm.Remaining&lt;=0),0,MIN(_xlpm.MonthlyEnroll,_xlpm.Remaining))),0))</f>
        <v/>
      </c>
      <c r="Y47" s="9" t="str">
        <f>IF($B47="","",IFERROR(_xlfn.LET(_xlpm.Site,$B47,_xlpm.ActDate,_xlfn.XLOOKUP(_xlpm.Site,#REF!,tblSites[Country],""),_xlpm.ScreenDays,N('Study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47:INDEX($1:$1048576,ROW(),COLUMN()-1))),_xlpm.Remaining,MAX(0,_xlpm.MaxPts-_xlpm.PriorEnrolled),IF(OR(_xlpm.ActDate="",EOMONTH(Y$5,0)&lt;_xlpm.StartDate,_xlpm.Remaining&lt;=0),0,MIN(_xlpm.MonthlyEnroll,_xlpm.Remaining))),0))</f>
        <v/>
      </c>
      <c r="Z47" s="9" t="str">
        <f>IF($B47="","",IFERROR(_xlfn.LET(_xlpm.Site,$B47,_xlpm.ActDate,_xlfn.XLOOKUP(_xlpm.Site,tblSites[Country],tblSites[Site],""),_xlpm.ScreenDays,N('Study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47:INDEX($1:$1048576,ROW(),COLUMN()-1))),_xlpm.Remaining,MAX(0,_xlpm.MaxPts-_xlpm.PriorEnrolled),IF(OR(_xlpm.ActDate="",EOMONTH(Z$5,0)&lt;_xlpm.StartDate,_xlpm.Remaining&lt;=0),0,MIN(_xlpm.MonthlyEnroll,_xlpm.Remaining))),0))</f>
        <v/>
      </c>
      <c r="AA47" s="9" t="str">
        <f>IF($B47="","",IFERROR(_xlfn.LET(_xlpm.Site,$B47,_xlpm.ActDate,_xlfn.XLOOKUP(_xlpm.Site,tblSites[Site],tblSites[Site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47:INDEX($1:$1048576,ROW(),COLUMN()-1))),_xlpm.Remaining,MAX(0,_xlpm.MaxPts-_xlpm.PriorEnrolled),IF(OR(_xlpm.ActDate="",EOMONTH(AA$5,0)&lt;_xlpm.StartDate,_xlpm.Remaining&lt;=0),0,MIN(_xlpm.MonthlyEnroll,_xlpm.Remaining))),0))</f>
        <v/>
      </c>
      <c r="AB47" s="9" t="str">
        <f>IF($B47="","",IFERROR(_xlfn.LET(_xlpm.Site,$B47,_xlpm.ActDate,_xlfn.XLOOKUP(_xlpm.Site,tblSites[Site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47:INDEX($1:$1048576,ROW(),COLUMN()-1))),_xlpm.Remaining,MAX(0,_xlpm.MaxPts-_xlpm.PriorEnrolled),IF(OR(_xlpm.ActDate="",EOMONTH(AB$5,0)&lt;_xlpm.StartDate,_xlpm.Remaining&lt;=0),0,MIN(_xlpm.MonthlyEnroll,_xlpm.Remaining))),0))</f>
        <v/>
      </c>
      <c r="AC47" s="9" t="str">
        <f>IF($B47="","",IFERROR(_xlfn.LET(_xlpm.Site,$B47,_xlpm.ActDate,_xlfn.XLOOKUP(_xlpm.Site,tblSites[Monthly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47:INDEX($1:$1048576,ROW(),COLUMN()-1))),_xlpm.Remaining,MAX(0,_xlpm.MaxPts-_xlpm.PriorEnrolled),IF(OR(_xlpm.ActDate="",EOMONTH(AC$5,0)&lt;_xlpm.StartDate,_xlpm.Remaining&lt;=0),0,MIN(_xlpm.MonthlyEnroll,_xlpm.Remaining))),0))</f>
        <v/>
      </c>
    </row>
    <row r="48" spans="3:29" x14ac:dyDescent="0.25">
      <c r="C48" s="9" cm="1">
        <f t="array" aca="1" ref="C48" ca="1">IF(C$5&lt;=TODAY(),0,IF($B48="","",IFERROR(_xlfn.LET(_xlpm.Site,$B48,_xlpm.SiteCol,INDIRECT("tblSites[Site]"),_xlpm.ActCol,INDIRECT("tblSites[Site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8" s="9" t="str">
        <f>IF($B48="","",IFERROR(_xlfn.LET(_xlpm.Site,$B48,_xlpm.ActDate,_xlfn.XLOOKUP(_xlpm.Site,tblSites[Site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48:INDEX($1:$1048576,ROW(),COLUMN()-1))),_xlpm.Remaining,MAX(0,_xlpm.MaxPts-_xlpm.PriorEnrolled),IF(OR(_xlpm.ActDate="",EOMONTH(D$5,0)&lt;_xlpm.StartDate,_xlpm.Remaining&lt;=0),0,MIN(_xlpm.MonthlyEnroll,_xlpm.Remaining))),0))</f>
        <v/>
      </c>
      <c r="E48" s="9" t="str">
        <f>IF($B48="","",IFERROR(_xlfn.LET(_xlpm.Site,$B48,_xlpm.ActDate,_xlfn.XLOOKUP(_xlpm.Site,tblSites[Monthly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48:INDEX($1:$1048576,ROW(),COLUMN()-1))),_xlpm.Remaining,MAX(0,_xlpm.MaxPts-_xlpm.PriorEnrolled),IF(OR(_xlpm.ActDate="",EOMONTH(E$5,0)&lt;_xlpm.StartDate,_xlpm.Remaining&lt;=0),0,MIN(_xlpm.MonthlyEnroll,_xlpm.Remaining))),0))</f>
        <v/>
      </c>
      <c r="F48" s="9" t="str">
        <f>IF($B48="","",IFERROR(_xlfn.LET(_xlpm.Site,$B48,_xlpm.ActDate,_xlfn.XLOOKUP(_xlpm.Site,tblSites[Site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48:INDEX($1:$1048576,ROW(),COLUMN()-1))),_xlpm.Remaining,MAX(0,_xlpm.MaxPts-_xlpm.PriorEnrolled),IF(OR(_xlpm.ActDate="",EOMONTH(F$5,0)&lt;_xlpm.StartDate,_xlpm.Remaining&lt;=0),0,MIN(_xlpm.MonthlyEnroll,_xlpm.Remaining))),0))</f>
        <v/>
      </c>
      <c r="G48" s="9" t="str">
        <f>IF($B48="","",IFERROR(_xlfn.LET(_xlpm.Site,$B48,_xlpm.ActDate,_xlfn.XLOOKUP(_xlpm.Site,tblSites[Max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48:INDEX($1:$1048576,ROW(),COLUMN()-1))),_xlpm.Remaining,MAX(0,_xlpm.MaxPts-_xlpm.PriorEnrolled),IF(OR(_xlpm.ActDate="",EOMONTH(G$5,0)&lt;_xlpm.StartDate,_xlpm.Remaining&lt;=0),0,MIN(_xlpm.MonthlyEnroll,_xlpm.Remaining))),0))</f>
        <v/>
      </c>
      <c r="H48" s="9" t="str">
        <f>IF($B48="","",IFERROR(_xlfn.LET(_xlpm.Site,$B48,_xlpm.ActDate,_xlfn.XLOOKUP(_xlpm.Site,tblSites[Current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48:INDEX($1:$1048576,ROW(),COLUMN()-1))),_xlpm.Remaining,MAX(0,_xlpm.MaxPts-_xlpm.PriorEnrolled),IF(OR(_xlpm.ActDate="",EOMONTH(H$5,0)&lt;_xlpm.StartDate,_xlpm.Remaining&lt;=0),0,MIN(_xlpm.MonthlyEnroll,_xlpm.Remaining))),0))</f>
        <v/>
      </c>
      <c r="I48" s="9" t="str">
        <f>IF($B48="","",IFERROR(_xlfn.LET(_xlpm.Site,$B48,_xlpm.ActDate,_xlfn.XLOOKUP(_xlpm.Site,tblSites[Include?],tblSites[Scenario?],""),_xlpm.ScreenDays,N('Study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48:INDEX($1:$1048576,ROW(),COLUMN()-1))),_xlpm.Remaining,MAX(0,_xlpm.MaxPts-_xlpm.PriorEnrolled),IF(OR(_xlpm.ActDate="",EOMONTH(I$5,0)&lt;_xlpm.StartDate,_xlpm.Remaining&lt;=0),0,MIN(_xlpm.MonthlyEnroll,_xlpm.Remaining))),0))</f>
        <v/>
      </c>
      <c r="J48" s="9" t="str">
        <f>IF($B48="","",IFERROR(_xlfn.LET(_xlpm.Site,$B48,_xlpm.ActDate,_xlfn.XLOOKUP(_xlpm.Site,tblSites[Scenario?],tblSites[Check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48:INDEX($1:$1048576,ROW(),COLUMN()-1))),_xlpm.Remaining,MAX(0,_xlpm.MaxPts-_xlpm.PriorEnrolled),IF(OR(_xlpm.ActDate="",EOMONTH(J$5,0)&lt;_xlpm.StartDate,_xlpm.Remaining&lt;=0),0,MIN(_xlpm.MonthlyEnroll,_xlpm.Remaining))),0))</f>
        <v/>
      </c>
      <c r="K48" s="9" t="str">
        <f>IF($B48="","",IFERROR(_xlfn.LET(_xlpm.Site,$B48,_xlpm.ActDate,_xlfn.XLOOKUP(_xlpm.Site,tblSites[Check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48:INDEX($1:$1048576,ROW(),COLUMN()-1))),_xlpm.Remaining,MAX(0,_xlpm.MaxPts-_xlpm.PriorEnrolled),IF(OR(_xlpm.ActDate="",EOMONTH(K$5,0)&lt;_xlpm.StartDate,_xlpm.Remaining&lt;=0),0,MIN(_xlpm.MonthlyEnroll,_xlpm.Remaining))),0))</f>
        <v/>
      </c>
      <c r="L48" s="9" t="str">
        <f>IF($B48="","",IFERROR(_xlfn.LET(_xlpm.Site,$B48,_xlpm.ActDate,_xlfn.XLOOKUP(_xlpm.Site,tblSites[Site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48:INDEX($1:$1048576,ROW(),COLUMN()-1))),_xlpm.Remaining,MAX(0,_xlpm.MaxPts-_xlpm.PriorEnrolled),IF(OR(_xlpm.ActDate="",EOMONTH(L$5,0)&lt;_xlpm.StartDate,_xlpm.Remaining&lt;=0),0,MIN(_xlpm.MonthlyEnroll,_xlpm.Remaining))),0))</f>
        <v/>
      </c>
      <c r="M48" s="9" t="str">
        <f>IF($B48="","",IFERROR(_xlfn.LET(_xlpm.Site,$B48,_xlpm.ActDate,_xlfn.XLOOKUP(_xlpm.Site,#REF!,tblSites[Country],""),_xlpm.ScreenDays,N('Study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48:INDEX($1:$1048576,ROW(),COLUMN()-1))),_xlpm.Remaining,MAX(0,_xlpm.MaxPts-_xlpm.PriorEnrolled),IF(OR(_xlpm.ActDate="",EOMONTH(M$5,0)&lt;_xlpm.StartDate,_xlpm.Remaining&lt;=0),0,MIN(_xlpm.MonthlyEnroll,_xlpm.Remaining))),0))</f>
        <v/>
      </c>
      <c r="N48" s="9" t="str">
        <f>IF($B48="","",IFERROR(_xlfn.LET(_xlpm.Site,$B48,_xlpm.ActDate,_xlfn.XLOOKUP(_xlpm.Site,tblSites[Country],tblSites[Site],""),_xlpm.ScreenDays,N('Study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48:INDEX($1:$1048576,ROW(),COLUMN()-1))),_xlpm.Remaining,MAX(0,_xlpm.MaxPts-_xlpm.PriorEnrolled),IF(OR(_xlpm.ActDate="",EOMONTH(N$5,0)&lt;_xlpm.StartDate,_xlpm.Remaining&lt;=0),0,MIN(_xlpm.MonthlyEnroll,_xlpm.Remaining))),0))</f>
        <v/>
      </c>
      <c r="O48" s="9" t="str">
        <f>IF($B48="","",IFERROR(_xlfn.LET(_xlpm.Site,$B48,_xlpm.ActDate,_xlfn.XLOOKUP(_xlpm.Site,tblSites[Site],tblSites[Site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48:INDEX($1:$1048576,ROW(),COLUMN()-1))),_xlpm.Remaining,MAX(0,_xlpm.MaxPts-_xlpm.PriorEnrolled),IF(OR(_xlpm.ActDate="",EOMONTH(O$5,0)&lt;_xlpm.StartDate,_xlpm.Remaining&lt;=0),0,MIN(_xlpm.MonthlyEnroll,_xlpm.Remaining))),0))</f>
        <v/>
      </c>
      <c r="P48" s="9" t="str">
        <f>IF($B48="","",IFERROR(_xlfn.LET(_xlpm.Site,$B48,_xlpm.ActDate,_xlfn.XLOOKUP(_xlpm.Site,tblSites[Site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48:INDEX($1:$1048576,ROW(),COLUMN()-1))),_xlpm.Remaining,MAX(0,_xlpm.MaxPts-_xlpm.PriorEnrolled),IF(OR(_xlpm.ActDate="",EOMONTH(P$5,0)&lt;_xlpm.StartDate,_xlpm.Remaining&lt;=0),0,MIN(_xlpm.MonthlyEnroll,_xlpm.Remaining))),0))</f>
        <v/>
      </c>
      <c r="Q48" s="9" t="str">
        <f>IF($B48="","",IFERROR(_xlfn.LET(_xlpm.Site,$B48,_xlpm.ActDate,_xlfn.XLOOKUP(_xlpm.Site,tblSites[Monthly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48:INDEX($1:$1048576,ROW(),COLUMN()-1))),_xlpm.Remaining,MAX(0,_xlpm.MaxPts-_xlpm.PriorEnrolled),IF(OR(_xlpm.ActDate="",EOMONTH(Q$5,0)&lt;_xlpm.StartDate,_xlpm.Remaining&lt;=0),0,MIN(_xlpm.MonthlyEnroll,_xlpm.Remaining))),0))</f>
        <v/>
      </c>
      <c r="R48" s="9" t="str">
        <f>IF($B48="","",IFERROR(_xlfn.LET(_xlpm.Site,$B48,_xlpm.ActDate,_xlfn.XLOOKUP(_xlpm.Site,tblSites[Site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48:INDEX($1:$1048576,ROW(),COLUMN()-1))),_xlpm.Remaining,MAX(0,_xlpm.MaxPts-_xlpm.PriorEnrolled),IF(OR(_xlpm.ActDate="",EOMONTH(R$5,0)&lt;_xlpm.StartDate,_xlpm.Remaining&lt;=0),0,MIN(_xlpm.MonthlyEnroll,_xlpm.Remaining))),0))</f>
        <v/>
      </c>
      <c r="S48" s="9" t="str">
        <f>IF($B48="","",IFERROR(_xlfn.LET(_xlpm.Site,$B48,_xlpm.ActDate,_xlfn.XLOOKUP(_xlpm.Site,tblSites[Max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48:INDEX($1:$1048576,ROW(),COLUMN()-1))),_xlpm.Remaining,MAX(0,_xlpm.MaxPts-_xlpm.PriorEnrolled),IF(OR(_xlpm.ActDate="",EOMONTH(S$5,0)&lt;_xlpm.StartDate,_xlpm.Remaining&lt;=0),0,MIN(_xlpm.MonthlyEnroll,_xlpm.Remaining))),0))</f>
        <v/>
      </c>
      <c r="T48" s="9" t="str">
        <f>IF($B48="","",IFERROR(_xlfn.LET(_xlpm.Site,$B48,_xlpm.ActDate,_xlfn.XLOOKUP(_xlpm.Site,tblSites[Current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48:INDEX($1:$1048576,ROW(),COLUMN()-1))),_xlpm.Remaining,MAX(0,_xlpm.MaxPts-_xlpm.PriorEnrolled),IF(OR(_xlpm.ActDate="",EOMONTH(T$5,0)&lt;_xlpm.StartDate,_xlpm.Remaining&lt;=0),0,MIN(_xlpm.MonthlyEnroll,_xlpm.Remaining))),0))</f>
        <v/>
      </c>
      <c r="U48" s="9" t="str">
        <f>IF($B48="","",IFERROR(_xlfn.LET(_xlpm.Site,$B48,_xlpm.ActDate,_xlfn.XLOOKUP(_xlpm.Site,tblSites[Include?],tblSites[Scenario?],""),_xlpm.ScreenDays,N('Study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48:INDEX($1:$1048576,ROW(),COLUMN()-1))),_xlpm.Remaining,MAX(0,_xlpm.MaxPts-_xlpm.PriorEnrolled),IF(OR(_xlpm.ActDate="",EOMONTH(U$5,0)&lt;_xlpm.StartDate,_xlpm.Remaining&lt;=0),0,MIN(_xlpm.MonthlyEnroll,_xlpm.Remaining))),0))</f>
        <v/>
      </c>
      <c r="V48" s="9" t="str">
        <f>IF($B48="","",IFERROR(_xlfn.LET(_xlpm.Site,$B48,_xlpm.ActDate,_xlfn.XLOOKUP(_xlpm.Site,tblSites[Scenario?],tblSites[Check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48:INDEX($1:$1048576,ROW(),COLUMN()-1))),_xlpm.Remaining,MAX(0,_xlpm.MaxPts-_xlpm.PriorEnrolled),IF(OR(_xlpm.ActDate="",EOMONTH(V$5,0)&lt;_xlpm.StartDate,_xlpm.Remaining&lt;=0),0,MIN(_xlpm.MonthlyEnroll,_xlpm.Remaining))),0))</f>
        <v/>
      </c>
      <c r="W48" s="9" t="str">
        <f>IF($B48="","",IFERROR(_xlfn.LET(_xlpm.Site,$B48,_xlpm.ActDate,_xlfn.XLOOKUP(_xlpm.Site,tblSites[Check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48:INDEX($1:$1048576,ROW(),COLUMN()-1))),_xlpm.Remaining,MAX(0,_xlpm.MaxPts-_xlpm.PriorEnrolled),IF(OR(_xlpm.ActDate="",EOMONTH(W$5,0)&lt;_xlpm.StartDate,_xlpm.Remaining&lt;=0),0,MIN(_xlpm.MonthlyEnroll,_xlpm.Remaining))),0))</f>
        <v/>
      </c>
      <c r="X48" s="9" t="str">
        <f>IF($B48="","",IFERROR(_xlfn.LET(_xlpm.Site,$B48,_xlpm.ActDate,_xlfn.XLOOKUP(_xlpm.Site,tblSites[Site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48:INDEX($1:$1048576,ROW(),COLUMN()-1))),_xlpm.Remaining,MAX(0,_xlpm.MaxPts-_xlpm.PriorEnrolled),IF(OR(_xlpm.ActDate="",EOMONTH(X$5,0)&lt;_xlpm.StartDate,_xlpm.Remaining&lt;=0),0,MIN(_xlpm.MonthlyEnroll,_xlpm.Remaining))),0))</f>
        <v/>
      </c>
      <c r="Y48" s="9" t="str">
        <f>IF($B48="","",IFERROR(_xlfn.LET(_xlpm.Site,$B48,_xlpm.ActDate,_xlfn.XLOOKUP(_xlpm.Site,#REF!,tblSites[Country],""),_xlpm.ScreenDays,N('Study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48:INDEX($1:$1048576,ROW(),COLUMN()-1))),_xlpm.Remaining,MAX(0,_xlpm.MaxPts-_xlpm.PriorEnrolled),IF(OR(_xlpm.ActDate="",EOMONTH(Y$5,0)&lt;_xlpm.StartDate,_xlpm.Remaining&lt;=0),0,MIN(_xlpm.MonthlyEnroll,_xlpm.Remaining))),0))</f>
        <v/>
      </c>
      <c r="Z48" s="9" t="str">
        <f>IF($B48="","",IFERROR(_xlfn.LET(_xlpm.Site,$B48,_xlpm.ActDate,_xlfn.XLOOKUP(_xlpm.Site,tblSites[Country],tblSites[Site],""),_xlpm.ScreenDays,N('Study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48:INDEX($1:$1048576,ROW(),COLUMN()-1))),_xlpm.Remaining,MAX(0,_xlpm.MaxPts-_xlpm.PriorEnrolled),IF(OR(_xlpm.ActDate="",EOMONTH(Z$5,0)&lt;_xlpm.StartDate,_xlpm.Remaining&lt;=0),0,MIN(_xlpm.MonthlyEnroll,_xlpm.Remaining))),0))</f>
        <v/>
      </c>
      <c r="AA48" s="9" t="str">
        <f>IF($B48="","",IFERROR(_xlfn.LET(_xlpm.Site,$B48,_xlpm.ActDate,_xlfn.XLOOKUP(_xlpm.Site,tblSites[Site],tblSites[Site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48:INDEX($1:$1048576,ROW(),COLUMN()-1))),_xlpm.Remaining,MAX(0,_xlpm.MaxPts-_xlpm.PriorEnrolled),IF(OR(_xlpm.ActDate="",EOMONTH(AA$5,0)&lt;_xlpm.StartDate,_xlpm.Remaining&lt;=0),0,MIN(_xlpm.MonthlyEnroll,_xlpm.Remaining))),0))</f>
        <v/>
      </c>
      <c r="AB48" s="9" t="str">
        <f>IF($B48="","",IFERROR(_xlfn.LET(_xlpm.Site,$B48,_xlpm.ActDate,_xlfn.XLOOKUP(_xlpm.Site,tblSites[Site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48:INDEX($1:$1048576,ROW(),COLUMN()-1))),_xlpm.Remaining,MAX(0,_xlpm.MaxPts-_xlpm.PriorEnrolled),IF(OR(_xlpm.ActDate="",EOMONTH(AB$5,0)&lt;_xlpm.StartDate,_xlpm.Remaining&lt;=0),0,MIN(_xlpm.MonthlyEnroll,_xlpm.Remaining))),0))</f>
        <v/>
      </c>
      <c r="AC48" s="9" t="str">
        <f>IF($B48="","",IFERROR(_xlfn.LET(_xlpm.Site,$B48,_xlpm.ActDate,_xlfn.XLOOKUP(_xlpm.Site,tblSites[Monthly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48:INDEX($1:$1048576,ROW(),COLUMN()-1))),_xlpm.Remaining,MAX(0,_xlpm.MaxPts-_xlpm.PriorEnrolled),IF(OR(_xlpm.ActDate="",EOMONTH(AC$5,0)&lt;_xlpm.StartDate,_xlpm.Remaining&lt;=0),0,MIN(_xlpm.MonthlyEnroll,_xlpm.Remaining))),0))</f>
        <v/>
      </c>
    </row>
    <row r="49" spans="3:29" x14ac:dyDescent="0.25">
      <c r="C49" s="9" cm="1">
        <f t="array" aca="1" ref="C49" ca="1">IF(C$5&lt;=TODAY(),0,IF($B49="","",IFERROR(_xlfn.LET(_xlpm.Site,$B49,_xlpm.SiteCol,INDIRECT("tblSites[Site]"),_xlpm.ActCol,INDIRECT("tblSites[Site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49" s="9" t="str">
        <f>IF($B49="","",IFERROR(_xlfn.LET(_xlpm.Site,$B49,_xlpm.ActDate,_xlfn.XLOOKUP(_xlpm.Site,tblSites[Site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49:INDEX($1:$1048576,ROW(),COLUMN()-1))),_xlpm.Remaining,MAX(0,_xlpm.MaxPts-_xlpm.PriorEnrolled),IF(OR(_xlpm.ActDate="",EOMONTH(D$5,0)&lt;_xlpm.StartDate,_xlpm.Remaining&lt;=0),0,MIN(_xlpm.MonthlyEnroll,_xlpm.Remaining))),0))</f>
        <v/>
      </c>
      <c r="E49" s="9" t="str">
        <f>IF($B49="","",IFERROR(_xlfn.LET(_xlpm.Site,$B49,_xlpm.ActDate,_xlfn.XLOOKUP(_xlpm.Site,tblSites[Monthly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49:INDEX($1:$1048576,ROW(),COLUMN()-1))),_xlpm.Remaining,MAX(0,_xlpm.MaxPts-_xlpm.PriorEnrolled),IF(OR(_xlpm.ActDate="",EOMONTH(E$5,0)&lt;_xlpm.StartDate,_xlpm.Remaining&lt;=0),0,MIN(_xlpm.MonthlyEnroll,_xlpm.Remaining))),0))</f>
        <v/>
      </c>
      <c r="F49" s="9" t="str">
        <f>IF($B49="","",IFERROR(_xlfn.LET(_xlpm.Site,$B49,_xlpm.ActDate,_xlfn.XLOOKUP(_xlpm.Site,tblSites[Site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49:INDEX($1:$1048576,ROW(),COLUMN()-1))),_xlpm.Remaining,MAX(0,_xlpm.MaxPts-_xlpm.PriorEnrolled),IF(OR(_xlpm.ActDate="",EOMONTH(F$5,0)&lt;_xlpm.StartDate,_xlpm.Remaining&lt;=0),0,MIN(_xlpm.MonthlyEnroll,_xlpm.Remaining))),0))</f>
        <v/>
      </c>
      <c r="G49" s="9" t="str">
        <f>IF($B49="","",IFERROR(_xlfn.LET(_xlpm.Site,$B49,_xlpm.ActDate,_xlfn.XLOOKUP(_xlpm.Site,tblSites[Max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49:INDEX($1:$1048576,ROW(),COLUMN()-1))),_xlpm.Remaining,MAX(0,_xlpm.MaxPts-_xlpm.PriorEnrolled),IF(OR(_xlpm.ActDate="",EOMONTH(G$5,0)&lt;_xlpm.StartDate,_xlpm.Remaining&lt;=0),0,MIN(_xlpm.MonthlyEnroll,_xlpm.Remaining))),0))</f>
        <v/>
      </c>
      <c r="H49" s="9" t="str">
        <f>IF($B49="","",IFERROR(_xlfn.LET(_xlpm.Site,$B49,_xlpm.ActDate,_xlfn.XLOOKUP(_xlpm.Site,tblSites[Current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49:INDEX($1:$1048576,ROW(),COLUMN()-1))),_xlpm.Remaining,MAX(0,_xlpm.MaxPts-_xlpm.PriorEnrolled),IF(OR(_xlpm.ActDate="",EOMONTH(H$5,0)&lt;_xlpm.StartDate,_xlpm.Remaining&lt;=0),0,MIN(_xlpm.MonthlyEnroll,_xlpm.Remaining))),0))</f>
        <v/>
      </c>
      <c r="I49" s="9" t="str">
        <f>IF($B49="","",IFERROR(_xlfn.LET(_xlpm.Site,$B49,_xlpm.ActDate,_xlfn.XLOOKUP(_xlpm.Site,tblSites[Include?],tblSites[Scenario?],""),_xlpm.ScreenDays,N('Study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49:INDEX($1:$1048576,ROW(),COLUMN()-1))),_xlpm.Remaining,MAX(0,_xlpm.MaxPts-_xlpm.PriorEnrolled),IF(OR(_xlpm.ActDate="",EOMONTH(I$5,0)&lt;_xlpm.StartDate,_xlpm.Remaining&lt;=0),0,MIN(_xlpm.MonthlyEnroll,_xlpm.Remaining))),0))</f>
        <v/>
      </c>
      <c r="J49" s="9" t="str">
        <f>IF($B49="","",IFERROR(_xlfn.LET(_xlpm.Site,$B49,_xlpm.ActDate,_xlfn.XLOOKUP(_xlpm.Site,tblSites[Scenario?],tblSites[Check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49:INDEX($1:$1048576,ROW(),COLUMN()-1))),_xlpm.Remaining,MAX(0,_xlpm.MaxPts-_xlpm.PriorEnrolled),IF(OR(_xlpm.ActDate="",EOMONTH(J$5,0)&lt;_xlpm.StartDate,_xlpm.Remaining&lt;=0),0,MIN(_xlpm.MonthlyEnroll,_xlpm.Remaining))),0))</f>
        <v/>
      </c>
      <c r="K49" s="9" t="str">
        <f>IF($B49="","",IFERROR(_xlfn.LET(_xlpm.Site,$B49,_xlpm.ActDate,_xlfn.XLOOKUP(_xlpm.Site,tblSites[Check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49:INDEX($1:$1048576,ROW(),COLUMN()-1))),_xlpm.Remaining,MAX(0,_xlpm.MaxPts-_xlpm.PriorEnrolled),IF(OR(_xlpm.ActDate="",EOMONTH(K$5,0)&lt;_xlpm.StartDate,_xlpm.Remaining&lt;=0),0,MIN(_xlpm.MonthlyEnroll,_xlpm.Remaining))),0))</f>
        <v/>
      </c>
      <c r="L49" s="9" t="str">
        <f>IF($B49="","",IFERROR(_xlfn.LET(_xlpm.Site,$B49,_xlpm.ActDate,_xlfn.XLOOKUP(_xlpm.Site,tblSites[Site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49:INDEX($1:$1048576,ROW(),COLUMN()-1))),_xlpm.Remaining,MAX(0,_xlpm.MaxPts-_xlpm.PriorEnrolled),IF(OR(_xlpm.ActDate="",EOMONTH(L$5,0)&lt;_xlpm.StartDate,_xlpm.Remaining&lt;=0),0,MIN(_xlpm.MonthlyEnroll,_xlpm.Remaining))),0))</f>
        <v/>
      </c>
      <c r="M49" s="9" t="str">
        <f>IF($B49="","",IFERROR(_xlfn.LET(_xlpm.Site,$B49,_xlpm.ActDate,_xlfn.XLOOKUP(_xlpm.Site,#REF!,tblSites[Country],""),_xlpm.ScreenDays,N('Study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49:INDEX($1:$1048576,ROW(),COLUMN()-1))),_xlpm.Remaining,MAX(0,_xlpm.MaxPts-_xlpm.PriorEnrolled),IF(OR(_xlpm.ActDate="",EOMONTH(M$5,0)&lt;_xlpm.StartDate,_xlpm.Remaining&lt;=0),0,MIN(_xlpm.MonthlyEnroll,_xlpm.Remaining))),0))</f>
        <v/>
      </c>
      <c r="N49" s="9" t="str">
        <f>IF($B49="","",IFERROR(_xlfn.LET(_xlpm.Site,$B49,_xlpm.ActDate,_xlfn.XLOOKUP(_xlpm.Site,tblSites[Country],tblSites[Site],""),_xlpm.ScreenDays,N('Study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49:INDEX($1:$1048576,ROW(),COLUMN()-1))),_xlpm.Remaining,MAX(0,_xlpm.MaxPts-_xlpm.PriorEnrolled),IF(OR(_xlpm.ActDate="",EOMONTH(N$5,0)&lt;_xlpm.StartDate,_xlpm.Remaining&lt;=0),0,MIN(_xlpm.MonthlyEnroll,_xlpm.Remaining))),0))</f>
        <v/>
      </c>
      <c r="O49" s="9" t="str">
        <f>IF($B49="","",IFERROR(_xlfn.LET(_xlpm.Site,$B49,_xlpm.ActDate,_xlfn.XLOOKUP(_xlpm.Site,tblSites[Site],tblSites[Site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49:INDEX($1:$1048576,ROW(),COLUMN()-1))),_xlpm.Remaining,MAX(0,_xlpm.MaxPts-_xlpm.PriorEnrolled),IF(OR(_xlpm.ActDate="",EOMONTH(O$5,0)&lt;_xlpm.StartDate,_xlpm.Remaining&lt;=0),0,MIN(_xlpm.MonthlyEnroll,_xlpm.Remaining))),0))</f>
        <v/>
      </c>
      <c r="P49" s="9" t="str">
        <f>IF($B49="","",IFERROR(_xlfn.LET(_xlpm.Site,$B49,_xlpm.ActDate,_xlfn.XLOOKUP(_xlpm.Site,tblSites[Site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49:INDEX($1:$1048576,ROW(),COLUMN()-1))),_xlpm.Remaining,MAX(0,_xlpm.MaxPts-_xlpm.PriorEnrolled),IF(OR(_xlpm.ActDate="",EOMONTH(P$5,0)&lt;_xlpm.StartDate,_xlpm.Remaining&lt;=0),0,MIN(_xlpm.MonthlyEnroll,_xlpm.Remaining))),0))</f>
        <v/>
      </c>
      <c r="Q49" s="9" t="str">
        <f>IF($B49="","",IFERROR(_xlfn.LET(_xlpm.Site,$B49,_xlpm.ActDate,_xlfn.XLOOKUP(_xlpm.Site,tblSites[Monthly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49:INDEX($1:$1048576,ROW(),COLUMN()-1))),_xlpm.Remaining,MAX(0,_xlpm.MaxPts-_xlpm.PriorEnrolled),IF(OR(_xlpm.ActDate="",EOMONTH(Q$5,0)&lt;_xlpm.StartDate,_xlpm.Remaining&lt;=0),0,MIN(_xlpm.MonthlyEnroll,_xlpm.Remaining))),0))</f>
        <v/>
      </c>
      <c r="R49" s="9" t="str">
        <f>IF($B49="","",IFERROR(_xlfn.LET(_xlpm.Site,$B49,_xlpm.ActDate,_xlfn.XLOOKUP(_xlpm.Site,tblSites[Site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49:INDEX($1:$1048576,ROW(),COLUMN()-1))),_xlpm.Remaining,MAX(0,_xlpm.MaxPts-_xlpm.PriorEnrolled),IF(OR(_xlpm.ActDate="",EOMONTH(R$5,0)&lt;_xlpm.StartDate,_xlpm.Remaining&lt;=0),0,MIN(_xlpm.MonthlyEnroll,_xlpm.Remaining))),0))</f>
        <v/>
      </c>
      <c r="S49" s="9" t="str">
        <f>IF($B49="","",IFERROR(_xlfn.LET(_xlpm.Site,$B49,_xlpm.ActDate,_xlfn.XLOOKUP(_xlpm.Site,tblSites[Max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49:INDEX($1:$1048576,ROW(),COLUMN()-1))),_xlpm.Remaining,MAX(0,_xlpm.MaxPts-_xlpm.PriorEnrolled),IF(OR(_xlpm.ActDate="",EOMONTH(S$5,0)&lt;_xlpm.StartDate,_xlpm.Remaining&lt;=0),0,MIN(_xlpm.MonthlyEnroll,_xlpm.Remaining))),0))</f>
        <v/>
      </c>
      <c r="T49" s="9" t="str">
        <f>IF($B49="","",IFERROR(_xlfn.LET(_xlpm.Site,$B49,_xlpm.ActDate,_xlfn.XLOOKUP(_xlpm.Site,tblSites[Current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49:INDEX($1:$1048576,ROW(),COLUMN()-1))),_xlpm.Remaining,MAX(0,_xlpm.MaxPts-_xlpm.PriorEnrolled),IF(OR(_xlpm.ActDate="",EOMONTH(T$5,0)&lt;_xlpm.StartDate,_xlpm.Remaining&lt;=0),0,MIN(_xlpm.MonthlyEnroll,_xlpm.Remaining))),0))</f>
        <v/>
      </c>
      <c r="U49" s="9" t="str">
        <f>IF($B49="","",IFERROR(_xlfn.LET(_xlpm.Site,$B49,_xlpm.ActDate,_xlfn.XLOOKUP(_xlpm.Site,tblSites[Include?],tblSites[Scenario?],""),_xlpm.ScreenDays,N('Study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49:INDEX($1:$1048576,ROW(),COLUMN()-1))),_xlpm.Remaining,MAX(0,_xlpm.MaxPts-_xlpm.PriorEnrolled),IF(OR(_xlpm.ActDate="",EOMONTH(U$5,0)&lt;_xlpm.StartDate,_xlpm.Remaining&lt;=0),0,MIN(_xlpm.MonthlyEnroll,_xlpm.Remaining))),0))</f>
        <v/>
      </c>
      <c r="V49" s="9" t="str">
        <f>IF($B49="","",IFERROR(_xlfn.LET(_xlpm.Site,$B49,_xlpm.ActDate,_xlfn.XLOOKUP(_xlpm.Site,tblSites[Scenario?],tblSites[Check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49:INDEX($1:$1048576,ROW(),COLUMN()-1))),_xlpm.Remaining,MAX(0,_xlpm.MaxPts-_xlpm.PriorEnrolled),IF(OR(_xlpm.ActDate="",EOMONTH(V$5,0)&lt;_xlpm.StartDate,_xlpm.Remaining&lt;=0),0,MIN(_xlpm.MonthlyEnroll,_xlpm.Remaining))),0))</f>
        <v/>
      </c>
      <c r="W49" s="9" t="str">
        <f>IF($B49="","",IFERROR(_xlfn.LET(_xlpm.Site,$B49,_xlpm.ActDate,_xlfn.XLOOKUP(_xlpm.Site,tblSites[Check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49:INDEX($1:$1048576,ROW(),COLUMN()-1))),_xlpm.Remaining,MAX(0,_xlpm.MaxPts-_xlpm.PriorEnrolled),IF(OR(_xlpm.ActDate="",EOMONTH(W$5,0)&lt;_xlpm.StartDate,_xlpm.Remaining&lt;=0),0,MIN(_xlpm.MonthlyEnroll,_xlpm.Remaining))),0))</f>
        <v/>
      </c>
      <c r="X49" s="9" t="str">
        <f>IF($B49="","",IFERROR(_xlfn.LET(_xlpm.Site,$B49,_xlpm.ActDate,_xlfn.XLOOKUP(_xlpm.Site,tblSites[Site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49:INDEX($1:$1048576,ROW(),COLUMN()-1))),_xlpm.Remaining,MAX(0,_xlpm.MaxPts-_xlpm.PriorEnrolled),IF(OR(_xlpm.ActDate="",EOMONTH(X$5,0)&lt;_xlpm.StartDate,_xlpm.Remaining&lt;=0),0,MIN(_xlpm.MonthlyEnroll,_xlpm.Remaining))),0))</f>
        <v/>
      </c>
      <c r="Y49" s="9" t="str">
        <f>IF($B49="","",IFERROR(_xlfn.LET(_xlpm.Site,$B49,_xlpm.ActDate,_xlfn.XLOOKUP(_xlpm.Site,#REF!,tblSites[Country],""),_xlpm.ScreenDays,N('Study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49:INDEX($1:$1048576,ROW(),COLUMN()-1))),_xlpm.Remaining,MAX(0,_xlpm.MaxPts-_xlpm.PriorEnrolled),IF(OR(_xlpm.ActDate="",EOMONTH(Y$5,0)&lt;_xlpm.StartDate,_xlpm.Remaining&lt;=0),0,MIN(_xlpm.MonthlyEnroll,_xlpm.Remaining))),0))</f>
        <v/>
      </c>
      <c r="Z49" s="9" t="str">
        <f>IF($B49="","",IFERROR(_xlfn.LET(_xlpm.Site,$B49,_xlpm.ActDate,_xlfn.XLOOKUP(_xlpm.Site,tblSites[Country],tblSites[Site],""),_xlpm.ScreenDays,N('Study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49:INDEX($1:$1048576,ROW(),COLUMN()-1))),_xlpm.Remaining,MAX(0,_xlpm.MaxPts-_xlpm.PriorEnrolled),IF(OR(_xlpm.ActDate="",EOMONTH(Z$5,0)&lt;_xlpm.StartDate,_xlpm.Remaining&lt;=0),0,MIN(_xlpm.MonthlyEnroll,_xlpm.Remaining))),0))</f>
        <v/>
      </c>
      <c r="AA49" s="9" t="str">
        <f>IF($B49="","",IFERROR(_xlfn.LET(_xlpm.Site,$B49,_xlpm.ActDate,_xlfn.XLOOKUP(_xlpm.Site,tblSites[Site],tblSites[Site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49:INDEX($1:$1048576,ROW(),COLUMN()-1))),_xlpm.Remaining,MAX(0,_xlpm.MaxPts-_xlpm.PriorEnrolled),IF(OR(_xlpm.ActDate="",EOMONTH(AA$5,0)&lt;_xlpm.StartDate,_xlpm.Remaining&lt;=0),0,MIN(_xlpm.MonthlyEnroll,_xlpm.Remaining))),0))</f>
        <v/>
      </c>
      <c r="AB49" s="9" t="str">
        <f>IF($B49="","",IFERROR(_xlfn.LET(_xlpm.Site,$B49,_xlpm.ActDate,_xlfn.XLOOKUP(_xlpm.Site,tblSites[Site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49:INDEX($1:$1048576,ROW(),COLUMN()-1))),_xlpm.Remaining,MAX(0,_xlpm.MaxPts-_xlpm.PriorEnrolled),IF(OR(_xlpm.ActDate="",EOMONTH(AB$5,0)&lt;_xlpm.StartDate,_xlpm.Remaining&lt;=0),0,MIN(_xlpm.MonthlyEnroll,_xlpm.Remaining))),0))</f>
        <v/>
      </c>
      <c r="AC49" s="9" t="str">
        <f>IF($B49="","",IFERROR(_xlfn.LET(_xlpm.Site,$B49,_xlpm.ActDate,_xlfn.XLOOKUP(_xlpm.Site,tblSites[Monthly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49:INDEX($1:$1048576,ROW(),COLUMN()-1))),_xlpm.Remaining,MAX(0,_xlpm.MaxPts-_xlpm.PriorEnrolled),IF(OR(_xlpm.ActDate="",EOMONTH(AC$5,0)&lt;_xlpm.StartDate,_xlpm.Remaining&lt;=0),0,MIN(_xlpm.MonthlyEnroll,_xlpm.Remaining))),0))</f>
        <v/>
      </c>
    </row>
    <row r="50" spans="3:29" x14ac:dyDescent="0.25">
      <c r="C50" s="9" cm="1">
        <f t="array" aca="1" ref="C50" ca="1">IF(C$5&lt;=TODAY(),0,IF($B50="","",IFERROR(_xlfn.LET(_xlpm.Site,$B50,_xlpm.SiteCol,INDIRECT("tblSites[Site]"),_xlpm.ActCol,INDIRECT("tblSites[Site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0" s="9" t="str">
        <f>IF($B50="","",IFERROR(_xlfn.LET(_xlpm.Site,$B50,_xlpm.ActDate,_xlfn.XLOOKUP(_xlpm.Site,tblSites[Site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50:INDEX($1:$1048576,ROW(),COLUMN()-1))),_xlpm.Remaining,MAX(0,_xlpm.MaxPts-_xlpm.PriorEnrolled),IF(OR(_xlpm.ActDate="",EOMONTH(D$5,0)&lt;_xlpm.StartDate,_xlpm.Remaining&lt;=0),0,MIN(_xlpm.MonthlyEnroll,_xlpm.Remaining))),0))</f>
        <v/>
      </c>
      <c r="E50" s="9" t="str">
        <f>IF($B50="","",IFERROR(_xlfn.LET(_xlpm.Site,$B50,_xlpm.ActDate,_xlfn.XLOOKUP(_xlpm.Site,tblSites[Monthly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50:INDEX($1:$1048576,ROW(),COLUMN()-1))),_xlpm.Remaining,MAX(0,_xlpm.MaxPts-_xlpm.PriorEnrolled),IF(OR(_xlpm.ActDate="",EOMONTH(E$5,0)&lt;_xlpm.StartDate,_xlpm.Remaining&lt;=0),0,MIN(_xlpm.MonthlyEnroll,_xlpm.Remaining))),0))</f>
        <v/>
      </c>
      <c r="F50" s="9" t="str">
        <f>IF($B50="","",IFERROR(_xlfn.LET(_xlpm.Site,$B50,_xlpm.ActDate,_xlfn.XLOOKUP(_xlpm.Site,tblSites[Site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50:INDEX($1:$1048576,ROW(),COLUMN()-1))),_xlpm.Remaining,MAX(0,_xlpm.MaxPts-_xlpm.PriorEnrolled),IF(OR(_xlpm.ActDate="",EOMONTH(F$5,0)&lt;_xlpm.StartDate,_xlpm.Remaining&lt;=0),0,MIN(_xlpm.MonthlyEnroll,_xlpm.Remaining))),0))</f>
        <v/>
      </c>
      <c r="G50" s="9" t="str">
        <f>IF($B50="","",IFERROR(_xlfn.LET(_xlpm.Site,$B50,_xlpm.ActDate,_xlfn.XLOOKUP(_xlpm.Site,tblSites[Max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50:INDEX($1:$1048576,ROW(),COLUMN()-1))),_xlpm.Remaining,MAX(0,_xlpm.MaxPts-_xlpm.PriorEnrolled),IF(OR(_xlpm.ActDate="",EOMONTH(G$5,0)&lt;_xlpm.StartDate,_xlpm.Remaining&lt;=0),0,MIN(_xlpm.MonthlyEnroll,_xlpm.Remaining))),0))</f>
        <v/>
      </c>
      <c r="H50" s="9" t="str">
        <f>IF($B50="","",IFERROR(_xlfn.LET(_xlpm.Site,$B50,_xlpm.ActDate,_xlfn.XLOOKUP(_xlpm.Site,tblSites[Current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50:INDEX($1:$1048576,ROW(),COLUMN()-1))),_xlpm.Remaining,MAX(0,_xlpm.MaxPts-_xlpm.PriorEnrolled),IF(OR(_xlpm.ActDate="",EOMONTH(H$5,0)&lt;_xlpm.StartDate,_xlpm.Remaining&lt;=0),0,MIN(_xlpm.MonthlyEnroll,_xlpm.Remaining))),0))</f>
        <v/>
      </c>
      <c r="I50" s="9" t="str">
        <f>IF($B50="","",IFERROR(_xlfn.LET(_xlpm.Site,$B50,_xlpm.ActDate,_xlfn.XLOOKUP(_xlpm.Site,tblSites[Include?],tblSites[Scenario?],""),_xlpm.ScreenDays,N('Study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50:INDEX($1:$1048576,ROW(),COLUMN()-1))),_xlpm.Remaining,MAX(0,_xlpm.MaxPts-_xlpm.PriorEnrolled),IF(OR(_xlpm.ActDate="",EOMONTH(I$5,0)&lt;_xlpm.StartDate,_xlpm.Remaining&lt;=0),0,MIN(_xlpm.MonthlyEnroll,_xlpm.Remaining))),0))</f>
        <v/>
      </c>
      <c r="J50" s="9" t="str">
        <f>IF($B50="","",IFERROR(_xlfn.LET(_xlpm.Site,$B50,_xlpm.ActDate,_xlfn.XLOOKUP(_xlpm.Site,tblSites[Scenario?],tblSites[Check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50:INDEX($1:$1048576,ROW(),COLUMN()-1))),_xlpm.Remaining,MAX(0,_xlpm.MaxPts-_xlpm.PriorEnrolled),IF(OR(_xlpm.ActDate="",EOMONTH(J$5,0)&lt;_xlpm.StartDate,_xlpm.Remaining&lt;=0),0,MIN(_xlpm.MonthlyEnroll,_xlpm.Remaining))),0))</f>
        <v/>
      </c>
      <c r="K50" s="9" t="str">
        <f>IF($B50="","",IFERROR(_xlfn.LET(_xlpm.Site,$B50,_xlpm.ActDate,_xlfn.XLOOKUP(_xlpm.Site,tblSites[Check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50:INDEX($1:$1048576,ROW(),COLUMN()-1))),_xlpm.Remaining,MAX(0,_xlpm.MaxPts-_xlpm.PriorEnrolled),IF(OR(_xlpm.ActDate="",EOMONTH(K$5,0)&lt;_xlpm.StartDate,_xlpm.Remaining&lt;=0),0,MIN(_xlpm.MonthlyEnroll,_xlpm.Remaining))),0))</f>
        <v/>
      </c>
      <c r="L50" s="9" t="str">
        <f>IF($B50="","",IFERROR(_xlfn.LET(_xlpm.Site,$B50,_xlpm.ActDate,_xlfn.XLOOKUP(_xlpm.Site,tblSites[Site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50:INDEX($1:$1048576,ROW(),COLUMN()-1))),_xlpm.Remaining,MAX(0,_xlpm.MaxPts-_xlpm.PriorEnrolled),IF(OR(_xlpm.ActDate="",EOMONTH(L$5,0)&lt;_xlpm.StartDate,_xlpm.Remaining&lt;=0),0,MIN(_xlpm.MonthlyEnroll,_xlpm.Remaining))),0))</f>
        <v/>
      </c>
      <c r="M50" s="9" t="str">
        <f>IF($B50="","",IFERROR(_xlfn.LET(_xlpm.Site,$B50,_xlpm.ActDate,_xlfn.XLOOKUP(_xlpm.Site,#REF!,tblSites[Country],""),_xlpm.ScreenDays,N('Study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50:INDEX($1:$1048576,ROW(),COLUMN()-1))),_xlpm.Remaining,MAX(0,_xlpm.MaxPts-_xlpm.PriorEnrolled),IF(OR(_xlpm.ActDate="",EOMONTH(M$5,0)&lt;_xlpm.StartDate,_xlpm.Remaining&lt;=0),0,MIN(_xlpm.MonthlyEnroll,_xlpm.Remaining))),0))</f>
        <v/>
      </c>
      <c r="N50" s="9" t="str">
        <f>IF($B50="","",IFERROR(_xlfn.LET(_xlpm.Site,$B50,_xlpm.ActDate,_xlfn.XLOOKUP(_xlpm.Site,tblSites[Country],tblSites[Site],""),_xlpm.ScreenDays,N('Study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50:INDEX($1:$1048576,ROW(),COLUMN()-1))),_xlpm.Remaining,MAX(0,_xlpm.MaxPts-_xlpm.PriorEnrolled),IF(OR(_xlpm.ActDate="",EOMONTH(N$5,0)&lt;_xlpm.StartDate,_xlpm.Remaining&lt;=0),0,MIN(_xlpm.MonthlyEnroll,_xlpm.Remaining))),0))</f>
        <v/>
      </c>
      <c r="O50" s="9" t="str">
        <f>IF($B50="","",IFERROR(_xlfn.LET(_xlpm.Site,$B50,_xlpm.ActDate,_xlfn.XLOOKUP(_xlpm.Site,tblSites[Site],tblSites[Site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50:INDEX($1:$1048576,ROW(),COLUMN()-1))),_xlpm.Remaining,MAX(0,_xlpm.MaxPts-_xlpm.PriorEnrolled),IF(OR(_xlpm.ActDate="",EOMONTH(O$5,0)&lt;_xlpm.StartDate,_xlpm.Remaining&lt;=0),0,MIN(_xlpm.MonthlyEnroll,_xlpm.Remaining))),0))</f>
        <v/>
      </c>
      <c r="P50" s="9" t="str">
        <f>IF($B50="","",IFERROR(_xlfn.LET(_xlpm.Site,$B50,_xlpm.ActDate,_xlfn.XLOOKUP(_xlpm.Site,tblSites[Site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50:INDEX($1:$1048576,ROW(),COLUMN()-1))),_xlpm.Remaining,MAX(0,_xlpm.MaxPts-_xlpm.PriorEnrolled),IF(OR(_xlpm.ActDate="",EOMONTH(P$5,0)&lt;_xlpm.StartDate,_xlpm.Remaining&lt;=0),0,MIN(_xlpm.MonthlyEnroll,_xlpm.Remaining))),0))</f>
        <v/>
      </c>
      <c r="Q50" s="9" t="str">
        <f>IF($B50="","",IFERROR(_xlfn.LET(_xlpm.Site,$B50,_xlpm.ActDate,_xlfn.XLOOKUP(_xlpm.Site,tblSites[Monthly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50:INDEX($1:$1048576,ROW(),COLUMN()-1))),_xlpm.Remaining,MAX(0,_xlpm.MaxPts-_xlpm.PriorEnrolled),IF(OR(_xlpm.ActDate="",EOMONTH(Q$5,0)&lt;_xlpm.StartDate,_xlpm.Remaining&lt;=0),0,MIN(_xlpm.MonthlyEnroll,_xlpm.Remaining))),0))</f>
        <v/>
      </c>
      <c r="R50" s="9" t="str">
        <f>IF($B50="","",IFERROR(_xlfn.LET(_xlpm.Site,$B50,_xlpm.ActDate,_xlfn.XLOOKUP(_xlpm.Site,tblSites[Site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50:INDEX($1:$1048576,ROW(),COLUMN()-1))),_xlpm.Remaining,MAX(0,_xlpm.MaxPts-_xlpm.PriorEnrolled),IF(OR(_xlpm.ActDate="",EOMONTH(R$5,0)&lt;_xlpm.StartDate,_xlpm.Remaining&lt;=0),0,MIN(_xlpm.MonthlyEnroll,_xlpm.Remaining))),0))</f>
        <v/>
      </c>
      <c r="S50" s="9" t="str">
        <f>IF($B50="","",IFERROR(_xlfn.LET(_xlpm.Site,$B50,_xlpm.ActDate,_xlfn.XLOOKUP(_xlpm.Site,tblSites[Max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50:INDEX($1:$1048576,ROW(),COLUMN()-1))),_xlpm.Remaining,MAX(0,_xlpm.MaxPts-_xlpm.PriorEnrolled),IF(OR(_xlpm.ActDate="",EOMONTH(S$5,0)&lt;_xlpm.StartDate,_xlpm.Remaining&lt;=0),0,MIN(_xlpm.MonthlyEnroll,_xlpm.Remaining))),0))</f>
        <v/>
      </c>
      <c r="T50" s="9" t="str">
        <f>IF($B50="","",IFERROR(_xlfn.LET(_xlpm.Site,$B50,_xlpm.ActDate,_xlfn.XLOOKUP(_xlpm.Site,tblSites[Current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50:INDEX($1:$1048576,ROW(),COLUMN()-1))),_xlpm.Remaining,MAX(0,_xlpm.MaxPts-_xlpm.PriorEnrolled),IF(OR(_xlpm.ActDate="",EOMONTH(T$5,0)&lt;_xlpm.StartDate,_xlpm.Remaining&lt;=0),0,MIN(_xlpm.MonthlyEnroll,_xlpm.Remaining))),0))</f>
        <v/>
      </c>
      <c r="U50" s="9" t="str">
        <f>IF($B50="","",IFERROR(_xlfn.LET(_xlpm.Site,$B50,_xlpm.ActDate,_xlfn.XLOOKUP(_xlpm.Site,tblSites[Include?],tblSites[Scenario?],""),_xlpm.ScreenDays,N('Study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50:INDEX($1:$1048576,ROW(),COLUMN()-1))),_xlpm.Remaining,MAX(0,_xlpm.MaxPts-_xlpm.PriorEnrolled),IF(OR(_xlpm.ActDate="",EOMONTH(U$5,0)&lt;_xlpm.StartDate,_xlpm.Remaining&lt;=0),0,MIN(_xlpm.MonthlyEnroll,_xlpm.Remaining))),0))</f>
        <v/>
      </c>
      <c r="V50" s="9" t="str">
        <f>IF($B50="","",IFERROR(_xlfn.LET(_xlpm.Site,$B50,_xlpm.ActDate,_xlfn.XLOOKUP(_xlpm.Site,tblSites[Scenario?],tblSites[Check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50:INDEX($1:$1048576,ROW(),COLUMN()-1))),_xlpm.Remaining,MAX(0,_xlpm.MaxPts-_xlpm.PriorEnrolled),IF(OR(_xlpm.ActDate="",EOMONTH(V$5,0)&lt;_xlpm.StartDate,_xlpm.Remaining&lt;=0),0,MIN(_xlpm.MonthlyEnroll,_xlpm.Remaining))),0))</f>
        <v/>
      </c>
      <c r="W50" s="9" t="str">
        <f>IF($B50="","",IFERROR(_xlfn.LET(_xlpm.Site,$B50,_xlpm.ActDate,_xlfn.XLOOKUP(_xlpm.Site,tblSites[Check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50:INDEX($1:$1048576,ROW(),COLUMN()-1))),_xlpm.Remaining,MAX(0,_xlpm.MaxPts-_xlpm.PriorEnrolled),IF(OR(_xlpm.ActDate="",EOMONTH(W$5,0)&lt;_xlpm.StartDate,_xlpm.Remaining&lt;=0),0,MIN(_xlpm.MonthlyEnroll,_xlpm.Remaining))),0))</f>
        <v/>
      </c>
      <c r="X50" s="9" t="str">
        <f>IF($B50="","",IFERROR(_xlfn.LET(_xlpm.Site,$B50,_xlpm.ActDate,_xlfn.XLOOKUP(_xlpm.Site,tblSites[Site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50:INDEX($1:$1048576,ROW(),COLUMN()-1))),_xlpm.Remaining,MAX(0,_xlpm.MaxPts-_xlpm.PriorEnrolled),IF(OR(_xlpm.ActDate="",EOMONTH(X$5,0)&lt;_xlpm.StartDate,_xlpm.Remaining&lt;=0),0,MIN(_xlpm.MonthlyEnroll,_xlpm.Remaining))),0))</f>
        <v/>
      </c>
      <c r="Y50" s="9" t="str">
        <f>IF($B50="","",IFERROR(_xlfn.LET(_xlpm.Site,$B50,_xlpm.ActDate,_xlfn.XLOOKUP(_xlpm.Site,#REF!,tblSites[Country],""),_xlpm.ScreenDays,N('Study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50:INDEX($1:$1048576,ROW(),COLUMN()-1))),_xlpm.Remaining,MAX(0,_xlpm.MaxPts-_xlpm.PriorEnrolled),IF(OR(_xlpm.ActDate="",EOMONTH(Y$5,0)&lt;_xlpm.StartDate,_xlpm.Remaining&lt;=0),0,MIN(_xlpm.MonthlyEnroll,_xlpm.Remaining))),0))</f>
        <v/>
      </c>
      <c r="Z50" s="9" t="str">
        <f>IF($B50="","",IFERROR(_xlfn.LET(_xlpm.Site,$B50,_xlpm.ActDate,_xlfn.XLOOKUP(_xlpm.Site,tblSites[Country],tblSites[Site],""),_xlpm.ScreenDays,N('Study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50:INDEX($1:$1048576,ROW(),COLUMN()-1))),_xlpm.Remaining,MAX(0,_xlpm.MaxPts-_xlpm.PriorEnrolled),IF(OR(_xlpm.ActDate="",EOMONTH(Z$5,0)&lt;_xlpm.StartDate,_xlpm.Remaining&lt;=0),0,MIN(_xlpm.MonthlyEnroll,_xlpm.Remaining))),0))</f>
        <v/>
      </c>
      <c r="AA50" s="9" t="str">
        <f>IF($B50="","",IFERROR(_xlfn.LET(_xlpm.Site,$B50,_xlpm.ActDate,_xlfn.XLOOKUP(_xlpm.Site,tblSites[Site],tblSites[Site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50:INDEX($1:$1048576,ROW(),COLUMN()-1))),_xlpm.Remaining,MAX(0,_xlpm.MaxPts-_xlpm.PriorEnrolled),IF(OR(_xlpm.ActDate="",EOMONTH(AA$5,0)&lt;_xlpm.StartDate,_xlpm.Remaining&lt;=0),0,MIN(_xlpm.MonthlyEnroll,_xlpm.Remaining))),0))</f>
        <v/>
      </c>
      <c r="AB50" s="9" t="str">
        <f>IF($B50="","",IFERROR(_xlfn.LET(_xlpm.Site,$B50,_xlpm.ActDate,_xlfn.XLOOKUP(_xlpm.Site,tblSites[Site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50:INDEX($1:$1048576,ROW(),COLUMN()-1))),_xlpm.Remaining,MAX(0,_xlpm.MaxPts-_xlpm.PriorEnrolled),IF(OR(_xlpm.ActDate="",EOMONTH(AB$5,0)&lt;_xlpm.StartDate,_xlpm.Remaining&lt;=0),0,MIN(_xlpm.MonthlyEnroll,_xlpm.Remaining))),0))</f>
        <v/>
      </c>
      <c r="AC50" s="9" t="str">
        <f>IF($B50="","",IFERROR(_xlfn.LET(_xlpm.Site,$B50,_xlpm.ActDate,_xlfn.XLOOKUP(_xlpm.Site,tblSites[Monthly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50:INDEX($1:$1048576,ROW(),COLUMN()-1))),_xlpm.Remaining,MAX(0,_xlpm.MaxPts-_xlpm.PriorEnrolled),IF(OR(_xlpm.ActDate="",EOMONTH(AC$5,0)&lt;_xlpm.StartDate,_xlpm.Remaining&lt;=0),0,MIN(_xlpm.MonthlyEnroll,_xlpm.Remaining))),0))</f>
        <v/>
      </c>
    </row>
    <row r="51" spans="3:29" x14ac:dyDescent="0.25">
      <c r="C51" s="9" cm="1">
        <f t="array" aca="1" ref="C51" ca="1">IF(C$5&lt;=TODAY(),0,IF($B51="","",IFERROR(_xlfn.LET(_xlpm.Site,$B51,_xlpm.SiteCol,INDIRECT("tblSites[Site]"),_xlpm.ActCol,INDIRECT("tblSites[Site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1" s="9" t="str">
        <f>IF($B51="","",IFERROR(_xlfn.LET(_xlpm.Site,$B51,_xlpm.ActDate,_xlfn.XLOOKUP(_xlpm.Site,tblSites[Site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51:INDEX($1:$1048576,ROW(),COLUMN()-1))),_xlpm.Remaining,MAX(0,_xlpm.MaxPts-_xlpm.PriorEnrolled),IF(OR(_xlpm.ActDate="",EOMONTH(D$5,0)&lt;_xlpm.StartDate,_xlpm.Remaining&lt;=0),0,MIN(_xlpm.MonthlyEnroll,_xlpm.Remaining))),0))</f>
        <v/>
      </c>
      <c r="E51" s="9" t="str">
        <f>IF($B51="","",IFERROR(_xlfn.LET(_xlpm.Site,$B51,_xlpm.ActDate,_xlfn.XLOOKUP(_xlpm.Site,tblSites[Monthly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51:INDEX($1:$1048576,ROW(),COLUMN()-1))),_xlpm.Remaining,MAX(0,_xlpm.MaxPts-_xlpm.PriorEnrolled),IF(OR(_xlpm.ActDate="",EOMONTH(E$5,0)&lt;_xlpm.StartDate,_xlpm.Remaining&lt;=0),0,MIN(_xlpm.MonthlyEnroll,_xlpm.Remaining))),0))</f>
        <v/>
      </c>
      <c r="F51" s="9" t="str">
        <f>IF($B51="","",IFERROR(_xlfn.LET(_xlpm.Site,$B51,_xlpm.ActDate,_xlfn.XLOOKUP(_xlpm.Site,tblSites[Site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51:INDEX($1:$1048576,ROW(),COLUMN()-1))),_xlpm.Remaining,MAX(0,_xlpm.MaxPts-_xlpm.PriorEnrolled),IF(OR(_xlpm.ActDate="",EOMONTH(F$5,0)&lt;_xlpm.StartDate,_xlpm.Remaining&lt;=0),0,MIN(_xlpm.MonthlyEnroll,_xlpm.Remaining))),0))</f>
        <v/>
      </c>
      <c r="G51" s="9" t="str">
        <f>IF($B51="","",IFERROR(_xlfn.LET(_xlpm.Site,$B51,_xlpm.ActDate,_xlfn.XLOOKUP(_xlpm.Site,tblSites[Max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51:INDEX($1:$1048576,ROW(),COLUMN()-1))),_xlpm.Remaining,MAX(0,_xlpm.MaxPts-_xlpm.PriorEnrolled),IF(OR(_xlpm.ActDate="",EOMONTH(G$5,0)&lt;_xlpm.StartDate,_xlpm.Remaining&lt;=0),0,MIN(_xlpm.MonthlyEnroll,_xlpm.Remaining))),0))</f>
        <v/>
      </c>
      <c r="H51" s="9" t="str">
        <f>IF($B51="","",IFERROR(_xlfn.LET(_xlpm.Site,$B51,_xlpm.ActDate,_xlfn.XLOOKUP(_xlpm.Site,tblSites[Current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51:INDEX($1:$1048576,ROW(),COLUMN()-1))),_xlpm.Remaining,MAX(0,_xlpm.MaxPts-_xlpm.PriorEnrolled),IF(OR(_xlpm.ActDate="",EOMONTH(H$5,0)&lt;_xlpm.StartDate,_xlpm.Remaining&lt;=0),0,MIN(_xlpm.MonthlyEnroll,_xlpm.Remaining))),0))</f>
        <v/>
      </c>
      <c r="I51" s="9" t="str">
        <f>IF($B51="","",IFERROR(_xlfn.LET(_xlpm.Site,$B51,_xlpm.ActDate,_xlfn.XLOOKUP(_xlpm.Site,tblSites[Include?],tblSites[Scenario?],""),_xlpm.ScreenDays,N('Study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51:INDEX($1:$1048576,ROW(),COLUMN()-1))),_xlpm.Remaining,MAX(0,_xlpm.MaxPts-_xlpm.PriorEnrolled),IF(OR(_xlpm.ActDate="",EOMONTH(I$5,0)&lt;_xlpm.StartDate,_xlpm.Remaining&lt;=0),0,MIN(_xlpm.MonthlyEnroll,_xlpm.Remaining))),0))</f>
        <v/>
      </c>
      <c r="J51" s="9" t="str">
        <f>IF($B51="","",IFERROR(_xlfn.LET(_xlpm.Site,$B51,_xlpm.ActDate,_xlfn.XLOOKUP(_xlpm.Site,tblSites[Scenario?],tblSites[Check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51:INDEX($1:$1048576,ROW(),COLUMN()-1))),_xlpm.Remaining,MAX(0,_xlpm.MaxPts-_xlpm.PriorEnrolled),IF(OR(_xlpm.ActDate="",EOMONTH(J$5,0)&lt;_xlpm.StartDate,_xlpm.Remaining&lt;=0),0,MIN(_xlpm.MonthlyEnroll,_xlpm.Remaining))),0))</f>
        <v/>
      </c>
      <c r="K51" s="9" t="str">
        <f>IF($B51="","",IFERROR(_xlfn.LET(_xlpm.Site,$B51,_xlpm.ActDate,_xlfn.XLOOKUP(_xlpm.Site,tblSites[Check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51:INDEX($1:$1048576,ROW(),COLUMN()-1))),_xlpm.Remaining,MAX(0,_xlpm.MaxPts-_xlpm.PriorEnrolled),IF(OR(_xlpm.ActDate="",EOMONTH(K$5,0)&lt;_xlpm.StartDate,_xlpm.Remaining&lt;=0),0,MIN(_xlpm.MonthlyEnroll,_xlpm.Remaining))),0))</f>
        <v/>
      </c>
      <c r="L51" s="9" t="str">
        <f>IF($B51="","",IFERROR(_xlfn.LET(_xlpm.Site,$B51,_xlpm.ActDate,_xlfn.XLOOKUP(_xlpm.Site,tblSites[Site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51:INDEX($1:$1048576,ROW(),COLUMN()-1))),_xlpm.Remaining,MAX(0,_xlpm.MaxPts-_xlpm.PriorEnrolled),IF(OR(_xlpm.ActDate="",EOMONTH(L$5,0)&lt;_xlpm.StartDate,_xlpm.Remaining&lt;=0),0,MIN(_xlpm.MonthlyEnroll,_xlpm.Remaining))),0))</f>
        <v/>
      </c>
      <c r="M51" s="9" t="str">
        <f>IF($B51="","",IFERROR(_xlfn.LET(_xlpm.Site,$B51,_xlpm.ActDate,_xlfn.XLOOKUP(_xlpm.Site,#REF!,tblSites[Country],""),_xlpm.ScreenDays,N('Study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51:INDEX($1:$1048576,ROW(),COLUMN()-1))),_xlpm.Remaining,MAX(0,_xlpm.MaxPts-_xlpm.PriorEnrolled),IF(OR(_xlpm.ActDate="",EOMONTH(M$5,0)&lt;_xlpm.StartDate,_xlpm.Remaining&lt;=0),0,MIN(_xlpm.MonthlyEnroll,_xlpm.Remaining))),0))</f>
        <v/>
      </c>
      <c r="N51" s="9" t="str">
        <f>IF($B51="","",IFERROR(_xlfn.LET(_xlpm.Site,$B51,_xlpm.ActDate,_xlfn.XLOOKUP(_xlpm.Site,tblSites[Country],tblSites[Site],""),_xlpm.ScreenDays,N('Study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51:INDEX($1:$1048576,ROW(),COLUMN()-1))),_xlpm.Remaining,MAX(0,_xlpm.MaxPts-_xlpm.PriorEnrolled),IF(OR(_xlpm.ActDate="",EOMONTH(N$5,0)&lt;_xlpm.StartDate,_xlpm.Remaining&lt;=0),0,MIN(_xlpm.MonthlyEnroll,_xlpm.Remaining))),0))</f>
        <v/>
      </c>
      <c r="O51" s="9" t="str">
        <f>IF($B51="","",IFERROR(_xlfn.LET(_xlpm.Site,$B51,_xlpm.ActDate,_xlfn.XLOOKUP(_xlpm.Site,tblSites[Site],tblSites[Site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51:INDEX($1:$1048576,ROW(),COLUMN()-1))),_xlpm.Remaining,MAX(0,_xlpm.MaxPts-_xlpm.PriorEnrolled),IF(OR(_xlpm.ActDate="",EOMONTH(O$5,0)&lt;_xlpm.StartDate,_xlpm.Remaining&lt;=0),0,MIN(_xlpm.MonthlyEnroll,_xlpm.Remaining))),0))</f>
        <v/>
      </c>
      <c r="P51" s="9" t="str">
        <f>IF($B51="","",IFERROR(_xlfn.LET(_xlpm.Site,$B51,_xlpm.ActDate,_xlfn.XLOOKUP(_xlpm.Site,tblSites[Site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51:INDEX($1:$1048576,ROW(),COLUMN()-1))),_xlpm.Remaining,MAX(0,_xlpm.MaxPts-_xlpm.PriorEnrolled),IF(OR(_xlpm.ActDate="",EOMONTH(P$5,0)&lt;_xlpm.StartDate,_xlpm.Remaining&lt;=0),0,MIN(_xlpm.MonthlyEnroll,_xlpm.Remaining))),0))</f>
        <v/>
      </c>
      <c r="Q51" s="9" t="str">
        <f>IF($B51="","",IFERROR(_xlfn.LET(_xlpm.Site,$B51,_xlpm.ActDate,_xlfn.XLOOKUP(_xlpm.Site,tblSites[Monthly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51:INDEX($1:$1048576,ROW(),COLUMN()-1))),_xlpm.Remaining,MAX(0,_xlpm.MaxPts-_xlpm.PriorEnrolled),IF(OR(_xlpm.ActDate="",EOMONTH(Q$5,0)&lt;_xlpm.StartDate,_xlpm.Remaining&lt;=0),0,MIN(_xlpm.MonthlyEnroll,_xlpm.Remaining))),0))</f>
        <v/>
      </c>
      <c r="R51" s="9" t="str">
        <f>IF($B51="","",IFERROR(_xlfn.LET(_xlpm.Site,$B51,_xlpm.ActDate,_xlfn.XLOOKUP(_xlpm.Site,tblSites[Site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51:INDEX($1:$1048576,ROW(),COLUMN()-1))),_xlpm.Remaining,MAX(0,_xlpm.MaxPts-_xlpm.PriorEnrolled),IF(OR(_xlpm.ActDate="",EOMONTH(R$5,0)&lt;_xlpm.StartDate,_xlpm.Remaining&lt;=0),0,MIN(_xlpm.MonthlyEnroll,_xlpm.Remaining))),0))</f>
        <v/>
      </c>
      <c r="S51" s="9" t="str">
        <f>IF($B51="","",IFERROR(_xlfn.LET(_xlpm.Site,$B51,_xlpm.ActDate,_xlfn.XLOOKUP(_xlpm.Site,tblSites[Max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51:INDEX($1:$1048576,ROW(),COLUMN()-1))),_xlpm.Remaining,MAX(0,_xlpm.MaxPts-_xlpm.PriorEnrolled),IF(OR(_xlpm.ActDate="",EOMONTH(S$5,0)&lt;_xlpm.StartDate,_xlpm.Remaining&lt;=0),0,MIN(_xlpm.MonthlyEnroll,_xlpm.Remaining))),0))</f>
        <v/>
      </c>
      <c r="T51" s="9" t="str">
        <f>IF($B51="","",IFERROR(_xlfn.LET(_xlpm.Site,$B51,_xlpm.ActDate,_xlfn.XLOOKUP(_xlpm.Site,tblSites[Current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51:INDEX($1:$1048576,ROW(),COLUMN()-1))),_xlpm.Remaining,MAX(0,_xlpm.MaxPts-_xlpm.PriorEnrolled),IF(OR(_xlpm.ActDate="",EOMONTH(T$5,0)&lt;_xlpm.StartDate,_xlpm.Remaining&lt;=0),0,MIN(_xlpm.MonthlyEnroll,_xlpm.Remaining))),0))</f>
        <v/>
      </c>
      <c r="U51" s="9" t="str">
        <f>IF($B51="","",IFERROR(_xlfn.LET(_xlpm.Site,$B51,_xlpm.ActDate,_xlfn.XLOOKUP(_xlpm.Site,tblSites[Include?],tblSites[Scenario?],""),_xlpm.ScreenDays,N('Study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51:INDEX($1:$1048576,ROW(),COLUMN()-1))),_xlpm.Remaining,MAX(0,_xlpm.MaxPts-_xlpm.PriorEnrolled),IF(OR(_xlpm.ActDate="",EOMONTH(U$5,0)&lt;_xlpm.StartDate,_xlpm.Remaining&lt;=0),0,MIN(_xlpm.MonthlyEnroll,_xlpm.Remaining))),0))</f>
        <v/>
      </c>
      <c r="V51" s="9" t="str">
        <f>IF($B51="","",IFERROR(_xlfn.LET(_xlpm.Site,$B51,_xlpm.ActDate,_xlfn.XLOOKUP(_xlpm.Site,tblSites[Scenario?],tblSites[Check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51:INDEX($1:$1048576,ROW(),COLUMN()-1))),_xlpm.Remaining,MAX(0,_xlpm.MaxPts-_xlpm.PriorEnrolled),IF(OR(_xlpm.ActDate="",EOMONTH(V$5,0)&lt;_xlpm.StartDate,_xlpm.Remaining&lt;=0),0,MIN(_xlpm.MonthlyEnroll,_xlpm.Remaining))),0))</f>
        <v/>
      </c>
      <c r="W51" s="9" t="str">
        <f>IF($B51="","",IFERROR(_xlfn.LET(_xlpm.Site,$B51,_xlpm.ActDate,_xlfn.XLOOKUP(_xlpm.Site,tblSites[Check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51:INDEX($1:$1048576,ROW(),COLUMN()-1))),_xlpm.Remaining,MAX(0,_xlpm.MaxPts-_xlpm.PriorEnrolled),IF(OR(_xlpm.ActDate="",EOMONTH(W$5,0)&lt;_xlpm.StartDate,_xlpm.Remaining&lt;=0),0,MIN(_xlpm.MonthlyEnroll,_xlpm.Remaining))),0))</f>
        <v/>
      </c>
      <c r="X51" s="9" t="str">
        <f>IF($B51="","",IFERROR(_xlfn.LET(_xlpm.Site,$B51,_xlpm.ActDate,_xlfn.XLOOKUP(_xlpm.Site,tblSites[Site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51:INDEX($1:$1048576,ROW(),COLUMN()-1))),_xlpm.Remaining,MAX(0,_xlpm.MaxPts-_xlpm.PriorEnrolled),IF(OR(_xlpm.ActDate="",EOMONTH(X$5,0)&lt;_xlpm.StartDate,_xlpm.Remaining&lt;=0),0,MIN(_xlpm.MonthlyEnroll,_xlpm.Remaining))),0))</f>
        <v/>
      </c>
      <c r="Y51" s="9" t="str">
        <f>IF($B51="","",IFERROR(_xlfn.LET(_xlpm.Site,$B51,_xlpm.ActDate,_xlfn.XLOOKUP(_xlpm.Site,#REF!,tblSites[Country],""),_xlpm.ScreenDays,N('Study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51:INDEX($1:$1048576,ROW(),COLUMN()-1))),_xlpm.Remaining,MAX(0,_xlpm.MaxPts-_xlpm.PriorEnrolled),IF(OR(_xlpm.ActDate="",EOMONTH(Y$5,0)&lt;_xlpm.StartDate,_xlpm.Remaining&lt;=0),0,MIN(_xlpm.MonthlyEnroll,_xlpm.Remaining))),0))</f>
        <v/>
      </c>
      <c r="Z51" s="9" t="str">
        <f>IF($B51="","",IFERROR(_xlfn.LET(_xlpm.Site,$B51,_xlpm.ActDate,_xlfn.XLOOKUP(_xlpm.Site,tblSites[Country],tblSites[Site],""),_xlpm.ScreenDays,N('Study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51:INDEX($1:$1048576,ROW(),COLUMN()-1))),_xlpm.Remaining,MAX(0,_xlpm.MaxPts-_xlpm.PriorEnrolled),IF(OR(_xlpm.ActDate="",EOMONTH(Z$5,0)&lt;_xlpm.StartDate,_xlpm.Remaining&lt;=0),0,MIN(_xlpm.MonthlyEnroll,_xlpm.Remaining))),0))</f>
        <v/>
      </c>
      <c r="AA51" s="9" t="str">
        <f>IF($B51="","",IFERROR(_xlfn.LET(_xlpm.Site,$B51,_xlpm.ActDate,_xlfn.XLOOKUP(_xlpm.Site,tblSites[Site],tblSites[Site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51:INDEX($1:$1048576,ROW(),COLUMN()-1))),_xlpm.Remaining,MAX(0,_xlpm.MaxPts-_xlpm.PriorEnrolled),IF(OR(_xlpm.ActDate="",EOMONTH(AA$5,0)&lt;_xlpm.StartDate,_xlpm.Remaining&lt;=0),0,MIN(_xlpm.MonthlyEnroll,_xlpm.Remaining))),0))</f>
        <v/>
      </c>
      <c r="AB51" s="9" t="str">
        <f>IF($B51="","",IFERROR(_xlfn.LET(_xlpm.Site,$B51,_xlpm.ActDate,_xlfn.XLOOKUP(_xlpm.Site,tblSites[Site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51:INDEX($1:$1048576,ROW(),COLUMN()-1))),_xlpm.Remaining,MAX(0,_xlpm.MaxPts-_xlpm.PriorEnrolled),IF(OR(_xlpm.ActDate="",EOMONTH(AB$5,0)&lt;_xlpm.StartDate,_xlpm.Remaining&lt;=0),0,MIN(_xlpm.MonthlyEnroll,_xlpm.Remaining))),0))</f>
        <v/>
      </c>
      <c r="AC51" s="9" t="str">
        <f>IF($B51="","",IFERROR(_xlfn.LET(_xlpm.Site,$B51,_xlpm.ActDate,_xlfn.XLOOKUP(_xlpm.Site,tblSites[Monthly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51:INDEX($1:$1048576,ROW(),COLUMN()-1))),_xlpm.Remaining,MAX(0,_xlpm.MaxPts-_xlpm.PriorEnrolled),IF(OR(_xlpm.ActDate="",EOMONTH(AC$5,0)&lt;_xlpm.StartDate,_xlpm.Remaining&lt;=0),0,MIN(_xlpm.MonthlyEnroll,_xlpm.Remaining))),0))</f>
        <v/>
      </c>
    </row>
    <row r="52" spans="3:29" x14ac:dyDescent="0.25">
      <c r="C52" s="9" cm="1">
        <f t="array" aca="1" ref="C52" ca="1">IF(C$5&lt;=TODAY(),0,IF($B52="","",IFERROR(_xlfn.LET(_xlpm.Site,$B52,_xlpm.SiteCol,INDIRECT("tblSites[Site]"),_xlpm.ActCol,INDIRECT("tblSites[Site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2" s="9" t="str">
        <f>IF($B52="","",IFERROR(_xlfn.LET(_xlpm.Site,$B52,_xlpm.ActDate,_xlfn.XLOOKUP(_xlpm.Site,tblSites[Site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52:INDEX($1:$1048576,ROW(),COLUMN()-1))),_xlpm.Remaining,MAX(0,_xlpm.MaxPts-_xlpm.PriorEnrolled),IF(OR(_xlpm.ActDate="",EOMONTH(D$5,0)&lt;_xlpm.StartDate,_xlpm.Remaining&lt;=0),0,MIN(_xlpm.MonthlyEnroll,_xlpm.Remaining))),0))</f>
        <v/>
      </c>
      <c r="E52" s="9" t="str">
        <f>IF($B52="","",IFERROR(_xlfn.LET(_xlpm.Site,$B52,_xlpm.ActDate,_xlfn.XLOOKUP(_xlpm.Site,tblSites[Monthly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52:INDEX($1:$1048576,ROW(),COLUMN()-1))),_xlpm.Remaining,MAX(0,_xlpm.MaxPts-_xlpm.PriorEnrolled),IF(OR(_xlpm.ActDate="",EOMONTH(E$5,0)&lt;_xlpm.StartDate,_xlpm.Remaining&lt;=0),0,MIN(_xlpm.MonthlyEnroll,_xlpm.Remaining))),0))</f>
        <v/>
      </c>
      <c r="F52" s="9" t="str">
        <f>IF($B52="","",IFERROR(_xlfn.LET(_xlpm.Site,$B52,_xlpm.ActDate,_xlfn.XLOOKUP(_xlpm.Site,tblSites[Site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52:INDEX($1:$1048576,ROW(),COLUMN()-1))),_xlpm.Remaining,MAX(0,_xlpm.MaxPts-_xlpm.PriorEnrolled),IF(OR(_xlpm.ActDate="",EOMONTH(F$5,0)&lt;_xlpm.StartDate,_xlpm.Remaining&lt;=0),0,MIN(_xlpm.MonthlyEnroll,_xlpm.Remaining))),0))</f>
        <v/>
      </c>
      <c r="G52" s="9" t="str">
        <f>IF($B52="","",IFERROR(_xlfn.LET(_xlpm.Site,$B52,_xlpm.ActDate,_xlfn.XLOOKUP(_xlpm.Site,tblSites[Max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52:INDEX($1:$1048576,ROW(),COLUMN()-1))),_xlpm.Remaining,MAX(0,_xlpm.MaxPts-_xlpm.PriorEnrolled),IF(OR(_xlpm.ActDate="",EOMONTH(G$5,0)&lt;_xlpm.StartDate,_xlpm.Remaining&lt;=0),0,MIN(_xlpm.MonthlyEnroll,_xlpm.Remaining))),0))</f>
        <v/>
      </c>
      <c r="H52" s="9" t="str">
        <f>IF($B52="","",IFERROR(_xlfn.LET(_xlpm.Site,$B52,_xlpm.ActDate,_xlfn.XLOOKUP(_xlpm.Site,tblSites[Current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52:INDEX($1:$1048576,ROW(),COLUMN()-1))),_xlpm.Remaining,MAX(0,_xlpm.MaxPts-_xlpm.PriorEnrolled),IF(OR(_xlpm.ActDate="",EOMONTH(H$5,0)&lt;_xlpm.StartDate,_xlpm.Remaining&lt;=0),0,MIN(_xlpm.MonthlyEnroll,_xlpm.Remaining))),0))</f>
        <v/>
      </c>
      <c r="I52" s="9" t="str">
        <f>IF($B52="","",IFERROR(_xlfn.LET(_xlpm.Site,$B52,_xlpm.ActDate,_xlfn.XLOOKUP(_xlpm.Site,tblSites[Include?],tblSites[Scenario?],""),_xlpm.ScreenDays,N('Study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52:INDEX($1:$1048576,ROW(),COLUMN()-1))),_xlpm.Remaining,MAX(0,_xlpm.MaxPts-_xlpm.PriorEnrolled),IF(OR(_xlpm.ActDate="",EOMONTH(I$5,0)&lt;_xlpm.StartDate,_xlpm.Remaining&lt;=0),0,MIN(_xlpm.MonthlyEnroll,_xlpm.Remaining))),0))</f>
        <v/>
      </c>
      <c r="J52" s="9" t="str">
        <f>IF($B52="","",IFERROR(_xlfn.LET(_xlpm.Site,$B52,_xlpm.ActDate,_xlfn.XLOOKUP(_xlpm.Site,tblSites[Scenario?],tblSites[Check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52:INDEX($1:$1048576,ROW(),COLUMN()-1))),_xlpm.Remaining,MAX(0,_xlpm.MaxPts-_xlpm.PriorEnrolled),IF(OR(_xlpm.ActDate="",EOMONTH(J$5,0)&lt;_xlpm.StartDate,_xlpm.Remaining&lt;=0),0,MIN(_xlpm.MonthlyEnroll,_xlpm.Remaining))),0))</f>
        <v/>
      </c>
      <c r="K52" s="9" t="str">
        <f>IF($B52="","",IFERROR(_xlfn.LET(_xlpm.Site,$B52,_xlpm.ActDate,_xlfn.XLOOKUP(_xlpm.Site,tblSites[Check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52:INDEX($1:$1048576,ROW(),COLUMN()-1))),_xlpm.Remaining,MAX(0,_xlpm.MaxPts-_xlpm.PriorEnrolled),IF(OR(_xlpm.ActDate="",EOMONTH(K$5,0)&lt;_xlpm.StartDate,_xlpm.Remaining&lt;=0),0,MIN(_xlpm.MonthlyEnroll,_xlpm.Remaining))),0))</f>
        <v/>
      </c>
      <c r="L52" s="9" t="str">
        <f>IF($B52="","",IFERROR(_xlfn.LET(_xlpm.Site,$B52,_xlpm.ActDate,_xlfn.XLOOKUP(_xlpm.Site,tblSites[Site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52:INDEX($1:$1048576,ROW(),COLUMN()-1))),_xlpm.Remaining,MAX(0,_xlpm.MaxPts-_xlpm.PriorEnrolled),IF(OR(_xlpm.ActDate="",EOMONTH(L$5,0)&lt;_xlpm.StartDate,_xlpm.Remaining&lt;=0),0,MIN(_xlpm.MonthlyEnroll,_xlpm.Remaining))),0))</f>
        <v/>
      </c>
      <c r="M52" s="9" t="str">
        <f>IF($B52="","",IFERROR(_xlfn.LET(_xlpm.Site,$B52,_xlpm.ActDate,_xlfn.XLOOKUP(_xlpm.Site,#REF!,tblSites[Country],""),_xlpm.ScreenDays,N('Study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52:INDEX($1:$1048576,ROW(),COLUMN()-1))),_xlpm.Remaining,MAX(0,_xlpm.MaxPts-_xlpm.PriorEnrolled),IF(OR(_xlpm.ActDate="",EOMONTH(M$5,0)&lt;_xlpm.StartDate,_xlpm.Remaining&lt;=0),0,MIN(_xlpm.MonthlyEnroll,_xlpm.Remaining))),0))</f>
        <v/>
      </c>
      <c r="N52" s="9" t="str">
        <f>IF($B52="","",IFERROR(_xlfn.LET(_xlpm.Site,$B52,_xlpm.ActDate,_xlfn.XLOOKUP(_xlpm.Site,tblSites[Country],tblSites[Site],""),_xlpm.ScreenDays,N('Study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52:INDEX($1:$1048576,ROW(),COLUMN()-1))),_xlpm.Remaining,MAX(0,_xlpm.MaxPts-_xlpm.PriorEnrolled),IF(OR(_xlpm.ActDate="",EOMONTH(N$5,0)&lt;_xlpm.StartDate,_xlpm.Remaining&lt;=0),0,MIN(_xlpm.MonthlyEnroll,_xlpm.Remaining))),0))</f>
        <v/>
      </c>
      <c r="O52" s="9" t="str">
        <f>IF($B52="","",IFERROR(_xlfn.LET(_xlpm.Site,$B52,_xlpm.ActDate,_xlfn.XLOOKUP(_xlpm.Site,tblSites[Site],tblSites[Site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52:INDEX($1:$1048576,ROW(),COLUMN()-1))),_xlpm.Remaining,MAX(0,_xlpm.MaxPts-_xlpm.PriorEnrolled),IF(OR(_xlpm.ActDate="",EOMONTH(O$5,0)&lt;_xlpm.StartDate,_xlpm.Remaining&lt;=0),0,MIN(_xlpm.MonthlyEnroll,_xlpm.Remaining))),0))</f>
        <v/>
      </c>
      <c r="P52" s="9" t="str">
        <f>IF($B52="","",IFERROR(_xlfn.LET(_xlpm.Site,$B52,_xlpm.ActDate,_xlfn.XLOOKUP(_xlpm.Site,tblSites[Site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52:INDEX($1:$1048576,ROW(),COLUMN()-1))),_xlpm.Remaining,MAX(0,_xlpm.MaxPts-_xlpm.PriorEnrolled),IF(OR(_xlpm.ActDate="",EOMONTH(P$5,0)&lt;_xlpm.StartDate,_xlpm.Remaining&lt;=0),0,MIN(_xlpm.MonthlyEnroll,_xlpm.Remaining))),0))</f>
        <v/>
      </c>
      <c r="Q52" s="9" t="str">
        <f>IF($B52="","",IFERROR(_xlfn.LET(_xlpm.Site,$B52,_xlpm.ActDate,_xlfn.XLOOKUP(_xlpm.Site,tblSites[Monthly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52:INDEX($1:$1048576,ROW(),COLUMN()-1))),_xlpm.Remaining,MAX(0,_xlpm.MaxPts-_xlpm.PriorEnrolled),IF(OR(_xlpm.ActDate="",EOMONTH(Q$5,0)&lt;_xlpm.StartDate,_xlpm.Remaining&lt;=0),0,MIN(_xlpm.MonthlyEnroll,_xlpm.Remaining))),0))</f>
        <v/>
      </c>
      <c r="R52" s="9" t="str">
        <f>IF($B52="","",IFERROR(_xlfn.LET(_xlpm.Site,$B52,_xlpm.ActDate,_xlfn.XLOOKUP(_xlpm.Site,tblSites[Site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52:INDEX($1:$1048576,ROW(),COLUMN()-1))),_xlpm.Remaining,MAX(0,_xlpm.MaxPts-_xlpm.PriorEnrolled),IF(OR(_xlpm.ActDate="",EOMONTH(R$5,0)&lt;_xlpm.StartDate,_xlpm.Remaining&lt;=0),0,MIN(_xlpm.MonthlyEnroll,_xlpm.Remaining))),0))</f>
        <v/>
      </c>
      <c r="S52" s="9" t="str">
        <f>IF($B52="","",IFERROR(_xlfn.LET(_xlpm.Site,$B52,_xlpm.ActDate,_xlfn.XLOOKUP(_xlpm.Site,tblSites[Max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52:INDEX($1:$1048576,ROW(),COLUMN()-1))),_xlpm.Remaining,MAX(0,_xlpm.MaxPts-_xlpm.PriorEnrolled),IF(OR(_xlpm.ActDate="",EOMONTH(S$5,0)&lt;_xlpm.StartDate,_xlpm.Remaining&lt;=0),0,MIN(_xlpm.MonthlyEnroll,_xlpm.Remaining))),0))</f>
        <v/>
      </c>
      <c r="T52" s="9" t="str">
        <f>IF($B52="","",IFERROR(_xlfn.LET(_xlpm.Site,$B52,_xlpm.ActDate,_xlfn.XLOOKUP(_xlpm.Site,tblSites[Current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52:INDEX($1:$1048576,ROW(),COLUMN()-1))),_xlpm.Remaining,MAX(0,_xlpm.MaxPts-_xlpm.PriorEnrolled),IF(OR(_xlpm.ActDate="",EOMONTH(T$5,0)&lt;_xlpm.StartDate,_xlpm.Remaining&lt;=0),0,MIN(_xlpm.MonthlyEnroll,_xlpm.Remaining))),0))</f>
        <v/>
      </c>
      <c r="U52" s="9" t="str">
        <f>IF($B52="","",IFERROR(_xlfn.LET(_xlpm.Site,$B52,_xlpm.ActDate,_xlfn.XLOOKUP(_xlpm.Site,tblSites[Include?],tblSites[Scenario?],""),_xlpm.ScreenDays,N('Study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52:INDEX($1:$1048576,ROW(),COLUMN()-1))),_xlpm.Remaining,MAX(0,_xlpm.MaxPts-_xlpm.PriorEnrolled),IF(OR(_xlpm.ActDate="",EOMONTH(U$5,0)&lt;_xlpm.StartDate,_xlpm.Remaining&lt;=0),0,MIN(_xlpm.MonthlyEnroll,_xlpm.Remaining))),0))</f>
        <v/>
      </c>
      <c r="V52" s="9" t="str">
        <f>IF($B52="","",IFERROR(_xlfn.LET(_xlpm.Site,$B52,_xlpm.ActDate,_xlfn.XLOOKUP(_xlpm.Site,tblSites[Scenario?],tblSites[Check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52:INDEX($1:$1048576,ROW(),COLUMN()-1))),_xlpm.Remaining,MAX(0,_xlpm.MaxPts-_xlpm.PriorEnrolled),IF(OR(_xlpm.ActDate="",EOMONTH(V$5,0)&lt;_xlpm.StartDate,_xlpm.Remaining&lt;=0),0,MIN(_xlpm.MonthlyEnroll,_xlpm.Remaining))),0))</f>
        <v/>
      </c>
      <c r="W52" s="9" t="str">
        <f>IF($B52="","",IFERROR(_xlfn.LET(_xlpm.Site,$B52,_xlpm.ActDate,_xlfn.XLOOKUP(_xlpm.Site,tblSites[Check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52:INDEX($1:$1048576,ROW(),COLUMN()-1))),_xlpm.Remaining,MAX(0,_xlpm.MaxPts-_xlpm.PriorEnrolled),IF(OR(_xlpm.ActDate="",EOMONTH(W$5,0)&lt;_xlpm.StartDate,_xlpm.Remaining&lt;=0),0,MIN(_xlpm.MonthlyEnroll,_xlpm.Remaining))),0))</f>
        <v/>
      </c>
      <c r="X52" s="9" t="str">
        <f>IF($B52="","",IFERROR(_xlfn.LET(_xlpm.Site,$B52,_xlpm.ActDate,_xlfn.XLOOKUP(_xlpm.Site,tblSites[Site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52:INDEX($1:$1048576,ROW(),COLUMN()-1))),_xlpm.Remaining,MAX(0,_xlpm.MaxPts-_xlpm.PriorEnrolled),IF(OR(_xlpm.ActDate="",EOMONTH(X$5,0)&lt;_xlpm.StartDate,_xlpm.Remaining&lt;=0),0,MIN(_xlpm.MonthlyEnroll,_xlpm.Remaining))),0))</f>
        <v/>
      </c>
      <c r="Y52" s="9" t="str">
        <f>IF($B52="","",IFERROR(_xlfn.LET(_xlpm.Site,$B52,_xlpm.ActDate,_xlfn.XLOOKUP(_xlpm.Site,#REF!,tblSites[Country],""),_xlpm.ScreenDays,N('Study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52:INDEX($1:$1048576,ROW(),COLUMN()-1))),_xlpm.Remaining,MAX(0,_xlpm.MaxPts-_xlpm.PriorEnrolled),IF(OR(_xlpm.ActDate="",EOMONTH(Y$5,0)&lt;_xlpm.StartDate,_xlpm.Remaining&lt;=0),0,MIN(_xlpm.MonthlyEnroll,_xlpm.Remaining))),0))</f>
        <v/>
      </c>
      <c r="Z52" s="9" t="str">
        <f>IF($B52="","",IFERROR(_xlfn.LET(_xlpm.Site,$B52,_xlpm.ActDate,_xlfn.XLOOKUP(_xlpm.Site,tblSites[Country],tblSites[Site],""),_xlpm.ScreenDays,N('Study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52:INDEX($1:$1048576,ROW(),COLUMN()-1))),_xlpm.Remaining,MAX(0,_xlpm.MaxPts-_xlpm.PriorEnrolled),IF(OR(_xlpm.ActDate="",EOMONTH(Z$5,0)&lt;_xlpm.StartDate,_xlpm.Remaining&lt;=0),0,MIN(_xlpm.MonthlyEnroll,_xlpm.Remaining))),0))</f>
        <v/>
      </c>
      <c r="AA52" s="9" t="str">
        <f>IF($B52="","",IFERROR(_xlfn.LET(_xlpm.Site,$B52,_xlpm.ActDate,_xlfn.XLOOKUP(_xlpm.Site,tblSites[Site],tblSites[Site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52:INDEX($1:$1048576,ROW(),COLUMN()-1))),_xlpm.Remaining,MAX(0,_xlpm.MaxPts-_xlpm.PriorEnrolled),IF(OR(_xlpm.ActDate="",EOMONTH(AA$5,0)&lt;_xlpm.StartDate,_xlpm.Remaining&lt;=0),0,MIN(_xlpm.MonthlyEnroll,_xlpm.Remaining))),0))</f>
        <v/>
      </c>
      <c r="AB52" s="9" t="str">
        <f>IF($B52="","",IFERROR(_xlfn.LET(_xlpm.Site,$B52,_xlpm.ActDate,_xlfn.XLOOKUP(_xlpm.Site,tblSites[Site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52:INDEX($1:$1048576,ROW(),COLUMN()-1))),_xlpm.Remaining,MAX(0,_xlpm.MaxPts-_xlpm.PriorEnrolled),IF(OR(_xlpm.ActDate="",EOMONTH(AB$5,0)&lt;_xlpm.StartDate,_xlpm.Remaining&lt;=0),0,MIN(_xlpm.MonthlyEnroll,_xlpm.Remaining))),0))</f>
        <v/>
      </c>
      <c r="AC52" s="9" t="str">
        <f>IF($B52="","",IFERROR(_xlfn.LET(_xlpm.Site,$B52,_xlpm.ActDate,_xlfn.XLOOKUP(_xlpm.Site,tblSites[Monthly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52:INDEX($1:$1048576,ROW(),COLUMN()-1))),_xlpm.Remaining,MAX(0,_xlpm.MaxPts-_xlpm.PriorEnrolled),IF(OR(_xlpm.ActDate="",EOMONTH(AC$5,0)&lt;_xlpm.StartDate,_xlpm.Remaining&lt;=0),0,MIN(_xlpm.MonthlyEnroll,_xlpm.Remaining))),0))</f>
        <v/>
      </c>
    </row>
    <row r="53" spans="3:29" x14ac:dyDescent="0.25">
      <c r="C53" s="9" cm="1">
        <f t="array" aca="1" ref="C53" ca="1">IF(C$5&lt;=TODAY(),0,IF($B53="","",IFERROR(_xlfn.LET(_xlpm.Site,$B53,_xlpm.SiteCol,INDIRECT("tblSites[Site]"),_xlpm.ActCol,INDIRECT("tblSites[Site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3" s="9" t="str">
        <f>IF($B53="","",IFERROR(_xlfn.LET(_xlpm.Site,$B53,_xlpm.ActDate,_xlfn.XLOOKUP(_xlpm.Site,tblSites[Site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53:INDEX($1:$1048576,ROW(),COLUMN()-1))),_xlpm.Remaining,MAX(0,_xlpm.MaxPts-_xlpm.PriorEnrolled),IF(OR(_xlpm.ActDate="",EOMONTH(D$5,0)&lt;_xlpm.StartDate,_xlpm.Remaining&lt;=0),0,MIN(_xlpm.MonthlyEnroll,_xlpm.Remaining))),0))</f>
        <v/>
      </c>
      <c r="E53" s="9" t="str">
        <f>IF($B53="","",IFERROR(_xlfn.LET(_xlpm.Site,$B53,_xlpm.ActDate,_xlfn.XLOOKUP(_xlpm.Site,tblSites[Monthly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53:INDEX($1:$1048576,ROW(),COLUMN()-1))),_xlpm.Remaining,MAX(0,_xlpm.MaxPts-_xlpm.PriorEnrolled),IF(OR(_xlpm.ActDate="",EOMONTH(E$5,0)&lt;_xlpm.StartDate,_xlpm.Remaining&lt;=0),0,MIN(_xlpm.MonthlyEnroll,_xlpm.Remaining))),0))</f>
        <v/>
      </c>
      <c r="F53" s="9" t="str">
        <f>IF($B53="","",IFERROR(_xlfn.LET(_xlpm.Site,$B53,_xlpm.ActDate,_xlfn.XLOOKUP(_xlpm.Site,tblSites[Site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53:INDEX($1:$1048576,ROW(),COLUMN()-1))),_xlpm.Remaining,MAX(0,_xlpm.MaxPts-_xlpm.PriorEnrolled),IF(OR(_xlpm.ActDate="",EOMONTH(F$5,0)&lt;_xlpm.StartDate,_xlpm.Remaining&lt;=0),0,MIN(_xlpm.MonthlyEnroll,_xlpm.Remaining))),0))</f>
        <v/>
      </c>
      <c r="G53" s="9" t="str">
        <f>IF($B53="","",IFERROR(_xlfn.LET(_xlpm.Site,$B53,_xlpm.ActDate,_xlfn.XLOOKUP(_xlpm.Site,tblSites[Max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53:INDEX($1:$1048576,ROW(),COLUMN()-1))),_xlpm.Remaining,MAX(0,_xlpm.MaxPts-_xlpm.PriorEnrolled),IF(OR(_xlpm.ActDate="",EOMONTH(G$5,0)&lt;_xlpm.StartDate,_xlpm.Remaining&lt;=0),0,MIN(_xlpm.MonthlyEnroll,_xlpm.Remaining))),0))</f>
        <v/>
      </c>
      <c r="H53" s="9" t="str">
        <f>IF($B53="","",IFERROR(_xlfn.LET(_xlpm.Site,$B53,_xlpm.ActDate,_xlfn.XLOOKUP(_xlpm.Site,tblSites[Current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53:INDEX($1:$1048576,ROW(),COLUMN()-1))),_xlpm.Remaining,MAX(0,_xlpm.MaxPts-_xlpm.PriorEnrolled),IF(OR(_xlpm.ActDate="",EOMONTH(H$5,0)&lt;_xlpm.StartDate,_xlpm.Remaining&lt;=0),0,MIN(_xlpm.MonthlyEnroll,_xlpm.Remaining))),0))</f>
        <v/>
      </c>
      <c r="I53" s="9" t="str">
        <f>IF($B53="","",IFERROR(_xlfn.LET(_xlpm.Site,$B53,_xlpm.ActDate,_xlfn.XLOOKUP(_xlpm.Site,tblSites[Include?],tblSites[Scenario?],""),_xlpm.ScreenDays,N('Study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53:INDEX($1:$1048576,ROW(),COLUMN()-1))),_xlpm.Remaining,MAX(0,_xlpm.MaxPts-_xlpm.PriorEnrolled),IF(OR(_xlpm.ActDate="",EOMONTH(I$5,0)&lt;_xlpm.StartDate,_xlpm.Remaining&lt;=0),0,MIN(_xlpm.MonthlyEnroll,_xlpm.Remaining))),0))</f>
        <v/>
      </c>
      <c r="J53" s="9" t="str">
        <f>IF($B53="","",IFERROR(_xlfn.LET(_xlpm.Site,$B53,_xlpm.ActDate,_xlfn.XLOOKUP(_xlpm.Site,tblSites[Scenario?],tblSites[Check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53:INDEX($1:$1048576,ROW(),COLUMN()-1))),_xlpm.Remaining,MAX(0,_xlpm.MaxPts-_xlpm.PriorEnrolled),IF(OR(_xlpm.ActDate="",EOMONTH(J$5,0)&lt;_xlpm.StartDate,_xlpm.Remaining&lt;=0),0,MIN(_xlpm.MonthlyEnroll,_xlpm.Remaining))),0))</f>
        <v/>
      </c>
      <c r="K53" s="9" t="str">
        <f>IF($B53="","",IFERROR(_xlfn.LET(_xlpm.Site,$B53,_xlpm.ActDate,_xlfn.XLOOKUP(_xlpm.Site,tblSites[Check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53:INDEX($1:$1048576,ROW(),COLUMN()-1))),_xlpm.Remaining,MAX(0,_xlpm.MaxPts-_xlpm.PriorEnrolled),IF(OR(_xlpm.ActDate="",EOMONTH(K$5,0)&lt;_xlpm.StartDate,_xlpm.Remaining&lt;=0),0,MIN(_xlpm.MonthlyEnroll,_xlpm.Remaining))),0))</f>
        <v/>
      </c>
      <c r="L53" s="9" t="str">
        <f>IF($B53="","",IFERROR(_xlfn.LET(_xlpm.Site,$B53,_xlpm.ActDate,_xlfn.XLOOKUP(_xlpm.Site,tblSites[Site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53:INDEX($1:$1048576,ROW(),COLUMN()-1))),_xlpm.Remaining,MAX(0,_xlpm.MaxPts-_xlpm.PriorEnrolled),IF(OR(_xlpm.ActDate="",EOMONTH(L$5,0)&lt;_xlpm.StartDate,_xlpm.Remaining&lt;=0),0,MIN(_xlpm.MonthlyEnroll,_xlpm.Remaining))),0))</f>
        <v/>
      </c>
      <c r="M53" s="9" t="str">
        <f>IF($B53="","",IFERROR(_xlfn.LET(_xlpm.Site,$B53,_xlpm.ActDate,_xlfn.XLOOKUP(_xlpm.Site,#REF!,tblSites[Country],""),_xlpm.ScreenDays,N('Study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53:INDEX($1:$1048576,ROW(),COLUMN()-1))),_xlpm.Remaining,MAX(0,_xlpm.MaxPts-_xlpm.PriorEnrolled),IF(OR(_xlpm.ActDate="",EOMONTH(M$5,0)&lt;_xlpm.StartDate,_xlpm.Remaining&lt;=0),0,MIN(_xlpm.MonthlyEnroll,_xlpm.Remaining))),0))</f>
        <v/>
      </c>
      <c r="N53" s="9" t="str">
        <f>IF($B53="","",IFERROR(_xlfn.LET(_xlpm.Site,$B53,_xlpm.ActDate,_xlfn.XLOOKUP(_xlpm.Site,tblSites[Country],tblSites[Site],""),_xlpm.ScreenDays,N('Study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53:INDEX($1:$1048576,ROW(),COLUMN()-1))),_xlpm.Remaining,MAX(0,_xlpm.MaxPts-_xlpm.PriorEnrolled),IF(OR(_xlpm.ActDate="",EOMONTH(N$5,0)&lt;_xlpm.StartDate,_xlpm.Remaining&lt;=0),0,MIN(_xlpm.MonthlyEnroll,_xlpm.Remaining))),0))</f>
        <v/>
      </c>
      <c r="O53" s="9" t="str">
        <f>IF($B53="","",IFERROR(_xlfn.LET(_xlpm.Site,$B53,_xlpm.ActDate,_xlfn.XLOOKUP(_xlpm.Site,tblSites[Site],tblSites[Site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53:INDEX($1:$1048576,ROW(),COLUMN()-1))),_xlpm.Remaining,MAX(0,_xlpm.MaxPts-_xlpm.PriorEnrolled),IF(OR(_xlpm.ActDate="",EOMONTH(O$5,0)&lt;_xlpm.StartDate,_xlpm.Remaining&lt;=0),0,MIN(_xlpm.MonthlyEnroll,_xlpm.Remaining))),0))</f>
        <v/>
      </c>
      <c r="P53" s="9" t="str">
        <f>IF($B53="","",IFERROR(_xlfn.LET(_xlpm.Site,$B53,_xlpm.ActDate,_xlfn.XLOOKUP(_xlpm.Site,tblSites[Site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53:INDEX($1:$1048576,ROW(),COLUMN()-1))),_xlpm.Remaining,MAX(0,_xlpm.MaxPts-_xlpm.PriorEnrolled),IF(OR(_xlpm.ActDate="",EOMONTH(P$5,0)&lt;_xlpm.StartDate,_xlpm.Remaining&lt;=0),0,MIN(_xlpm.MonthlyEnroll,_xlpm.Remaining))),0))</f>
        <v/>
      </c>
      <c r="Q53" s="9" t="str">
        <f>IF($B53="","",IFERROR(_xlfn.LET(_xlpm.Site,$B53,_xlpm.ActDate,_xlfn.XLOOKUP(_xlpm.Site,tblSites[Monthly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53:INDEX($1:$1048576,ROW(),COLUMN()-1))),_xlpm.Remaining,MAX(0,_xlpm.MaxPts-_xlpm.PriorEnrolled),IF(OR(_xlpm.ActDate="",EOMONTH(Q$5,0)&lt;_xlpm.StartDate,_xlpm.Remaining&lt;=0),0,MIN(_xlpm.MonthlyEnroll,_xlpm.Remaining))),0))</f>
        <v/>
      </c>
      <c r="R53" s="9" t="str">
        <f>IF($B53="","",IFERROR(_xlfn.LET(_xlpm.Site,$B53,_xlpm.ActDate,_xlfn.XLOOKUP(_xlpm.Site,tblSites[Site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53:INDEX($1:$1048576,ROW(),COLUMN()-1))),_xlpm.Remaining,MAX(0,_xlpm.MaxPts-_xlpm.PriorEnrolled),IF(OR(_xlpm.ActDate="",EOMONTH(R$5,0)&lt;_xlpm.StartDate,_xlpm.Remaining&lt;=0),0,MIN(_xlpm.MonthlyEnroll,_xlpm.Remaining))),0))</f>
        <v/>
      </c>
      <c r="S53" s="9" t="str">
        <f>IF($B53="","",IFERROR(_xlfn.LET(_xlpm.Site,$B53,_xlpm.ActDate,_xlfn.XLOOKUP(_xlpm.Site,tblSites[Max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53:INDEX($1:$1048576,ROW(),COLUMN()-1))),_xlpm.Remaining,MAX(0,_xlpm.MaxPts-_xlpm.PriorEnrolled),IF(OR(_xlpm.ActDate="",EOMONTH(S$5,0)&lt;_xlpm.StartDate,_xlpm.Remaining&lt;=0),0,MIN(_xlpm.MonthlyEnroll,_xlpm.Remaining))),0))</f>
        <v/>
      </c>
      <c r="T53" s="9" t="str">
        <f>IF($B53="","",IFERROR(_xlfn.LET(_xlpm.Site,$B53,_xlpm.ActDate,_xlfn.XLOOKUP(_xlpm.Site,tblSites[Current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53:INDEX($1:$1048576,ROW(),COLUMN()-1))),_xlpm.Remaining,MAX(0,_xlpm.MaxPts-_xlpm.PriorEnrolled),IF(OR(_xlpm.ActDate="",EOMONTH(T$5,0)&lt;_xlpm.StartDate,_xlpm.Remaining&lt;=0),0,MIN(_xlpm.MonthlyEnroll,_xlpm.Remaining))),0))</f>
        <v/>
      </c>
      <c r="U53" s="9" t="str">
        <f>IF($B53="","",IFERROR(_xlfn.LET(_xlpm.Site,$B53,_xlpm.ActDate,_xlfn.XLOOKUP(_xlpm.Site,tblSites[Include?],tblSites[Scenario?],""),_xlpm.ScreenDays,N('Study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53:INDEX($1:$1048576,ROW(),COLUMN()-1))),_xlpm.Remaining,MAX(0,_xlpm.MaxPts-_xlpm.PriorEnrolled),IF(OR(_xlpm.ActDate="",EOMONTH(U$5,0)&lt;_xlpm.StartDate,_xlpm.Remaining&lt;=0),0,MIN(_xlpm.MonthlyEnroll,_xlpm.Remaining))),0))</f>
        <v/>
      </c>
      <c r="V53" s="9" t="str">
        <f>IF($B53="","",IFERROR(_xlfn.LET(_xlpm.Site,$B53,_xlpm.ActDate,_xlfn.XLOOKUP(_xlpm.Site,tblSites[Scenario?],tblSites[Check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53:INDEX($1:$1048576,ROW(),COLUMN()-1))),_xlpm.Remaining,MAX(0,_xlpm.MaxPts-_xlpm.PriorEnrolled),IF(OR(_xlpm.ActDate="",EOMONTH(V$5,0)&lt;_xlpm.StartDate,_xlpm.Remaining&lt;=0),0,MIN(_xlpm.MonthlyEnroll,_xlpm.Remaining))),0))</f>
        <v/>
      </c>
      <c r="W53" s="9" t="str">
        <f>IF($B53="","",IFERROR(_xlfn.LET(_xlpm.Site,$B53,_xlpm.ActDate,_xlfn.XLOOKUP(_xlpm.Site,tblSites[Check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53:INDEX($1:$1048576,ROW(),COLUMN()-1))),_xlpm.Remaining,MAX(0,_xlpm.MaxPts-_xlpm.PriorEnrolled),IF(OR(_xlpm.ActDate="",EOMONTH(W$5,0)&lt;_xlpm.StartDate,_xlpm.Remaining&lt;=0),0,MIN(_xlpm.MonthlyEnroll,_xlpm.Remaining))),0))</f>
        <v/>
      </c>
      <c r="X53" s="9" t="str">
        <f>IF($B53="","",IFERROR(_xlfn.LET(_xlpm.Site,$B53,_xlpm.ActDate,_xlfn.XLOOKUP(_xlpm.Site,tblSites[Site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53:INDEX($1:$1048576,ROW(),COLUMN()-1))),_xlpm.Remaining,MAX(0,_xlpm.MaxPts-_xlpm.PriorEnrolled),IF(OR(_xlpm.ActDate="",EOMONTH(X$5,0)&lt;_xlpm.StartDate,_xlpm.Remaining&lt;=0),0,MIN(_xlpm.MonthlyEnroll,_xlpm.Remaining))),0))</f>
        <v/>
      </c>
      <c r="Y53" s="9" t="str">
        <f>IF($B53="","",IFERROR(_xlfn.LET(_xlpm.Site,$B53,_xlpm.ActDate,_xlfn.XLOOKUP(_xlpm.Site,#REF!,tblSites[Country],""),_xlpm.ScreenDays,N('Study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53:INDEX($1:$1048576,ROW(),COLUMN()-1))),_xlpm.Remaining,MAX(0,_xlpm.MaxPts-_xlpm.PriorEnrolled),IF(OR(_xlpm.ActDate="",EOMONTH(Y$5,0)&lt;_xlpm.StartDate,_xlpm.Remaining&lt;=0),0,MIN(_xlpm.MonthlyEnroll,_xlpm.Remaining))),0))</f>
        <v/>
      </c>
      <c r="Z53" s="9" t="str">
        <f>IF($B53="","",IFERROR(_xlfn.LET(_xlpm.Site,$B53,_xlpm.ActDate,_xlfn.XLOOKUP(_xlpm.Site,tblSites[Country],tblSites[Site],""),_xlpm.ScreenDays,N('Study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53:INDEX($1:$1048576,ROW(),COLUMN()-1))),_xlpm.Remaining,MAX(0,_xlpm.MaxPts-_xlpm.PriorEnrolled),IF(OR(_xlpm.ActDate="",EOMONTH(Z$5,0)&lt;_xlpm.StartDate,_xlpm.Remaining&lt;=0),0,MIN(_xlpm.MonthlyEnroll,_xlpm.Remaining))),0))</f>
        <v/>
      </c>
      <c r="AA53" s="9" t="str">
        <f>IF($B53="","",IFERROR(_xlfn.LET(_xlpm.Site,$B53,_xlpm.ActDate,_xlfn.XLOOKUP(_xlpm.Site,tblSites[Site],tblSites[Site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53:INDEX($1:$1048576,ROW(),COLUMN()-1))),_xlpm.Remaining,MAX(0,_xlpm.MaxPts-_xlpm.PriorEnrolled),IF(OR(_xlpm.ActDate="",EOMONTH(AA$5,0)&lt;_xlpm.StartDate,_xlpm.Remaining&lt;=0),0,MIN(_xlpm.MonthlyEnroll,_xlpm.Remaining))),0))</f>
        <v/>
      </c>
      <c r="AB53" s="9" t="str">
        <f>IF($B53="","",IFERROR(_xlfn.LET(_xlpm.Site,$B53,_xlpm.ActDate,_xlfn.XLOOKUP(_xlpm.Site,tblSites[Site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53:INDEX($1:$1048576,ROW(),COLUMN()-1))),_xlpm.Remaining,MAX(0,_xlpm.MaxPts-_xlpm.PriorEnrolled),IF(OR(_xlpm.ActDate="",EOMONTH(AB$5,0)&lt;_xlpm.StartDate,_xlpm.Remaining&lt;=0),0,MIN(_xlpm.MonthlyEnroll,_xlpm.Remaining))),0))</f>
        <v/>
      </c>
      <c r="AC53" s="9" t="str">
        <f>IF($B53="","",IFERROR(_xlfn.LET(_xlpm.Site,$B53,_xlpm.ActDate,_xlfn.XLOOKUP(_xlpm.Site,tblSites[Monthly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53:INDEX($1:$1048576,ROW(),COLUMN()-1))),_xlpm.Remaining,MAX(0,_xlpm.MaxPts-_xlpm.PriorEnrolled),IF(OR(_xlpm.ActDate="",EOMONTH(AC$5,0)&lt;_xlpm.StartDate,_xlpm.Remaining&lt;=0),0,MIN(_xlpm.MonthlyEnroll,_xlpm.Remaining))),0))</f>
        <v/>
      </c>
    </row>
    <row r="54" spans="3:29" x14ac:dyDescent="0.25">
      <c r="C54" s="9" cm="1">
        <f t="array" aca="1" ref="C54" ca="1">IF(C$5&lt;=TODAY(),0,IF($B54="","",IFERROR(_xlfn.LET(_xlpm.Site,$B54,_xlpm.SiteCol,INDIRECT("tblSites[Site]"),_xlpm.ActCol,INDIRECT("tblSites[Site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4" s="9" t="str">
        <f>IF($B54="","",IFERROR(_xlfn.LET(_xlpm.Site,$B54,_xlpm.ActDate,_xlfn.XLOOKUP(_xlpm.Site,tblSites[Site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54:INDEX($1:$1048576,ROW(),COLUMN()-1))),_xlpm.Remaining,MAX(0,_xlpm.MaxPts-_xlpm.PriorEnrolled),IF(OR(_xlpm.ActDate="",EOMONTH(D$5,0)&lt;_xlpm.StartDate,_xlpm.Remaining&lt;=0),0,MIN(_xlpm.MonthlyEnroll,_xlpm.Remaining))),0))</f>
        <v/>
      </c>
      <c r="E54" s="9" t="str">
        <f>IF($B54="","",IFERROR(_xlfn.LET(_xlpm.Site,$B54,_xlpm.ActDate,_xlfn.XLOOKUP(_xlpm.Site,tblSites[Monthly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54:INDEX($1:$1048576,ROW(),COLUMN()-1))),_xlpm.Remaining,MAX(0,_xlpm.MaxPts-_xlpm.PriorEnrolled),IF(OR(_xlpm.ActDate="",EOMONTH(E$5,0)&lt;_xlpm.StartDate,_xlpm.Remaining&lt;=0),0,MIN(_xlpm.MonthlyEnroll,_xlpm.Remaining))),0))</f>
        <v/>
      </c>
      <c r="F54" s="9" t="str">
        <f>IF($B54="","",IFERROR(_xlfn.LET(_xlpm.Site,$B54,_xlpm.ActDate,_xlfn.XLOOKUP(_xlpm.Site,tblSites[Site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54:INDEX($1:$1048576,ROW(),COLUMN()-1))),_xlpm.Remaining,MAX(0,_xlpm.MaxPts-_xlpm.PriorEnrolled),IF(OR(_xlpm.ActDate="",EOMONTH(F$5,0)&lt;_xlpm.StartDate,_xlpm.Remaining&lt;=0),0,MIN(_xlpm.MonthlyEnroll,_xlpm.Remaining))),0))</f>
        <v/>
      </c>
      <c r="G54" s="9" t="str">
        <f>IF($B54="","",IFERROR(_xlfn.LET(_xlpm.Site,$B54,_xlpm.ActDate,_xlfn.XLOOKUP(_xlpm.Site,tblSites[Max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54:INDEX($1:$1048576,ROW(),COLUMN()-1))),_xlpm.Remaining,MAX(0,_xlpm.MaxPts-_xlpm.PriorEnrolled),IF(OR(_xlpm.ActDate="",EOMONTH(G$5,0)&lt;_xlpm.StartDate,_xlpm.Remaining&lt;=0),0,MIN(_xlpm.MonthlyEnroll,_xlpm.Remaining))),0))</f>
        <v/>
      </c>
      <c r="H54" s="9" t="str">
        <f>IF($B54="","",IFERROR(_xlfn.LET(_xlpm.Site,$B54,_xlpm.ActDate,_xlfn.XLOOKUP(_xlpm.Site,tblSites[Current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54:INDEX($1:$1048576,ROW(),COLUMN()-1))),_xlpm.Remaining,MAX(0,_xlpm.MaxPts-_xlpm.PriorEnrolled),IF(OR(_xlpm.ActDate="",EOMONTH(H$5,0)&lt;_xlpm.StartDate,_xlpm.Remaining&lt;=0),0,MIN(_xlpm.MonthlyEnroll,_xlpm.Remaining))),0))</f>
        <v/>
      </c>
      <c r="I54" s="9" t="str">
        <f>IF($B54="","",IFERROR(_xlfn.LET(_xlpm.Site,$B54,_xlpm.ActDate,_xlfn.XLOOKUP(_xlpm.Site,tblSites[Include?],tblSites[Scenario?],""),_xlpm.ScreenDays,N('Study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54:INDEX($1:$1048576,ROW(),COLUMN()-1))),_xlpm.Remaining,MAX(0,_xlpm.MaxPts-_xlpm.PriorEnrolled),IF(OR(_xlpm.ActDate="",EOMONTH(I$5,0)&lt;_xlpm.StartDate,_xlpm.Remaining&lt;=0),0,MIN(_xlpm.MonthlyEnroll,_xlpm.Remaining))),0))</f>
        <v/>
      </c>
      <c r="J54" s="9" t="str">
        <f>IF($B54="","",IFERROR(_xlfn.LET(_xlpm.Site,$B54,_xlpm.ActDate,_xlfn.XLOOKUP(_xlpm.Site,tblSites[Scenario?],tblSites[Check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54:INDEX($1:$1048576,ROW(),COLUMN()-1))),_xlpm.Remaining,MAX(0,_xlpm.MaxPts-_xlpm.PriorEnrolled),IF(OR(_xlpm.ActDate="",EOMONTH(J$5,0)&lt;_xlpm.StartDate,_xlpm.Remaining&lt;=0),0,MIN(_xlpm.MonthlyEnroll,_xlpm.Remaining))),0))</f>
        <v/>
      </c>
      <c r="K54" s="9" t="str">
        <f>IF($B54="","",IFERROR(_xlfn.LET(_xlpm.Site,$B54,_xlpm.ActDate,_xlfn.XLOOKUP(_xlpm.Site,tblSites[Check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54:INDEX($1:$1048576,ROW(),COLUMN()-1))),_xlpm.Remaining,MAX(0,_xlpm.MaxPts-_xlpm.PriorEnrolled),IF(OR(_xlpm.ActDate="",EOMONTH(K$5,0)&lt;_xlpm.StartDate,_xlpm.Remaining&lt;=0),0,MIN(_xlpm.MonthlyEnroll,_xlpm.Remaining))),0))</f>
        <v/>
      </c>
      <c r="L54" s="9" t="str">
        <f>IF($B54="","",IFERROR(_xlfn.LET(_xlpm.Site,$B54,_xlpm.ActDate,_xlfn.XLOOKUP(_xlpm.Site,tblSites[Site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54:INDEX($1:$1048576,ROW(),COLUMN()-1))),_xlpm.Remaining,MAX(0,_xlpm.MaxPts-_xlpm.PriorEnrolled),IF(OR(_xlpm.ActDate="",EOMONTH(L$5,0)&lt;_xlpm.StartDate,_xlpm.Remaining&lt;=0),0,MIN(_xlpm.MonthlyEnroll,_xlpm.Remaining))),0))</f>
        <v/>
      </c>
      <c r="M54" s="9" t="str">
        <f>IF($B54="","",IFERROR(_xlfn.LET(_xlpm.Site,$B54,_xlpm.ActDate,_xlfn.XLOOKUP(_xlpm.Site,#REF!,tblSites[Country],""),_xlpm.ScreenDays,N('Study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54:INDEX($1:$1048576,ROW(),COLUMN()-1))),_xlpm.Remaining,MAX(0,_xlpm.MaxPts-_xlpm.PriorEnrolled),IF(OR(_xlpm.ActDate="",EOMONTH(M$5,0)&lt;_xlpm.StartDate,_xlpm.Remaining&lt;=0),0,MIN(_xlpm.MonthlyEnroll,_xlpm.Remaining))),0))</f>
        <v/>
      </c>
      <c r="N54" s="9" t="str">
        <f>IF($B54="","",IFERROR(_xlfn.LET(_xlpm.Site,$B54,_xlpm.ActDate,_xlfn.XLOOKUP(_xlpm.Site,tblSites[Country],tblSites[Site],""),_xlpm.ScreenDays,N('Study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54:INDEX($1:$1048576,ROW(),COLUMN()-1))),_xlpm.Remaining,MAX(0,_xlpm.MaxPts-_xlpm.PriorEnrolled),IF(OR(_xlpm.ActDate="",EOMONTH(N$5,0)&lt;_xlpm.StartDate,_xlpm.Remaining&lt;=0),0,MIN(_xlpm.MonthlyEnroll,_xlpm.Remaining))),0))</f>
        <v/>
      </c>
      <c r="O54" s="9" t="str">
        <f>IF($B54="","",IFERROR(_xlfn.LET(_xlpm.Site,$B54,_xlpm.ActDate,_xlfn.XLOOKUP(_xlpm.Site,tblSites[Site],tblSites[Site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54:INDEX($1:$1048576,ROW(),COLUMN()-1))),_xlpm.Remaining,MAX(0,_xlpm.MaxPts-_xlpm.PriorEnrolled),IF(OR(_xlpm.ActDate="",EOMONTH(O$5,0)&lt;_xlpm.StartDate,_xlpm.Remaining&lt;=0),0,MIN(_xlpm.MonthlyEnroll,_xlpm.Remaining))),0))</f>
        <v/>
      </c>
      <c r="P54" s="9" t="str">
        <f>IF($B54="","",IFERROR(_xlfn.LET(_xlpm.Site,$B54,_xlpm.ActDate,_xlfn.XLOOKUP(_xlpm.Site,tblSites[Site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54:INDEX($1:$1048576,ROW(),COLUMN()-1))),_xlpm.Remaining,MAX(0,_xlpm.MaxPts-_xlpm.PriorEnrolled),IF(OR(_xlpm.ActDate="",EOMONTH(P$5,0)&lt;_xlpm.StartDate,_xlpm.Remaining&lt;=0),0,MIN(_xlpm.MonthlyEnroll,_xlpm.Remaining))),0))</f>
        <v/>
      </c>
      <c r="Q54" s="9" t="str">
        <f>IF($B54="","",IFERROR(_xlfn.LET(_xlpm.Site,$B54,_xlpm.ActDate,_xlfn.XLOOKUP(_xlpm.Site,tblSites[Monthly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54:INDEX($1:$1048576,ROW(),COLUMN()-1))),_xlpm.Remaining,MAX(0,_xlpm.MaxPts-_xlpm.PriorEnrolled),IF(OR(_xlpm.ActDate="",EOMONTH(Q$5,0)&lt;_xlpm.StartDate,_xlpm.Remaining&lt;=0),0,MIN(_xlpm.MonthlyEnroll,_xlpm.Remaining))),0))</f>
        <v/>
      </c>
      <c r="R54" s="9" t="str">
        <f>IF($B54="","",IFERROR(_xlfn.LET(_xlpm.Site,$B54,_xlpm.ActDate,_xlfn.XLOOKUP(_xlpm.Site,tblSites[Site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54:INDEX($1:$1048576,ROW(),COLUMN()-1))),_xlpm.Remaining,MAX(0,_xlpm.MaxPts-_xlpm.PriorEnrolled),IF(OR(_xlpm.ActDate="",EOMONTH(R$5,0)&lt;_xlpm.StartDate,_xlpm.Remaining&lt;=0),0,MIN(_xlpm.MonthlyEnroll,_xlpm.Remaining))),0))</f>
        <v/>
      </c>
      <c r="S54" s="9" t="str">
        <f>IF($B54="","",IFERROR(_xlfn.LET(_xlpm.Site,$B54,_xlpm.ActDate,_xlfn.XLOOKUP(_xlpm.Site,tblSites[Max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54:INDEX($1:$1048576,ROW(),COLUMN()-1))),_xlpm.Remaining,MAX(0,_xlpm.MaxPts-_xlpm.PriorEnrolled),IF(OR(_xlpm.ActDate="",EOMONTH(S$5,0)&lt;_xlpm.StartDate,_xlpm.Remaining&lt;=0),0,MIN(_xlpm.MonthlyEnroll,_xlpm.Remaining))),0))</f>
        <v/>
      </c>
      <c r="T54" s="9" t="str">
        <f>IF($B54="","",IFERROR(_xlfn.LET(_xlpm.Site,$B54,_xlpm.ActDate,_xlfn.XLOOKUP(_xlpm.Site,tblSites[Current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54:INDEX($1:$1048576,ROW(),COLUMN()-1))),_xlpm.Remaining,MAX(0,_xlpm.MaxPts-_xlpm.PriorEnrolled),IF(OR(_xlpm.ActDate="",EOMONTH(T$5,0)&lt;_xlpm.StartDate,_xlpm.Remaining&lt;=0),0,MIN(_xlpm.MonthlyEnroll,_xlpm.Remaining))),0))</f>
        <v/>
      </c>
      <c r="U54" s="9" t="str">
        <f>IF($B54="","",IFERROR(_xlfn.LET(_xlpm.Site,$B54,_xlpm.ActDate,_xlfn.XLOOKUP(_xlpm.Site,tblSites[Include?],tblSites[Scenario?],""),_xlpm.ScreenDays,N('Study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54:INDEX($1:$1048576,ROW(),COLUMN()-1))),_xlpm.Remaining,MAX(0,_xlpm.MaxPts-_xlpm.PriorEnrolled),IF(OR(_xlpm.ActDate="",EOMONTH(U$5,0)&lt;_xlpm.StartDate,_xlpm.Remaining&lt;=0),0,MIN(_xlpm.MonthlyEnroll,_xlpm.Remaining))),0))</f>
        <v/>
      </c>
      <c r="V54" s="9" t="str">
        <f>IF($B54="","",IFERROR(_xlfn.LET(_xlpm.Site,$B54,_xlpm.ActDate,_xlfn.XLOOKUP(_xlpm.Site,tblSites[Scenario?],tblSites[Check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54:INDEX($1:$1048576,ROW(),COLUMN()-1))),_xlpm.Remaining,MAX(0,_xlpm.MaxPts-_xlpm.PriorEnrolled),IF(OR(_xlpm.ActDate="",EOMONTH(V$5,0)&lt;_xlpm.StartDate,_xlpm.Remaining&lt;=0),0,MIN(_xlpm.MonthlyEnroll,_xlpm.Remaining))),0))</f>
        <v/>
      </c>
      <c r="W54" s="9" t="str">
        <f>IF($B54="","",IFERROR(_xlfn.LET(_xlpm.Site,$B54,_xlpm.ActDate,_xlfn.XLOOKUP(_xlpm.Site,tblSites[Check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54:INDEX($1:$1048576,ROW(),COLUMN()-1))),_xlpm.Remaining,MAX(0,_xlpm.MaxPts-_xlpm.PriorEnrolled),IF(OR(_xlpm.ActDate="",EOMONTH(W$5,0)&lt;_xlpm.StartDate,_xlpm.Remaining&lt;=0),0,MIN(_xlpm.MonthlyEnroll,_xlpm.Remaining))),0))</f>
        <v/>
      </c>
      <c r="X54" s="9" t="str">
        <f>IF($B54="","",IFERROR(_xlfn.LET(_xlpm.Site,$B54,_xlpm.ActDate,_xlfn.XLOOKUP(_xlpm.Site,tblSites[Site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54:INDEX($1:$1048576,ROW(),COLUMN()-1))),_xlpm.Remaining,MAX(0,_xlpm.MaxPts-_xlpm.PriorEnrolled),IF(OR(_xlpm.ActDate="",EOMONTH(X$5,0)&lt;_xlpm.StartDate,_xlpm.Remaining&lt;=0),0,MIN(_xlpm.MonthlyEnroll,_xlpm.Remaining))),0))</f>
        <v/>
      </c>
      <c r="Y54" s="9" t="str">
        <f>IF($B54="","",IFERROR(_xlfn.LET(_xlpm.Site,$B54,_xlpm.ActDate,_xlfn.XLOOKUP(_xlpm.Site,#REF!,tblSites[Country],""),_xlpm.ScreenDays,N('Study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54:INDEX($1:$1048576,ROW(),COLUMN()-1))),_xlpm.Remaining,MAX(0,_xlpm.MaxPts-_xlpm.PriorEnrolled),IF(OR(_xlpm.ActDate="",EOMONTH(Y$5,0)&lt;_xlpm.StartDate,_xlpm.Remaining&lt;=0),0,MIN(_xlpm.MonthlyEnroll,_xlpm.Remaining))),0))</f>
        <v/>
      </c>
      <c r="Z54" s="9" t="str">
        <f>IF($B54="","",IFERROR(_xlfn.LET(_xlpm.Site,$B54,_xlpm.ActDate,_xlfn.XLOOKUP(_xlpm.Site,tblSites[Country],tblSites[Site],""),_xlpm.ScreenDays,N('Study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54:INDEX($1:$1048576,ROW(),COLUMN()-1))),_xlpm.Remaining,MAX(0,_xlpm.MaxPts-_xlpm.PriorEnrolled),IF(OR(_xlpm.ActDate="",EOMONTH(Z$5,0)&lt;_xlpm.StartDate,_xlpm.Remaining&lt;=0),0,MIN(_xlpm.MonthlyEnroll,_xlpm.Remaining))),0))</f>
        <v/>
      </c>
      <c r="AA54" s="9" t="str">
        <f>IF($B54="","",IFERROR(_xlfn.LET(_xlpm.Site,$B54,_xlpm.ActDate,_xlfn.XLOOKUP(_xlpm.Site,tblSites[Site],tblSites[Site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54:INDEX($1:$1048576,ROW(),COLUMN()-1))),_xlpm.Remaining,MAX(0,_xlpm.MaxPts-_xlpm.PriorEnrolled),IF(OR(_xlpm.ActDate="",EOMONTH(AA$5,0)&lt;_xlpm.StartDate,_xlpm.Remaining&lt;=0),0,MIN(_xlpm.MonthlyEnroll,_xlpm.Remaining))),0))</f>
        <v/>
      </c>
      <c r="AB54" s="9" t="str">
        <f>IF($B54="","",IFERROR(_xlfn.LET(_xlpm.Site,$B54,_xlpm.ActDate,_xlfn.XLOOKUP(_xlpm.Site,tblSites[Site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54:INDEX($1:$1048576,ROW(),COLUMN()-1))),_xlpm.Remaining,MAX(0,_xlpm.MaxPts-_xlpm.PriorEnrolled),IF(OR(_xlpm.ActDate="",EOMONTH(AB$5,0)&lt;_xlpm.StartDate,_xlpm.Remaining&lt;=0),0,MIN(_xlpm.MonthlyEnroll,_xlpm.Remaining))),0))</f>
        <v/>
      </c>
      <c r="AC54" s="9" t="str">
        <f>IF($B54="","",IFERROR(_xlfn.LET(_xlpm.Site,$B54,_xlpm.ActDate,_xlfn.XLOOKUP(_xlpm.Site,tblSites[Monthly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54:INDEX($1:$1048576,ROW(),COLUMN()-1))),_xlpm.Remaining,MAX(0,_xlpm.MaxPts-_xlpm.PriorEnrolled),IF(OR(_xlpm.ActDate="",EOMONTH(AC$5,0)&lt;_xlpm.StartDate,_xlpm.Remaining&lt;=0),0,MIN(_xlpm.MonthlyEnroll,_xlpm.Remaining))),0))</f>
        <v/>
      </c>
    </row>
    <row r="55" spans="3:29" x14ac:dyDescent="0.25">
      <c r="C55" s="9" cm="1">
        <f t="array" aca="1" ref="C55" ca="1">IF(C$5&lt;=TODAY(),0,IF($B55="","",IFERROR(_xlfn.LET(_xlpm.Site,$B55,_xlpm.SiteCol,INDIRECT("tblSites[Site]"),_xlpm.ActCol,INDIRECT("tblSites[Site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5" s="9" t="str">
        <f>IF($B55="","",IFERROR(_xlfn.LET(_xlpm.Site,$B55,_xlpm.ActDate,_xlfn.XLOOKUP(_xlpm.Site,tblSites[Site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55:INDEX($1:$1048576,ROW(),COLUMN()-1))),_xlpm.Remaining,MAX(0,_xlpm.MaxPts-_xlpm.PriorEnrolled),IF(OR(_xlpm.ActDate="",EOMONTH(D$5,0)&lt;_xlpm.StartDate,_xlpm.Remaining&lt;=0),0,MIN(_xlpm.MonthlyEnroll,_xlpm.Remaining))),0))</f>
        <v/>
      </c>
      <c r="E55" s="9" t="str">
        <f>IF($B55="","",IFERROR(_xlfn.LET(_xlpm.Site,$B55,_xlpm.ActDate,_xlfn.XLOOKUP(_xlpm.Site,tblSites[Monthly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55:INDEX($1:$1048576,ROW(),COLUMN()-1))),_xlpm.Remaining,MAX(0,_xlpm.MaxPts-_xlpm.PriorEnrolled),IF(OR(_xlpm.ActDate="",EOMONTH(E$5,0)&lt;_xlpm.StartDate,_xlpm.Remaining&lt;=0),0,MIN(_xlpm.MonthlyEnroll,_xlpm.Remaining))),0))</f>
        <v/>
      </c>
      <c r="F55" s="9" t="str">
        <f>IF($B55="","",IFERROR(_xlfn.LET(_xlpm.Site,$B55,_xlpm.ActDate,_xlfn.XLOOKUP(_xlpm.Site,tblSites[Site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55:INDEX($1:$1048576,ROW(),COLUMN()-1))),_xlpm.Remaining,MAX(0,_xlpm.MaxPts-_xlpm.PriorEnrolled),IF(OR(_xlpm.ActDate="",EOMONTH(F$5,0)&lt;_xlpm.StartDate,_xlpm.Remaining&lt;=0),0,MIN(_xlpm.MonthlyEnroll,_xlpm.Remaining))),0))</f>
        <v/>
      </c>
      <c r="G55" s="9" t="str">
        <f>IF($B55="","",IFERROR(_xlfn.LET(_xlpm.Site,$B55,_xlpm.ActDate,_xlfn.XLOOKUP(_xlpm.Site,tblSites[Max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55:INDEX($1:$1048576,ROW(),COLUMN()-1))),_xlpm.Remaining,MAX(0,_xlpm.MaxPts-_xlpm.PriorEnrolled),IF(OR(_xlpm.ActDate="",EOMONTH(G$5,0)&lt;_xlpm.StartDate,_xlpm.Remaining&lt;=0),0,MIN(_xlpm.MonthlyEnroll,_xlpm.Remaining))),0))</f>
        <v/>
      </c>
      <c r="H55" s="9" t="str">
        <f>IF($B55="","",IFERROR(_xlfn.LET(_xlpm.Site,$B55,_xlpm.ActDate,_xlfn.XLOOKUP(_xlpm.Site,tblSites[Current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55:INDEX($1:$1048576,ROW(),COLUMN()-1))),_xlpm.Remaining,MAX(0,_xlpm.MaxPts-_xlpm.PriorEnrolled),IF(OR(_xlpm.ActDate="",EOMONTH(H$5,0)&lt;_xlpm.StartDate,_xlpm.Remaining&lt;=0),0,MIN(_xlpm.MonthlyEnroll,_xlpm.Remaining))),0))</f>
        <v/>
      </c>
      <c r="I55" s="9" t="str">
        <f>IF($B55="","",IFERROR(_xlfn.LET(_xlpm.Site,$B55,_xlpm.ActDate,_xlfn.XLOOKUP(_xlpm.Site,tblSites[Include?],tblSites[Scenario?],""),_xlpm.ScreenDays,N('Study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55:INDEX($1:$1048576,ROW(),COLUMN()-1))),_xlpm.Remaining,MAX(0,_xlpm.MaxPts-_xlpm.PriorEnrolled),IF(OR(_xlpm.ActDate="",EOMONTH(I$5,0)&lt;_xlpm.StartDate,_xlpm.Remaining&lt;=0),0,MIN(_xlpm.MonthlyEnroll,_xlpm.Remaining))),0))</f>
        <v/>
      </c>
      <c r="J55" s="9" t="str">
        <f>IF($B55="","",IFERROR(_xlfn.LET(_xlpm.Site,$B55,_xlpm.ActDate,_xlfn.XLOOKUP(_xlpm.Site,tblSites[Scenario?],tblSites[Check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55:INDEX($1:$1048576,ROW(),COLUMN()-1))),_xlpm.Remaining,MAX(0,_xlpm.MaxPts-_xlpm.PriorEnrolled),IF(OR(_xlpm.ActDate="",EOMONTH(J$5,0)&lt;_xlpm.StartDate,_xlpm.Remaining&lt;=0),0,MIN(_xlpm.MonthlyEnroll,_xlpm.Remaining))),0))</f>
        <v/>
      </c>
      <c r="K55" s="9" t="str">
        <f>IF($B55="","",IFERROR(_xlfn.LET(_xlpm.Site,$B55,_xlpm.ActDate,_xlfn.XLOOKUP(_xlpm.Site,tblSites[Check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55:INDEX($1:$1048576,ROW(),COLUMN()-1))),_xlpm.Remaining,MAX(0,_xlpm.MaxPts-_xlpm.PriorEnrolled),IF(OR(_xlpm.ActDate="",EOMONTH(K$5,0)&lt;_xlpm.StartDate,_xlpm.Remaining&lt;=0),0,MIN(_xlpm.MonthlyEnroll,_xlpm.Remaining))),0))</f>
        <v/>
      </c>
      <c r="L55" s="9" t="str">
        <f>IF($B55="","",IFERROR(_xlfn.LET(_xlpm.Site,$B55,_xlpm.ActDate,_xlfn.XLOOKUP(_xlpm.Site,tblSites[Site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55:INDEX($1:$1048576,ROW(),COLUMN()-1))),_xlpm.Remaining,MAX(0,_xlpm.MaxPts-_xlpm.PriorEnrolled),IF(OR(_xlpm.ActDate="",EOMONTH(L$5,0)&lt;_xlpm.StartDate,_xlpm.Remaining&lt;=0),0,MIN(_xlpm.MonthlyEnroll,_xlpm.Remaining))),0))</f>
        <v/>
      </c>
      <c r="M55" s="9" t="str">
        <f>IF($B55="","",IFERROR(_xlfn.LET(_xlpm.Site,$B55,_xlpm.ActDate,_xlfn.XLOOKUP(_xlpm.Site,#REF!,tblSites[Country],""),_xlpm.ScreenDays,N('Study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55:INDEX($1:$1048576,ROW(),COLUMN()-1))),_xlpm.Remaining,MAX(0,_xlpm.MaxPts-_xlpm.PriorEnrolled),IF(OR(_xlpm.ActDate="",EOMONTH(M$5,0)&lt;_xlpm.StartDate,_xlpm.Remaining&lt;=0),0,MIN(_xlpm.MonthlyEnroll,_xlpm.Remaining))),0))</f>
        <v/>
      </c>
      <c r="N55" s="9" t="str">
        <f>IF($B55="","",IFERROR(_xlfn.LET(_xlpm.Site,$B55,_xlpm.ActDate,_xlfn.XLOOKUP(_xlpm.Site,tblSites[Country],tblSites[Site],""),_xlpm.ScreenDays,N('Study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55:INDEX($1:$1048576,ROW(),COLUMN()-1))),_xlpm.Remaining,MAX(0,_xlpm.MaxPts-_xlpm.PriorEnrolled),IF(OR(_xlpm.ActDate="",EOMONTH(N$5,0)&lt;_xlpm.StartDate,_xlpm.Remaining&lt;=0),0,MIN(_xlpm.MonthlyEnroll,_xlpm.Remaining))),0))</f>
        <v/>
      </c>
      <c r="O55" s="9" t="str">
        <f>IF($B55="","",IFERROR(_xlfn.LET(_xlpm.Site,$B55,_xlpm.ActDate,_xlfn.XLOOKUP(_xlpm.Site,tblSites[Site],tblSites[Site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55:INDEX($1:$1048576,ROW(),COLUMN()-1))),_xlpm.Remaining,MAX(0,_xlpm.MaxPts-_xlpm.PriorEnrolled),IF(OR(_xlpm.ActDate="",EOMONTH(O$5,0)&lt;_xlpm.StartDate,_xlpm.Remaining&lt;=0),0,MIN(_xlpm.MonthlyEnroll,_xlpm.Remaining))),0))</f>
        <v/>
      </c>
      <c r="P55" s="9" t="str">
        <f>IF($B55="","",IFERROR(_xlfn.LET(_xlpm.Site,$B55,_xlpm.ActDate,_xlfn.XLOOKUP(_xlpm.Site,tblSites[Site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55:INDEX($1:$1048576,ROW(),COLUMN()-1))),_xlpm.Remaining,MAX(0,_xlpm.MaxPts-_xlpm.PriorEnrolled),IF(OR(_xlpm.ActDate="",EOMONTH(P$5,0)&lt;_xlpm.StartDate,_xlpm.Remaining&lt;=0),0,MIN(_xlpm.MonthlyEnroll,_xlpm.Remaining))),0))</f>
        <v/>
      </c>
      <c r="Q55" s="9" t="str">
        <f>IF($B55="","",IFERROR(_xlfn.LET(_xlpm.Site,$B55,_xlpm.ActDate,_xlfn.XLOOKUP(_xlpm.Site,tblSites[Monthly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55:INDEX($1:$1048576,ROW(),COLUMN()-1))),_xlpm.Remaining,MAX(0,_xlpm.MaxPts-_xlpm.PriorEnrolled),IF(OR(_xlpm.ActDate="",EOMONTH(Q$5,0)&lt;_xlpm.StartDate,_xlpm.Remaining&lt;=0),0,MIN(_xlpm.MonthlyEnroll,_xlpm.Remaining))),0))</f>
        <v/>
      </c>
      <c r="R55" s="9" t="str">
        <f>IF($B55="","",IFERROR(_xlfn.LET(_xlpm.Site,$B55,_xlpm.ActDate,_xlfn.XLOOKUP(_xlpm.Site,tblSites[Site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55:INDEX($1:$1048576,ROW(),COLUMN()-1))),_xlpm.Remaining,MAX(0,_xlpm.MaxPts-_xlpm.PriorEnrolled),IF(OR(_xlpm.ActDate="",EOMONTH(R$5,0)&lt;_xlpm.StartDate,_xlpm.Remaining&lt;=0),0,MIN(_xlpm.MonthlyEnroll,_xlpm.Remaining))),0))</f>
        <v/>
      </c>
      <c r="S55" s="9" t="str">
        <f>IF($B55="","",IFERROR(_xlfn.LET(_xlpm.Site,$B55,_xlpm.ActDate,_xlfn.XLOOKUP(_xlpm.Site,tblSites[Max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55:INDEX($1:$1048576,ROW(),COLUMN()-1))),_xlpm.Remaining,MAX(0,_xlpm.MaxPts-_xlpm.PriorEnrolled),IF(OR(_xlpm.ActDate="",EOMONTH(S$5,0)&lt;_xlpm.StartDate,_xlpm.Remaining&lt;=0),0,MIN(_xlpm.MonthlyEnroll,_xlpm.Remaining))),0))</f>
        <v/>
      </c>
      <c r="T55" s="9" t="str">
        <f>IF($B55="","",IFERROR(_xlfn.LET(_xlpm.Site,$B55,_xlpm.ActDate,_xlfn.XLOOKUP(_xlpm.Site,tblSites[Current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55:INDEX($1:$1048576,ROW(),COLUMN()-1))),_xlpm.Remaining,MAX(0,_xlpm.MaxPts-_xlpm.PriorEnrolled),IF(OR(_xlpm.ActDate="",EOMONTH(T$5,0)&lt;_xlpm.StartDate,_xlpm.Remaining&lt;=0),0,MIN(_xlpm.MonthlyEnroll,_xlpm.Remaining))),0))</f>
        <v/>
      </c>
      <c r="U55" s="9" t="str">
        <f>IF($B55="","",IFERROR(_xlfn.LET(_xlpm.Site,$B55,_xlpm.ActDate,_xlfn.XLOOKUP(_xlpm.Site,tblSites[Include?],tblSites[Scenario?],""),_xlpm.ScreenDays,N('Study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55:INDEX($1:$1048576,ROW(),COLUMN()-1))),_xlpm.Remaining,MAX(0,_xlpm.MaxPts-_xlpm.PriorEnrolled),IF(OR(_xlpm.ActDate="",EOMONTH(U$5,0)&lt;_xlpm.StartDate,_xlpm.Remaining&lt;=0),0,MIN(_xlpm.MonthlyEnroll,_xlpm.Remaining))),0))</f>
        <v/>
      </c>
      <c r="V55" s="9" t="str">
        <f>IF($B55="","",IFERROR(_xlfn.LET(_xlpm.Site,$B55,_xlpm.ActDate,_xlfn.XLOOKUP(_xlpm.Site,tblSites[Scenario?],tblSites[Check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55:INDEX($1:$1048576,ROW(),COLUMN()-1))),_xlpm.Remaining,MAX(0,_xlpm.MaxPts-_xlpm.PriorEnrolled),IF(OR(_xlpm.ActDate="",EOMONTH(V$5,0)&lt;_xlpm.StartDate,_xlpm.Remaining&lt;=0),0,MIN(_xlpm.MonthlyEnroll,_xlpm.Remaining))),0))</f>
        <v/>
      </c>
      <c r="W55" s="9" t="str">
        <f>IF($B55="","",IFERROR(_xlfn.LET(_xlpm.Site,$B55,_xlpm.ActDate,_xlfn.XLOOKUP(_xlpm.Site,tblSites[Check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55:INDEX($1:$1048576,ROW(),COLUMN()-1))),_xlpm.Remaining,MAX(0,_xlpm.MaxPts-_xlpm.PriorEnrolled),IF(OR(_xlpm.ActDate="",EOMONTH(W$5,0)&lt;_xlpm.StartDate,_xlpm.Remaining&lt;=0),0,MIN(_xlpm.MonthlyEnroll,_xlpm.Remaining))),0))</f>
        <v/>
      </c>
      <c r="X55" s="9" t="str">
        <f>IF($B55="","",IFERROR(_xlfn.LET(_xlpm.Site,$B55,_xlpm.ActDate,_xlfn.XLOOKUP(_xlpm.Site,tblSites[Site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55:INDEX($1:$1048576,ROW(),COLUMN()-1))),_xlpm.Remaining,MAX(0,_xlpm.MaxPts-_xlpm.PriorEnrolled),IF(OR(_xlpm.ActDate="",EOMONTH(X$5,0)&lt;_xlpm.StartDate,_xlpm.Remaining&lt;=0),0,MIN(_xlpm.MonthlyEnroll,_xlpm.Remaining))),0))</f>
        <v/>
      </c>
      <c r="Y55" s="9" t="str">
        <f>IF($B55="","",IFERROR(_xlfn.LET(_xlpm.Site,$B55,_xlpm.ActDate,_xlfn.XLOOKUP(_xlpm.Site,#REF!,tblSites[Country],""),_xlpm.ScreenDays,N('Study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55:INDEX($1:$1048576,ROW(),COLUMN()-1))),_xlpm.Remaining,MAX(0,_xlpm.MaxPts-_xlpm.PriorEnrolled),IF(OR(_xlpm.ActDate="",EOMONTH(Y$5,0)&lt;_xlpm.StartDate,_xlpm.Remaining&lt;=0),0,MIN(_xlpm.MonthlyEnroll,_xlpm.Remaining))),0))</f>
        <v/>
      </c>
      <c r="Z55" s="9" t="str">
        <f>IF($B55="","",IFERROR(_xlfn.LET(_xlpm.Site,$B55,_xlpm.ActDate,_xlfn.XLOOKUP(_xlpm.Site,tblSites[Country],tblSites[Site],""),_xlpm.ScreenDays,N('Study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55:INDEX($1:$1048576,ROW(),COLUMN()-1))),_xlpm.Remaining,MAX(0,_xlpm.MaxPts-_xlpm.PriorEnrolled),IF(OR(_xlpm.ActDate="",EOMONTH(Z$5,0)&lt;_xlpm.StartDate,_xlpm.Remaining&lt;=0),0,MIN(_xlpm.MonthlyEnroll,_xlpm.Remaining))),0))</f>
        <v/>
      </c>
      <c r="AA55" s="9" t="str">
        <f>IF($B55="","",IFERROR(_xlfn.LET(_xlpm.Site,$B55,_xlpm.ActDate,_xlfn.XLOOKUP(_xlpm.Site,tblSites[Site],tblSites[Site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55:INDEX($1:$1048576,ROW(),COLUMN()-1))),_xlpm.Remaining,MAX(0,_xlpm.MaxPts-_xlpm.PriorEnrolled),IF(OR(_xlpm.ActDate="",EOMONTH(AA$5,0)&lt;_xlpm.StartDate,_xlpm.Remaining&lt;=0),0,MIN(_xlpm.MonthlyEnroll,_xlpm.Remaining))),0))</f>
        <v/>
      </c>
      <c r="AB55" s="9" t="str">
        <f>IF($B55="","",IFERROR(_xlfn.LET(_xlpm.Site,$B55,_xlpm.ActDate,_xlfn.XLOOKUP(_xlpm.Site,tblSites[Site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55:INDEX($1:$1048576,ROW(),COLUMN()-1))),_xlpm.Remaining,MAX(0,_xlpm.MaxPts-_xlpm.PriorEnrolled),IF(OR(_xlpm.ActDate="",EOMONTH(AB$5,0)&lt;_xlpm.StartDate,_xlpm.Remaining&lt;=0),0,MIN(_xlpm.MonthlyEnroll,_xlpm.Remaining))),0))</f>
        <v/>
      </c>
      <c r="AC55" s="9" t="str">
        <f>IF($B55="","",IFERROR(_xlfn.LET(_xlpm.Site,$B55,_xlpm.ActDate,_xlfn.XLOOKUP(_xlpm.Site,tblSites[Monthly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55:INDEX($1:$1048576,ROW(),COLUMN()-1))),_xlpm.Remaining,MAX(0,_xlpm.MaxPts-_xlpm.PriorEnrolled),IF(OR(_xlpm.ActDate="",EOMONTH(AC$5,0)&lt;_xlpm.StartDate,_xlpm.Remaining&lt;=0),0,MIN(_xlpm.MonthlyEnroll,_xlpm.Remaining))),0))</f>
        <v/>
      </c>
    </row>
    <row r="56" spans="3:29" x14ac:dyDescent="0.25">
      <c r="C56" s="9" cm="1">
        <f t="array" aca="1" ref="C56" ca="1">IF(C$5&lt;=TODAY(),0,IF($B56="","",IFERROR(_xlfn.LET(_xlpm.Site,$B56,_xlpm.SiteCol,INDIRECT("tblSites[Site]"),_xlpm.ActCol,INDIRECT("tblSites[Site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6" s="9" t="str">
        <f>IF($B56="","",IFERROR(_xlfn.LET(_xlpm.Site,$B56,_xlpm.ActDate,_xlfn.XLOOKUP(_xlpm.Site,tblSites[Site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56:INDEX($1:$1048576,ROW(),COLUMN()-1))),_xlpm.Remaining,MAX(0,_xlpm.MaxPts-_xlpm.PriorEnrolled),IF(OR(_xlpm.ActDate="",EOMONTH(D$5,0)&lt;_xlpm.StartDate,_xlpm.Remaining&lt;=0),0,MIN(_xlpm.MonthlyEnroll,_xlpm.Remaining))),0))</f>
        <v/>
      </c>
      <c r="E56" s="9" t="str">
        <f>IF($B56="","",IFERROR(_xlfn.LET(_xlpm.Site,$B56,_xlpm.ActDate,_xlfn.XLOOKUP(_xlpm.Site,tblSites[Monthly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56:INDEX($1:$1048576,ROW(),COLUMN()-1))),_xlpm.Remaining,MAX(0,_xlpm.MaxPts-_xlpm.PriorEnrolled),IF(OR(_xlpm.ActDate="",EOMONTH(E$5,0)&lt;_xlpm.StartDate,_xlpm.Remaining&lt;=0),0,MIN(_xlpm.MonthlyEnroll,_xlpm.Remaining))),0))</f>
        <v/>
      </c>
      <c r="F56" s="9" t="str">
        <f>IF($B56="","",IFERROR(_xlfn.LET(_xlpm.Site,$B56,_xlpm.ActDate,_xlfn.XLOOKUP(_xlpm.Site,tblSites[Site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56:INDEX($1:$1048576,ROW(),COLUMN()-1))),_xlpm.Remaining,MAX(0,_xlpm.MaxPts-_xlpm.PriorEnrolled),IF(OR(_xlpm.ActDate="",EOMONTH(F$5,0)&lt;_xlpm.StartDate,_xlpm.Remaining&lt;=0),0,MIN(_xlpm.MonthlyEnroll,_xlpm.Remaining))),0))</f>
        <v/>
      </c>
      <c r="G56" s="9" t="str">
        <f>IF($B56="","",IFERROR(_xlfn.LET(_xlpm.Site,$B56,_xlpm.ActDate,_xlfn.XLOOKUP(_xlpm.Site,tblSites[Max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56:INDEX($1:$1048576,ROW(),COLUMN()-1))),_xlpm.Remaining,MAX(0,_xlpm.MaxPts-_xlpm.PriorEnrolled),IF(OR(_xlpm.ActDate="",EOMONTH(G$5,0)&lt;_xlpm.StartDate,_xlpm.Remaining&lt;=0),0,MIN(_xlpm.MonthlyEnroll,_xlpm.Remaining))),0))</f>
        <v/>
      </c>
      <c r="H56" s="9" t="str">
        <f>IF($B56="","",IFERROR(_xlfn.LET(_xlpm.Site,$B56,_xlpm.ActDate,_xlfn.XLOOKUP(_xlpm.Site,tblSites[Current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56:INDEX($1:$1048576,ROW(),COLUMN()-1))),_xlpm.Remaining,MAX(0,_xlpm.MaxPts-_xlpm.PriorEnrolled),IF(OR(_xlpm.ActDate="",EOMONTH(H$5,0)&lt;_xlpm.StartDate,_xlpm.Remaining&lt;=0),0,MIN(_xlpm.MonthlyEnroll,_xlpm.Remaining))),0))</f>
        <v/>
      </c>
      <c r="I56" s="9" t="str">
        <f>IF($B56="","",IFERROR(_xlfn.LET(_xlpm.Site,$B56,_xlpm.ActDate,_xlfn.XLOOKUP(_xlpm.Site,tblSites[Include?],tblSites[Scenario?],""),_xlpm.ScreenDays,N('Study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56:INDEX($1:$1048576,ROW(),COLUMN()-1))),_xlpm.Remaining,MAX(0,_xlpm.MaxPts-_xlpm.PriorEnrolled),IF(OR(_xlpm.ActDate="",EOMONTH(I$5,0)&lt;_xlpm.StartDate,_xlpm.Remaining&lt;=0),0,MIN(_xlpm.MonthlyEnroll,_xlpm.Remaining))),0))</f>
        <v/>
      </c>
      <c r="J56" s="9" t="str">
        <f>IF($B56="","",IFERROR(_xlfn.LET(_xlpm.Site,$B56,_xlpm.ActDate,_xlfn.XLOOKUP(_xlpm.Site,tblSites[Scenario?],tblSites[Check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56:INDEX($1:$1048576,ROW(),COLUMN()-1))),_xlpm.Remaining,MAX(0,_xlpm.MaxPts-_xlpm.PriorEnrolled),IF(OR(_xlpm.ActDate="",EOMONTH(J$5,0)&lt;_xlpm.StartDate,_xlpm.Remaining&lt;=0),0,MIN(_xlpm.MonthlyEnroll,_xlpm.Remaining))),0))</f>
        <v/>
      </c>
      <c r="K56" s="9" t="str">
        <f>IF($B56="","",IFERROR(_xlfn.LET(_xlpm.Site,$B56,_xlpm.ActDate,_xlfn.XLOOKUP(_xlpm.Site,tblSites[Check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56:INDEX($1:$1048576,ROW(),COLUMN()-1))),_xlpm.Remaining,MAX(0,_xlpm.MaxPts-_xlpm.PriorEnrolled),IF(OR(_xlpm.ActDate="",EOMONTH(K$5,0)&lt;_xlpm.StartDate,_xlpm.Remaining&lt;=0),0,MIN(_xlpm.MonthlyEnroll,_xlpm.Remaining))),0))</f>
        <v/>
      </c>
      <c r="L56" s="9" t="str">
        <f>IF($B56="","",IFERROR(_xlfn.LET(_xlpm.Site,$B56,_xlpm.ActDate,_xlfn.XLOOKUP(_xlpm.Site,tblSites[Site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56:INDEX($1:$1048576,ROW(),COLUMN()-1))),_xlpm.Remaining,MAX(0,_xlpm.MaxPts-_xlpm.PriorEnrolled),IF(OR(_xlpm.ActDate="",EOMONTH(L$5,0)&lt;_xlpm.StartDate,_xlpm.Remaining&lt;=0),0,MIN(_xlpm.MonthlyEnroll,_xlpm.Remaining))),0))</f>
        <v/>
      </c>
      <c r="M56" s="9" t="str">
        <f>IF($B56="","",IFERROR(_xlfn.LET(_xlpm.Site,$B56,_xlpm.ActDate,_xlfn.XLOOKUP(_xlpm.Site,#REF!,tblSites[Country],""),_xlpm.ScreenDays,N('Study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56:INDEX($1:$1048576,ROW(),COLUMN()-1))),_xlpm.Remaining,MAX(0,_xlpm.MaxPts-_xlpm.PriorEnrolled),IF(OR(_xlpm.ActDate="",EOMONTH(M$5,0)&lt;_xlpm.StartDate,_xlpm.Remaining&lt;=0),0,MIN(_xlpm.MonthlyEnroll,_xlpm.Remaining))),0))</f>
        <v/>
      </c>
      <c r="N56" s="9" t="str">
        <f>IF($B56="","",IFERROR(_xlfn.LET(_xlpm.Site,$B56,_xlpm.ActDate,_xlfn.XLOOKUP(_xlpm.Site,tblSites[Country],tblSites[Site],""),_xlpm.ScreenDays,N('Study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56:INDEX($1:$1048576,ROW(),COLUMN()-1))),_xlpm.Remaining,MAX(0,_xlpm.MaxPts-_xlpm.PriorEnrolled),IF(OR(_xlpm.ActDate="",EOMONTH(N$5,0)&lt;_xlpm.StartDate,_xlpm.Remaining&lt;=0),0,MIN(_xlpm.MonthlyEnroll,_xlpm.Remaining))),0))</f>
        <v/>
      </c>
      <c r="O56" s="9" t="str">
        <f>IF($B56="","",IFERROR(_xlfn.LET(_xlpm.Site,$B56,_xlpm.ActDate,_xlfn.XLOOKUP(_xlpm.Site,tblSites[Site],tblSites[Site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56:INDEX($1:$1048576,ROW(),COLUMN()-1))),_xlpm.Remaining,MAX(0,_xlpm.MaxPts-_xlpm.PriorEnrolled),IF(OR(_xlpm.ActDate="",EOMONTH(O$5,0)&lt;_xlpm.StartDate,_xlpm.Remaining&lt;=0),0,MIN(_xlpm.MonthlyEnroll,_xlpm.Remaining))),0))</f>
        <v/>
      </c>
      <c r="P56" s="9" t="str">
        <f>IF($B56="","",IFERROR(_xlfn.LET(_xlpm.Site,$B56,_xlpm.ActDate,_xlfn.XLOOKUP(_xlpm.Site,tblSites[Site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56:INDEX($1:$1048576,ROW(),COLUMN()-1))),_xlpm.Remaining,MAX(0,_xlpm.MaxPts-_xlpm.PriorEnrolled),IF(OR(_xlpm.ActDate="",EOMONTH(P$5,0)&lt;_xlpm.StartDate,_xlpm.Remaining&lt;=0),0,MIN(_xlpm.MonthlyEnroll,_xlpm.Remaining))),0))</f>
        <v/>
      </c>
      <c r="Q56" s="9" t="str">
        <f>IF($B56="","",IFERROR(_xlfn.LET(_xlpm.Site,$B56,_xlpm.ActDate,_xlfn.XLOOKUP(_xlpm.Site,tblSites[Monthly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56:INDEX($1:$1048576,ROW(),COLUMN()-1))),_xlpm.Remaining,MAX(0,_xlpm.MaxPts-_xlpm.PriorEnrolled),IF(OR(_xlpm.ActDate="",EOMONTH(Q$5,0)&lt;_xlpm.StartDate,_xlpm.Remaining&lt;=0),0,MIN(_xlpm.MonthlyEnroll,_xlpm.Remaining))),0))</f>
        <v/>
      </c>
      <c r="R56" s="9" t="str">
        <f>IF($B56="","",IFERROR(_xlfn.LET(_xlpm.Site,$B56,_xlpm.ActDate,_xlfn.XLOOKUP(_xlpm.Site,tblSites[Site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56:INDEX($1:$1048576,ROW(),COLUMN()-1))),_xlpm.Remaining,MAX(0,_xlpm.MaxPts-_xlpm.PriorEnrolled),IF(OR(_xlpm.ActDate="",EOMONTH(R$5,0)&lt;_xlpm.StartDate,_xlpm.Remaining&lt;=0),0,MIN(_xlpm.MonthlyEnroll,_xlpm.Remaining))),0))</f>
        <v/>
      </c>
      <c r="S56" s="9" t="str">
        <f>IF($B56="","",IFERROR(_xlfn.LET(_xlpm.Site,$B56,_xlpm.ActDate,_xlfn.XLOOKUP(_xlpm.Site,tblSites[Max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56:INDEX($1:$1048576,ROW(),COLUMN()-1))),_xlpm.Remaining,MAX(0,_xlpm.MaxPts-_xlpm.PriorEnrolled),IF(OR(_xlpm.ActDate="",EOMONTH(S$5,0)&lt;_xlpm.StartDate,_xlpm.Remaining&lt;=0),0,MIN(_xlpm.MonthlyEnroll,_xlpm.Remaining))),0))</f>
        <v/>
      </c>
      <c r="T56" s="9" t="str">
        <f>IF($B56="","",IFERROR(_xlfn.LET(_xlpm.Site,$B56,_xlpm.ActDate,_xlfn.XLOOKUP(_xlpm.Site,tblSites[Current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56:INDEX($1:$1048576,ROW(),COLUMN()-1))),_xlpm.Remaining,MAX(0,_xlpm.MaxPts-_xlpm.PriorEnrolled),IF(OR(_xlpm.ActDate="",EOMONTH(T$5,0)&lt;_xlpm.StartDate,_xlpm.Remaining&lt;=0),0,MIN(_xlpm.MonthlyEnroll,_xlpm.Remaining))),0))</f>
        <v/>
      </c>
      <c r="U56" s="9" t="str">
        <f>IF($B56="","",IFERROR(_xlfn.LET(_xlpm.Site,$B56,_xlpm.ActDate,_xlfn.XLOOKUP(_xlpm.Site,tblSites[Include?],tblSites[Scenario?],""),_xlpm.ScreenDays,N('Study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56:INDEX($1:$1048576,ROW(),COLUMN()-1))),_xlpm.Remaining,MAX(0,_xlpm.MaxPts-_xlpm.PriorEnrolled),IF(OR(_xlpm.ActDate="",EOMONTH(U$5,0)&lt;_xlpm.StartDate,_xlpm.Remaining&lt;=0),0,MIN(_xlpm.MonthlyEnroll,_xlpm.Remaining))),0))</f>
        <v/>
      </c>
      <c r="V56" s="9" t="str">
        <f>IF($B56="","",IFERROR(_xlfn.LET(_xlpm.Site,$B56,_xlpm.ActDate,_xlfn.XLOOKUP(_xlpm.Site,tblSites[Scenario?],tblSites[Check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56:INDEX($1:$1048576,ROW(),COLUMN()-1))),_xlpm.Remaining,MAX(0,_xlpm.MaxPts-_xlpm.PriorEnrolled),IF(OR(_xlpm.ActDate="",EOMONTH(V$5,0)&lt;_xlpm.StartDate,_xlpm.Remaining&lt;=0),0,MIN(_xlpm.MonthlyEnroll,_xlpm.Remaining))),0))</f>
        <v/>
      </c>
      <c r="W56" s="9" t="str">
        <f>IF($B56="","",IFERROR(_xlfn.LET(_xlpm.Site,$B56,_xlpm.ActDate,_xlfn.XLOOKUP(_xlpm.Site,tblSites[Check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56:INDEX($1:$1048576,ROW(),COLUMN()-1))),_xlpm.Remaining,MAX(0,_xlpm.MaxPts-_xlpm.PriorEnrolled),IF(OR(_xlpm.ActDate="",EOMONTH(W$5,0)&lt;_xlpm.StartDate,_xlpm.Remaining&lt;=0),0,MIN(_xlpm.MonthlyEnroll,_xlpm.Remaining))),0))</f>
        <v/>
      </c>
      <c r="X56" s="9" t="str">
        <f>IF($B56="","",IFERROR(_xlfn.LET(_xlpm.Site,$B56,_xlpm.ActDate,_xlfn.XLOOKUP(_xlpm.Site,tblSites[Site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56:INDEX($1:$1048576,ROW(),COLUMN()-1))),_xlpm.Remaining,MAX(0,_xlpm.MaxPts-_xlpm.PriorEnrolled),IF(OR(_xlpm.ActDate="",EOMONTH(X$5,0)&lt;_xlpm.StartDate,_xlpm.Remaining&lt;=0),0,MIN(_xlpm.MonthlyEnroll,_xlpm.Remaining))),0))</f>
        <v/>
      </c>
      <c r="Y56" s="9" t="str">
        <f>IF($B56="","",IFERROR(_xlfn.LET(_xlpm.Site,$B56,_xlpm.ActDate,_xlfn.XLOOKUP(_xlpm.Site,#REF!,tblSites[Country],""),_xlpm.ScreenDays,N('Study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56:INDEX($1:$1048576,ROW(),COLUMN()-1))),_xlpm.Remaining,MAX(0,_xlpm.MaxPts-_xlpm.PriorEnrolled),IF(OR(_xlpm.ActDate="",EOMONTH(Y$5,0)&lt;_xlpm.StartDate,_xlpm.Remaining&lt;=0),0,MIN(_xlpm.MonthlyEnroll,_xlpm.Remaining))),0))</f>
        <v/>
      </c>
      <c r="Z56" s="9" t="str">
        <f>IF($B56="","",IFERROR(_xlfn.LET(_xlpm.Site,$B56,_xlpm.ActDate,_xlfn.XLOOKUP(_xlpm.Site,tblSites[Country],tblSites[Site],""),_xlpm.ScreenDays,N('Study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56:INDEX($1:$1048576,ROW(),COLUMN()-1))),_xlpm.Remaining,MAX(0,_xlpm.MaxPts-_xlpm.PriorEnrolled),IF(OR(_xlpm.ActDate="",EOMONTH(Z$5,0)&lt;_xlpm.StartDate,_xlpm.Remaining&lt;=0),0,MIN(_xlpm.MonthlyEnroll,_xlpm.Remaining))),0))</f>
        <v/>
      </c>
      <c r="AA56" s="9" t="str">
        <f>IF($B56="","",IFERROR(_xlfn.LET(_xlpm.Site,$B56,_xlpm.ActDate,_xlfn.XLOOKUP(_xlpm.Site,tblSites[Site],tblSites[Site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56:INDEX($1:$1048576,ROW(),COLUMN()-1))),_xlpm.Remaining,MAX(0,_xlpm.MaxPts-_xlpm.PriorEnrolled),IF(OR(_xlpm.ActDate="",EOMONTH(AA$5,0)&lt;_xlpm.StartDate,_xlpm.Remaining&lt;=0),0,MIN(_xlpm.MonthlyEnroll,_xlpm.Remaining))),0))</f>
        <v/>
      </c>
      <c r="AB56" s="9" t="str">
        <f>IF($B56="","",IFERROR(_xlfn.LET(_xlpm.Site,$B56,_xlpm.ActDate,_xlfn.XLOOKUP(_xlpm.Site,tblSites[Site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56:INDEX($1:$1048576,ROW(),COLUMN()-1))),_xlpm.Remaining,MAX(0,_xlpm.MaxPts-_xlpm.PriorEnrolled),IF(OR(_xlpm.ActDate="",EOMONTH(AB$5,0)&lt;_xlpm.StartDate,_xlpm.Remaining&lt;=0),0,MIN(_xlpm.MonthlyEnroll,_xlpm.Remaining))),0))</f>
        <v/>
      </c>
      <c r="AC56" s="9" t="str">
        <f>IF($B56="","",IFERROR(_xlfn.LET(_xlpm.Site,$B56,_xlpm.ActDate,_xlfn.XLOOKUP(_xlpm.Site,tblSites[Monthly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56:INDEX($1:$1048576,ROW(),COLUMN()-1))),_xlpm.Remaining,MAX(0,_xlpm.MaxPts-_xlpm.PriorEnrolled),IF(OR(_xlpm.ActDate="",EOMONTH(AC$5,0)&lt;_xlpm.StartDate,_xlpm.Remaining&lt;=0),0,MIN(_xlpm.MonthlyEnroll,_xlpm.Remaining))),0))</f>
        <v/>
      </c>
    </row>
    <row r="57" spans="3:29" x14ac:dyDescent="0.25">
      <c r="C57" s="9" cm="1">
        <f t="array" aca="1" ref="C57" ca="1">IF(C$5&lt;=TODAY(),0,IF($B57="","",IFERROR(_xlfn.LET(_xlpm.Site,$B57,_xlpm.SiteCol,INDIRECT("tblSites[Site]"),_xlpm.ActCol,INDIRECT("tblSites[Site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7" s="9" t="str">
        <f>IF($B57="","",IFERROR(_xlfn.LET(_xlpm.Site,$B57,_xlpm.ActDate,_xlfn.XLOOKUP(_xlpm.Site,tblSites[Site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57:INDEX($1:$1048576,ROW(),COLUMN()-1))),_xlpm.Remaining,MAX(0,_xlpm.MaxPts-_xlpm.PriorEnrolled),IF(OR(_xlpm.ActDate="",EOMONTH(D$5,0)&lt;_xlpm.StartDate,_xlpm.Remaining&lt;=0),0,MIN(_xlpm.MonthlyEnroll,_xlpm.Remaining))),0))</f>
        <v/>
      </c>
      <c r="E57" s="9" t="str">
        <f>IF($B57="","",IFERROR(_xlfn.LET(_xlpm.Site,$B57,_xlpm.ActDate,_xlfn.XLOOKUP(_xlpm.Site,tblSites[Monthly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57:INDEX($1:$1048576,ROW(),COLUMN()-1))),_xlpm.Remaining,MAX(0,_xlpm.MaxPts-_xlpm.PriorEnrolled),IF(OR(_xlpm.ActDate="",EOMONTH(E$5,0)&lt;_xlpm.StartDate,_xlpm.Remaining&lt;=0),0,MIN(_xlpm.MonthlyEnroll,_xlpm.Remaining))),0))</f>
        <v/>
      </c>
      <c r="F57" s="9" t="str">
        <f>IF($B57="","",IFERROR(_xlfn.LET(_xlpm.Site,$B57,_xlpm.ActDate,_xlfn.XLOOKUP(_xlpm.Site,tblSites[Site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57:INDEX($1:$1048576,ROW(),COLUMN()-1))),_xlpm.Remaining,MAX(0,_xlpm.MaxPts-_xlpm.PriorEnrolled),IF(OR(_xlpm.ActDate="",EOMONTH(F$5,0)&lt;_xlpm.StartDate,_xlpm.Remaining&lt;=0),0,MIN(_xlpm.MonthlyEnroll,_xlpm.Remaining))),0))</f>
        <v/>
      </c>
      <c r="G57" s="9" t="str">
        <f>IF($B57="","",IFERROR(_xlfn.LET(_xlpm.Site,$B57,_xlpm.ActDate,_xlfn.XLOOKUP(_xlpm.Site,tblSites[Max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57:INDEX($1:$1048576,ROW(),COLUMN()-1))),_xlpm.Remaining,MAX(0,_xlpm.MaxPts-_xlpm.PriorEnrolled),IF(OR(_xlpm.ActDate="",EOMONTH(G$5,0)&lt;_xlpm.StartDate,_xlpm.Remaining&lt;=0),0,MIN(_xlpm.MonthlyEnroll,_xlpm.Remaining))),0))</f>
        <v/>
      </c>
      <c r="H57" s="9" t="str">
        <f>IF($B57="","",IFERROR(_xlfn.LET(_xlpm.Site,$B57,_xlpm.ActDate,_xlfn.XLOOKUP(_xlpm.Site,tblSites[Current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57:INDEX($1:$1048576,ROW(),COLUMN()-1))),_xlpm.Remaining,MAX(0,_xlpm.MaxPts-_xlpm.PriorEnrolled),IF(OR(_xlpm.ActDate="",EOMONTH(H$5,0)&lt;_xlpm.StartDate,_xlpm.Remaining&lt;=0),0,MIN(_xlpm.MonthlyEnroll,_xlpm.Remaining))),0))</f>
        <v/>
      </c>
      <c r="I57" s="9" t="str">
        <f>IF($B57="","",IFERROR(_xlfn.LET(_xlpm.Site,$B57,_xlpm.ActDate,_xlfn.XLOOKUP(_xlpm.Site,tblSites[Include?],tblSites[Scenario?],""),_xlpm.ScreenDays,N('Study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57:INDEX($1:$1048576,ROW(),COLUMN()-1))),_xlpm.Remaining,MAX(0,_xlpm.MaxPts-_xlpm.PriorEnrolled),IF(OR(_xlpm.ActDate="",EOMONTH(I$5,0)&lt;_xlpm.StartDate,_xlpm.Remaining&lt;=0),0,MIN(_xlpm.MonthlyEnroll,_xlpm.Remaining))),0))</f>
        <v/>
      </c>
      <c r="J57" s="9" t="str">
        <f>IF($B57="","",IFERROR(_xlfn.LET(_xlpm.Site,$B57,_xlpm.ActDate,_xlfn.XLOOKUP(_xlpm.Site,tblSites[Scenario?],tblSites[Check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57:INDEX($1:$1048576,ROW(),COLUMN()-1))),_xlpm.Remaining,MAX(0,_xlpm.MaxPts-_xlpm.PriorEnrolled),IF(OR(_xlpm.ActDate="",EOMONTH(J$5,0)&lt;_xlpm.StartDate,_xlpm.Remaining&lt;=0),0,MIN(_xlpm.MonthlyEnroll,_xlpm.Remaining))),0))</f>
        <v/>
      </c>
      <c r="K57" s="9" t="str">
        <f>IF($B57="","",IFERROR(_xlfn.LET(_xlpm.Site,$B57,_xlpm.ActDate,_xlfn.XLOOKUP(_xlpm.Site,tblSites[Check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57:INDEX($1:$1048576,ROW(),COLUMN()-1))),_xlpm.Remaining,MAX(0,_xlpm.MaxPts-_xlpm.PriorEnrolled),IF(OR(_xlpm.ActDate="",EOMONTH(K$5,0)&lt;_xlpm.StartDate,_xlpm.Remaining&lt;=0),0,MIN(_xlpm.MonthlyEnroll,_xlpm.Remaining))),0))</f>
        <v/>
      </c>
      <c r="L57" s="9" t="str">
        <f>IF($B57="","",IFERROR(_xlfn.LET(_xlpm.Site,$B57,_xlpm.ActDate,_xlfn.XLOOKUP(_xlpm.Site,tblSites[Site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57:INDEX($1:$1048576,ROW(),COLUMN()-1))),_xlpm.Remaining,MAX(0,_xlpm.MaxPts-_xlpm.PriorEnrolled),IF(OR(_xlpm.ActDate="",EOMONTH(L$5,0)&lt;_xlpm.StartDate,_xlpm.Remaining&lt;=0),0,MIN(_xlpm.MonthlyEnroll,_xlpm.Remaining))),0))</f>
        <v/>
      </c>
      <c r="M57" s="9" t="str">
        <f>IF($B57="","",IFERROR(_xlfn.LET(_xlpm.Site,$B57,_xlpm.ActDate,_xlfn.XLOOKUP(_xlpm.Site,#REF!,tblSites[Country],""),_xlpm.ScreenDays,N('Study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57:INDEX($1:$1048576,ROW(),COLUMN()-1))),_xlpm.Remaining,MAX(0,_xlpm.MaxPts-_xlpm.PriorEnrolled),IF(OR(_xlpm.ActDate="",EOMONTH(M$5,0)&lt;_xlpm.StartDate,_xlpm.Remaining&lt;=0),0,MIN(_xlpm.MonthlyEnroll,_xlpm.Remaining))),0))</f>
        <v/>
      </c>
      <c r="N57" s="9" t="str">
        <f>IF($B57="","",IFERROR(_xlfn.LET(_xlpm.Site,$B57,_xlpm.ActDate,_xlfn.XLOOKUP(_xlpm.Site,tblSites[Country],tblSites[Site],""),_xlpm.ScreenDays,N('Study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57:INDEX($1:$1048576,ROW(),COLUMN()-1))),_xlpm.Remaining,MAX(0,_xlpm.MaxPts-_xlpm.PriorEnrolled),IF(OR(_xlpm.ActDate="",EOMONTH(N$5,0)&lt;_xlpm.StartDate,_xlpm.Remaining&lt;=0),0,MIN(_xlpm.MonthlyEnroll,_xlpm.Remaining))),0))</f>
        <v/>
      </c>
      <c r="O57" s="9" t="str">
        <f>IF($B57="","",IFERROR(_xlfn.LET(_xlpm.Site,$B57,_xlpm.ActDate,_xlfn.XLOOKUP(_xlpm.Site,tblSites[Site],tblSites[Site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57:INDEX($1:$1048576,ROW(),COLUMN()-1))),_xlpm.Remaining,MAX(0,_xlpm.MaxPts-_xlpm.PriorEnrolled),IF(OR(_xlpm.ActDate="",EOMONTH(O$5,0)&lt;_xlpm.StartDate,_xlpm.Remaining&lt;=0),0,MIN(_xlpm.MonthlyEnroll,_xlpm.Remaining))),0))</f>
        <v/>
      </c>
      <c r="P57" s="9" t="str">
        <f>IF($B57="","",IFERROR(_xlfn.LET(_xlpm.Site,$B57,_xlpm.ActDate,_xlfn.XLOOKUP(_xlpm.Site,tblSites[Site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57:INDEX($1:$1048576,ROW(),COLUMN()-1))),_xlpm.Remaining,MAX(0,_xlpm.MaxPts-_xlpm.PriorEnrolled),IF(OR(_xlpm.ActDate="",EOMONTH(P$5,0)&lt;_xlpm.StartDate,_xlpm.Remaining&lt;=0),0,MIN(_xlpm.MonthlyEnroll,_xlpm.Remaining))),0))</f>
        <v/>
      </c>
      <c r="Q57" s="9" t="str">
        <f>IF($B57="","",IFERROR(_xlfn.LET(_xlpm.Site,$B57,_xlpm.ActDate,_xlfn.XLOOKUP(_xlpm.Site,tblSites[Monthly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57:INDEX($1:$1048576,ROW(),COLUMN()-1))),_xlpm.Remaining,MAX(0,_xlpm.MaxPts-_xlpm.PriorEnrolled),IF(OR(_xlpm.ActDate="",EOMONTH(Q$5,0)&lt;_xlpm.StartDate,_xlpm.Remaining&lt;=0),0,MIN(_xlpm.MonthlyEnroll,_xlpm.Remaining))),0))</f>
        <v/>
      </c>
      <c r="R57" s="9" t="str">
        <f>IF($B57="","",IFERROR(_xlfn.LET(_xlpm.Site,$B57,_xlpm.ActDate,_xlfn.XLOOKUP(_xlpm.Site,tblSites[Site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57:INDEX($1:$1048576,ROW(),COLUMN()-1))),_xlpm.Remaining,MAX(0,_xlpm.MaxPts-_xlpm.PriorEnrolled),IF(OR(_xlpm.ActDate="",EOMONTH(R$5,0)&lt;_xlpm.StartDate,_xlpm.Remaining&lt;=0),0,MIN(_xlpm.MonthlyEnroll,_xlpm.Remaining))),0))</f>
        <v/>
      </c>
      <c r="S57" s="9" t="str">
        <f>IF($B57="","",IFERROR(_xlfn.LET(_xlpm.Site,$B57,_xlpm.ActDate,_xlfn.XLOOKUP(_xlpm.Site,tblSites[Max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57:INDEX($1:$1048576,ROW(),COLUMN()-1))),_xlpm.Remaining,MAX(0,_xlpm.MaxPts-_xlpm.PriorEnrolled),IF(OR(_xlpm.ActDate="",EOMONTH(S$5,0)&lt;_xlpm.StartDate,_xlpm.Remaining&lt;=0),0,MIN(_xlpm.MonthlyEnroll,_xlpm.Remaining))),0))</f>
        <v/>
      </c>
      <c r="T57" s="9" t="str">
        <f>IF($B57="","",IFERROR(_xlfn.LET(_xlpm.Site,$B57,_xlpm.ActDate,_xlfn.XLOOKUP(_xlpm.Site,tblSites[Current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57:INDEX($1:$1048576,ROW(),COLUMN()-1))),_xlpm.Remaining,MAX(0,_xlpm.MaxPts-_xlpm.PriorEnrolled),IF(OR(_xlpm.ActDate="",EOMONTH(T$5,0)&lt;_xlpm.StartDate,_xlpm.Remaining&lt;=0),0,MIN(_xlpm.MonthlyEnroll,_xlpm.Remaining))),0))</f>
        <v/>
      </c>
      <c r="U57" s="9" t="str">
        <f>IF($B57="","",IFERROR(_xlfn.LET(_xlpm.Site,$B57,_xlpm.ActDate,_xlfn.XLOOKUP(_xlpm.Site,tblSites[Include?],tblSites[Scenario?],""),_xlpm.ScreenDays,N('Study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57:INDEX($1:$1048576,ROW(),COLUMN()-1))),_xlpm.Remaining,MAX(0,_xlpm.MaxPts-_xlpm.PriorEnrolled),IF(OR(_xlpm.ActDate="",EOMONTH(U$5,0)&lt;_xlpm.StartDate,_xlpm.Remaining&lt;=0),0,MIN(_xlpm.MonthlyEnroll,_xlpm.Remaining))),0))</f>
        <v/>
      </c>
      <c r="V57" s="9" t="str">
        <f>IF($B57="","",IFERROR(_xlfn.LET(_xlpm.Site,$B57,_xlpm.ActDate,_xlfn.XLOOKUP(_xlpm.Site,tblSites[Scenario?],tblSites[Check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57:INDEX($1:$1048576,ROW(),COLUMN()-1))),_xlpm.Remaining,MAX(0,_xlpm.MaxPts-_xlpm.PriorEnrolled),IF(OR(_xlpm.ActDate="",EOMONTH(V$5,0)&lt;_xlpm.StartDate,_xlpm.Remaining&lt;=0),0,MIN(_xlpm.MonthlyEnroll,_xlpm.Remaining))),0))</f>
        <v/>
      </c>
      <c r="W57" s="9" t="str">
        <f>IF($B57="","",IFERROR(_xlfn.LET(_xlpm.Site,$B57,_xlpm.ActDate,_xlfn.XLOOKUP(_xlpm.Site,tblSites[Check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57:INDEX($1:$1048576,ROW(),COLUMN()-1))),_xlpm.Remaining,MAX(0,_xlpm.MaxPts-_xlpm.PriorEnrolled),IF(OR(_xlpm.ActDate="",EOMONTH(W$5,0)&lt;_xlpm.StartDate,_xlpm.Remaining&lt;=0),0,MIN(_xlpm.MonthlyEnroll,_xlpm.Remaining))),0))</f>
        <v/>
      </c>
      <c r="X57" s="9" t="str">
        <f>IF($B57="","",IFERROR(_xlfn.LET(_xlpm.Site,$B57,_xlpm.ActDate,_xlfn.XLOOKUP(_xlpm.Site,tblSites[Site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57:INDEX($1:$1048576,ROW(),COLUMN()-1))),_xlpm.Remaining,MAX(0,_xlpm.MaxPts-_xlpm.PriorEnrolled),IF(OR(_xlpm.ActDate="",EOMONTH(X$5,0)&lt;_xlpm.StartDate,_xlpm.Remaining&lt;=0),0,MIN(_xlpm.MonthlyEnroll,_xlpm.Remaining))),0))</f>
        <v/>
      </c>
      <c r="Y57" s="9" t="str">
        <f>IF($B57="","",IFERROR(_xlfn.LET(_xlpm.Site,$B57,_xlpm.ActDate,_xlfn.XLOOKUP(_xlpm.Site,#REF!,tblSites[Country],""),_xlpm.ScreenDays,N('Study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57:INDEX($1:$1048576,ROW(),COLUMN()-1))),_xlpm.Remaining,MAX(0,_xlpm.MaxPts-_xlpm.PriorEnrolled),IF(OR(_xlpm.ActDate="",EOMONTH(Y$5,0)&lt;_xlpm.StartDate,_xlpm.Remaining&lt;=0),0,MIN(_xlpm.MonthlyEnroll,_xlpm.Remaining))),0))</f>
        <v/>
      </c>
      <c r="Z57" s="9" t="str">
        <f>IF($B57="","",IFERROR(_xlfn.LET(_xlpm.Site,$B57,_xlpm.ActDate,_xlfn.XLOOKUP(_xlpm.Site,tblSites[Country],tblSites[Site],""),_xlpm.ScreenDays,N('Study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57:INDEX($1:$1048576,ROW(),COLUMN()-1))),_xlpm.Remaining,MAX(0,_xlpm.MaxPts-_xlpm.PriorEnrolled),IF(OR(_xlpm.ActDate="",EOMONTH(Z$5,0)&lt;_xlpm.StartDate,_xlpm.Remaining&lt;=0),0,MIN(_xlpm.MonthlyEnroll,_xlpm.Remaining))),0))</f>
        <v/>
      </c>
      <c r="AA57" s="9" t="str">
        <f>IF($B57="","",IFERROR(_xlfn.LET(_xlpm.Site,$B57,_xlpm.ActDate,_xlfn.XLOOKUP(_xlpm.Site,tblSites[Site],tblSites[Site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57:INDEX($1:$1048576,ROW(),COLUMN()-1))),_xlpm.Remaining,MAX(0,_xlpm.MaxPts-_xlpm.PriorEnrolled),IF(OR(_xlpm.ActDate="",EOMONTH(AA$5,0)&lt;_xlpm.StartDate,_xlpm.Remaining&lt;=0),0,MIN(_xlpm.MonthlyEnroll,_xlpm.Remaining))),0))</f>
        <v/>
      </c>
      <c r="AB57" s="9" t="str">
        <f>IF($B57="","",IFERROR(_xlfn.LET(_xlpm.Site,$B57,_xlpm.ActDate,_xlfn.XLOOKUP(_xlpm.Site,tblSites[Site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57:INDEX($1:$1048576,ROW(),COLUMN()-1))),_xlpm.Remaining,MAX(0,_xlpm.MaxPts-_xlpm.PriorEnrolled),IF(OR(_xlpm.ActDate="",EOMONTH(AB$5,0)&lt;_xlpm.StartDate,_xlpm.Remaining&lt;=0),0,MIN(_xlpm.MonthlyEnroll,_xlpm.Remaining))),0))</f>
        <v/>
      </c>
      <c r="AC57" s="9" t="str">
        <f>IF($B57="","",IFERROR(_xlfn.LET(_xlpm.Site,$B57,_xlpm.ActDate,_xlfn.XLOOKUP(_xlpm.Site,tblSites[Monthly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57:INDEX($1:$1048576,ROW(),COLUMN()-1))),_xlpm.Remaining,MAX(0,_xlpm.MaxPts-_xlpm.PriorEnrolled),IF(OR(_xlpm.ActDate="",EOMONTH(AC$5,0)&lt;_xlpm.StartDate,_xlpm.Remaining&lt;=0),0,MIN(_xlpm.MonthlyEnroll,_xlpm.Remaining))),0))</f>
        <v/>
      </c>
    </row>
    <row r="58" spans="3:29" x14ac:dyDescent="0.25">
      <c r="C58" s="9" cm="1">
        <f t="array" aca="1" ref="C58" ca="1">IF(C$5&lt;=TODAY(),0,IF($B58="","",IFERROR(_xlfn.LET(_xlpm.Site,$B58,_xlpm.SiteCol,INDIRECT("tblSites[Site]"),_xlpm.ActCol,INDIRECT("tblSites[Site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8" s="9" t="str">
        <f>IF($B58="","",IFERROR(_xlfn.LET(_xlpm.Site,$B58,_xlpm.ActDate,_xlfn.XLOOKUP(_xlpm.Site,tblSites[Site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58:INDEX($1:$1048576,ROW(),COLUMN()-1))),_xlpm.Remaining,MAX(0,_xlpm.MaxPts-_xlpm.PriorEnrolled),IF(OR(_xlpm.ActDate="",EOMONTH(D$5,0)&lt;_xlpm.StartDate,_xlpm.Remaining&lt;=0),0,MIN(_xlpm.MonthlyEnroll,_xlpm.Remaining))),0))</f>
        <v/>
      </c>
      <c r="E58" s="9" t="str">
        <f>IF($B58="","",IFERROR(_xlfn.LET(_xlpm.Site,$B58,_xlpm.ActDate,_xlfn.XLOOKUP(_xlpm.Site,tblSites[Monthly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58:INDEX($1:$1048576,ROW(),COLUMN()-1))),_xlpm.Remaining,MAX(0,_xlpm.MaxPts-_xlpm.PriorEnrolled),IF(OR(_xlpm.ActDate="",EOMONTH(E$5,0)&lt;_xlpm.StartDate,_xlpm.Remaining&lt;=0),0,MIN(_xlpm.MonthlyEnroll,_xlpm.Remaining))),0))</f>
        <v/>
      </c>
      <c r="F58" s="9" t="str">
        <f>IF($B58="","",IFERROR(_xlfn.LET(_xlpm.Site,$B58,_xlpm.ActDate,_xlfn.XLOOKUP(_xlpm.Site,tblSites[Site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58:INDEX($1:$1048576,ROW(),COLUMN()-1))),_xlpm.Remaining,MAX(0,_xlpm.MaxPts-_xlpm.PriorEnrolled),IF(OR(_xlpm.ActDate="",EOMONTH(F$5,0)&lt;_xlpm.StartDate,_xlpm.Remaining&lt;=0),0,MIN(_xlpm.MonthlyEnroll,_xlpm.Remaining))),0))</f>
        <v/>
      </c>
      <c r="G58" s="9" t="str">
        <f>IF($B58="","",IFERROR(_xlfn.LET(_xlpm.Site,$B58,_xlpm.ActDate,_xlfn.XLOOKUP(_xlpm.Site,tblSites[Max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58:INDEX($1:$1048576,ROW(),COLUMN()-1))),_xlpm.Remaining,MAX(0,_xlpm.MaxPts-_xlpm.PriorEnrolled),IF(OR(_xlpm.ActDate="",EOMONTH(G$5,0)&lt;_xlpm.StartDate,_xlpm.Remaining&lt;=0),0,MIN(_xlpm.MonthlyEnroll,_xlpm.Remaining))),0))</f>
        <v/>
      </c>
      <c r="H58" s="9" t="str">
        <f>IF($B58="","",IFERROR(_xlfn.LET(_xlpm.Site,$B58,_xlpm.ActDate,_xlfn.XLOOKUP(_xlpm.Site,tblSites[Current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58:INDEX($1:$1048576,ROW(),COLUMN()-1))),_xlpm.Remaining,MAX(0,_xlpm.MaxPts-_xlpm.PriorEnrolled),IF(OR(_xlpm.ActDate="",EOMONTH(H$5,0)&lt;_xlpm.StartDate,_xlpm.Remaining&lt;=0),0,MIN(_xlpm.MonthlyEnroll,_xlpm.Remaining))),0))</f>
        <v/>
      </c>
      <c r="I58" s="9" t="str">
        <f>IF($B58="","",IFERROR(_xlfn.LET(_xlpm.Site,$B58,_xlpm.ActDate,_xlfn.XLOOKUP(_xlpm.Site,tblSites[Include?],tblSites[Scenario?],""),_xlpm.ScreenDays,N('Study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58:INDEX($1:$1048576,ROW(),COLUMN()-1))),_xlpm.Remaining,MAX(0,_xlpm.MaxPts-_xlpm.PriorEnrolled),IF(OR(_xlpm.ActDate="",EOMONTH(I$5,0)&lt;_xlpm.StartDate,_xlpm.Remaining&lt;=0),0,MIN(_xlpm.MonthlyEnroll,_xlpm.Remaining))),0))</f>
        <v/>
      </c>
      <c r="J58" s="9" t="str">
        <f>IF($B58="","",IFERROR(_xlfn.LET(_xlpm.Site,$B58,_xlpm.ActDate,_xlfn.XLOOKUP(_xlpm.Site,tblSites[Scenario?],tblSites[Check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58:INDEX($1:$1048576,ROW(),COLUMN()-1))),_xlpm.Remaining,MAX(0,_xlpm.MaxPts-_xlpm.PriorEnrolled),IF(OR(_xlpm.ActDate="",EOMONTH(J$5,0)&lt;_xlpm.StartDate,_xlpm.Remaining&lt;=0),0,MIN(_xlpm.MonthlyEnroll,_xlpm.Remaining))),0))</f>
        <v/>
      </c>
      <c r="K58" s="9" t="str">
        <f>IF($B58="","",IFERROR(_xlfn.LET(_xlpm.Site,$B58,_xlpm.ActDate,_xlfn.XLOOKUP(_xlpm.Site,tblSites[Check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58:INDEX($1:$1048576,ROW(),COLUMN()-1))),_xlpm.Remaining,MAX(0,_xlpm.MaxPts-_xlpm.PriorEnrolled),IF(OR(_xlpm.ActDate="",EOMONTH(K$5,0)&lt;_xlpm.StartDate,_xlpm.Remaining&lt;=0),0,MIN(_xlpm.MonthlyEnroll,_xlpm.Remaining))),0))</f>
        <v/>
      </c>
      <c r="L58" s="9" t="str">
        <f>IF($B58="","",IFERROR(_xlfn.LET(_xlpm.Site,$B58,_xlpm.ActDate,_xlfn.XLOOKUP(_xlpm.Site,tblSites[Site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58:INDEX($1:$1048576,ROW(),COLUMN()-1))),_xlpm.Remaining,MAX(0,_xlpm.MaxPts-_xlpm.PriorEnrolled),IF(OR(_xlpm.ActDate="",EOMONTH(L$5,0)&lt;_xlpm.StartDate,_xlpm.Remaining&lt;=0),0,MIN(_xlpm.MonthlyEnroll,_xlpm.Remaining))),0))</f>
        <v/>
      </c>
      <c r="M58" s="9" t="str">
        <f>IF($B58="","",IFERROR(_xlfn.LET(_xlpm.Site,$B58,_xlpm.ActDate,_xlfn.XLOOKUP(_xlpm.Site,#REF!,tblSites[Country],""),_xlpm.ScreenDays,N('Study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58:INDEX($1:$1048576,ROW(),COLUMN()-1))),_xlpm.Remaining,MAX(0,_xlpm.MaxPts-_xlpm.PriorEnrolled),IF(OR(_xlpm.ActDate="",EOMONTH(M$5,0)&lt;_xlpm.StartDate,_xlpm.Remaining&lt;=0),0,MIN(_xlpm.MonthlyEnroll,_xlpm.Remaining))),0))</f>
        <v/>
      </c>
      <c r="N58" s="9" t="str">
        <f>IF($B58="","",IFERROR(_xlfn.LET(_xlpm.Site,$B58,_xlpm.ActDate,_xlfn.XLOOKUP(_xlpm.Site,tblSites[Country],tblSites[Site],""),_xlpm.ScreenDays,N('Study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58:INDEX($1:$1048576,ROW(),COLUMN()-1))),_xlpm.Remaining,MAX(0,_xlpm.MaxPts-_xlpm.PriorEnrolled),IF(OR(_xlpm.ActDate="",EOMONTH(N$5,0)&lt;_xlpm.StartDate,_xlpm.Remaining&lt;=0),0,MIN(_xlpm.MonthlyEnroll,_xlpm.Remaining))),0))</f>
        <v/>
      </c>
      <c r="O58" s="9" t="str">
        <f>IF($B58="","",IFERROR(_xlfn.LET(_xlpm.Site,$B58,_xlpm.ActDate,_xlfn.XLOOKUP(_xlpm.Site,tblSites[Site],tblSites[Site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58:INDEX($1:$1048576,ROW(),COLUMN()-1))),_xlpm.Remaining,MAX(0,_xlpm.MaxPts-_xlpm.PriorEnrolled),IF(OR(_xlpm.ActDate="",EOMONTH(O$5,0)&lt;_xlpm.StartDate,_xlpm.Remaining&lt;=0),0,MIN(_xlpm.MonthlyEnroll,_xlpm.Remaining))),0))</f>
        <v/>
      </c>
      <c r="P58" s="9" t="str">
        <f>IF($B58="","",IFERROR(_xlfn.LET(_xlpm.Site,$B58,_xlpm.ActDate,_xlfn.XLOOKUP(_xlpm.Site,tblSites[Site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58:INDEX($1:$1048576,ROW(),COLUMN()-1))),_xlpm.Remaining,MAX(0,_xlpm.MaxPts-_xlpm.PriorEnrolled),IF(OR(_xlpm.ActDate="",EOMONTH(P$5,0)&lt;_xlpm.StartDate,_xlpm.Remaining&lt;=0),0,MIN(_xlpm.MonthlyEnroll,_xlpm.Remaining))),0))</f>
        <v/>
      </c>
      <c r="Q58" s="9" t="str">
        <f>IF($B58="","",IFERROR(_xlfn.LET(_xlpm.Site,$B58,_xlpm.ActDate,_xlfn.XLOOKUP(_xlpm.Site,tblSites[Monthly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58:INDEX($1:$1048576,ROW(),COLUMN()-1))),_xlpm.Remaining,MAX(0,_xlpm.MaxPts-_xlpm.PriorEnrolled),IF(OR(_xlpm.ActDate="",EOMONTH(Q$5,0)&lt;_xlpm.StartDate,_xlpm.Remaining&lt;=0),0,MIN(_xlpm.MonthlyEnroll,_xlpm.Remaining))),0))</f>
        <v/>
      </c>
      <c r="R58" s="9" t="str">
        <f>IF($B58="","",IFERROR(_xlfn.LET(_xlpm.Site,$B58,_xlpm.ActDate,_xlfn.XLOOKUP(_xlpm.Site,tblSites[Site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58:INDEX($1:$1048576,ROW(),COLUMN()-1))),_xlpm.Remaining,MAX(0,_xlpm.MaxPts-_xlpm.PriorEnrolled),IF(OR(_xlpm.ActDate="",EOMONTH(R$5,0)&lt;_xlpm.StartDate,_xlpm.Remaining&lt;=0),0,MIN(_xlpm.MonthlyEnroll,_xlpm.Remaining))),0))</f>
        <v/>
      </c>
      <c r="S58" s="9" t="str">
        <f>IF($B58="","",IFERROR(_xlfn.LET(_xlpm.Site,$B58,_xlpm.ActDate,_xlfn.XLOOKUP(_xlpm.Site,tblSites[Max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58:INDEX($1:$1048576,ROW(),COLUMN()-1))),_xlpm.Remaining,MAX(0,_xlpm.MaxPts-_xlpm.PriorEnrolled),IF(OR(_xlpm.ActDate="",EOMONTH(S$5,0)&lt;_xlpm.StartDate,_xlpm.Remaining&lt;=0),0,MIN(_xlpm.MonthlyEnroll,_xlpm.Remaining))),0))</f>
        <v/>
      </c>
      <c r="T58" s="9" t="str">
        <f>IF($B58="","",IFERROR(_xlfn.LET(_xlpm.Site,$B58,_xlpm.ActDate,_xlfn.XLOOKUP(_xlpm.Site,tblSites[Current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58:INDEX($1:$1048576,ROW(),COLUMN()-1))),_xlpm.Remaining,MAX(0,_xlpm.MaxPts-_xlpm.PriorEnrolled),IF(OR(_xlpm.ActDate="",EOMONTH(T$5,0)&lt;_xlpm.StartDate,_xlpm.Remaining&lt;=0),0,MIN(_xlpm.MonthlyEnroll,_xlpm.Remaining))),0))</f>
        <v/>
      </c>
      <c r="U58" s="9" t="str">
        <f>IF($B58="","",IFERROR(_xlfn.LET(_xlpm.Site,$B58,_xlpm.ActDate,_xlfn.XLOOKUP(_xlpm.Site,tblSites[Include?],tblSites[Scenario?],""),_xlpm.ScreenDays,N('Study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58:INDEX($1:$1048576,ROW(),COLUMN()-1))),_xlpm.Remaining,MAX(0,_xlpm.MaxPts-_xlpm.PriorEnrolled),IF(OR(_xlpm.ActDate="",EOMONTH(U$5,0)&lt;_xlpm.StartDate,_xlpm.Remaining&lt;=0),0,MIN(_xlpm.MonthlyEnroll,_xlpm.Remaining))),0))</f>
        <v/>
      </c>
      <c r="V58" s="9" t="str">
        <f>IF($B58="","",IFERROR(_xlfn.LET(_xlpm.Site,$B58,_xlpm.ActDate,_xlfn.XLOOKUP(_xlpm.Site,tblSites[Scenario?],tblSites[Check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58:INDEX($1:$1048576,ROW(),COLUMN()-1))),_xlpm.Remaining,MAX(0,_xlpm.MaxPts-_xlpm.PriorEnrolled),IF(OR(_xlpm.ActDate="",EOMONTH(V$5,0)&lt;_xlpm.StartDate,_xlpm.Remaining&lt;=0),0,MIN(_xlpm.MonthlyEnroll,_xlpm.Remaining))),0))</f>
        <v/>
      </c>
      <c r="W58" s="9" t="str">
        <f>IF($B58="","",IFERROR(_xlfn.LET(_xlpm.Site,$B58,_xlpm.ActDate,_xlfn.XLOOKUP(_xlpm.Site,tblSites[Check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58:INDEX($1:$1048576,ROW(),COLUMN()-1))),_xlpm.Remaining,MAX(0,_xlpm.MaxPts-_xlpm.PriorEnrolled),IF(OR(_xlpm.ActDate="",EOMONTH(W$5,0)&lt;_xlpm.StartDate,_xlpm.Remaining&lt;=0),0,MIN(_xlpm.MonthlyEnroll,_xlpm.Remaining))),0))</f>
        <v/>
      </c>
      <c r="X58" s="9" t="str">
        <f>IF($B58="","",IFERROR(_xlfn.LET(_xlpm.Site,$B58,_xlpm.ActDate,_xlfn.XLOOKUP(_xlpm.Site,tblSites[Site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58:INDEX($1:$1048576,ROW(),COLUMN()-1))),_xlpm.Remaining,MAX(0,_xlpm.MaxPts-_xlpm.PriorEnrolled),IF(OR(_xlpm.ActDate="",EOMONTH(X$5,0)&lt;_xlpm.StartDate,_xlpm.Remaining&lt;=0),0,MIN(_xlpm.MonthlyEnroll,_xlpm.Remaining))),0))</f>
        <v/>
      </c>
      <c r="Y58" s="9" t="str">
        <f>IF($B58="","",IFERROR(_xlfn.LET(_xlpm.Site,$B58,_xlpm.ActDate,_xlfn.XLOOKUP(_xlpm.Site,#REF!,tblSites[Country],""),_xlpm.ScreenDays,N('Study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58:INDEX($1:$1048576,ROW(),COLUMN()-1))),_xlpm.Remaining,MAX(0,_xlpm.MaxPts-_xlpm.PriorEnrolled),IF(OR(_xlpm.ActDate="",EOMONTH(Y$5,0)&lt;_xlpm.StartDate,_xlpm.Remaining&lt;=0),0,MIN(_xlpm.MonthlyEnroll,_xlpm.Remaining))),0))</f>
        <v/>
      </c>
      <c r="Z58" s="9" t="str">
        <f>IF($B58="","",IFERROR(_xlfn.LET(_xlpm.Site,$B58,_xlpm.ActDate,_xlfn.XLOOKUP(_xlpm.Site,tblSites[Country],tblSites[Site],""),_xlpm.ScreenDays,N('Study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58:INDEX($1:$1048576,ROW(),COLUMN()-1))),_xlpm.Remaining,MAX(0,_xlpm.MaxPts-_xlpm.PriorEnrolled),IF(OR(_xlpm.ActDate="",EOMONTH(Z$5,0)&lt;_xlpm.StartDate,_xlpm.Remaining&lt;=0),0,MIN(_xlpm.MonthlyEnroll,_xlpm.Remaining))),0))</f>
        <v/>
      </c>
      <c r="AA58" s="9" t="str">
        <f>IF($B58="","",IFERROR(_xlfn.LET(_xlpm.Site,$B58,_xlpm.ActDate,_xlfn.XLOOKUP(_xlpm.Site,tblSites[Site],tblSites[Site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58:INDEX($1:$1048576,ROW(),COLUMN()-1))),_xlpm.Remaining,MAX(0,_xlpm.MaxPts-_xlpm.PriorEnrolled),IF(OR(_xlpm.ActDate="",EOMONTH(AA$5,0)&lt;_xlpm.StartDate,_xlpm.Remaining&lt;=0),0,MIN(_xlpm.MonthlyEnroll,_xlpm.Remaining))),0))</f>
        <v/>
      </c>
      <c r="AB58" s="9" t="str">
        <f>IF($B58="","",IFERROR(_xlfn.LET(_xlpm.Site,$B58,_xlpm.ActDate,_xlfn.XLOOKUP(_xlpm.Site,tblSites[Site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58:INDEX($1:$1048576,ROW(),COLUMN()-1))),_xlpm.Remaining,MAX(0,_xlpm.MaxPts-_xlpm.PriorEnrolled),IF(OR(_xlpm.ActDate="",EOMONTH(AB$5,0)&lt;_xlpm.StartDate,_xlpm.Remaining&lt;=0),0,MIN(_xlpm.MonthlyEnroll,_xlpm.Remaining))),0))</f>
        <v/>
      </c>
      <c r="AC58" s="9" t="str">
        <f>IF($B58="","",IFERROR(_xlfn.LET(_xlpm.Site,$B58,_xlpm.ActDate,_xlfn.XLOOKUP(_xlpm.Site,tblSites[Monthly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58:INDEX($1:$1048576,ROW(),COLUMN()-1))),_xlpm.Remaining,MAX(0,_xlpm.MaxPts-_xlpm.PriorEnrolled),IF(OR(_xlpm.ActDate="",EOMONTH(AC$5,0)&lt;_xlpm.StartDate,_xlpm.Remaining&lt;=0),0,MIN(_xlpm.MonthlyEnroll,_xlpm.Remaining))),0))</f>
        <v/>
      </c>
    </row>
    <row r="59" spans="3:29" x14ac:dyDescent="0.25">
      <c r="C59" s="9" cm="1">
        <f t="array" aca="1" ref="C59" ca="1">IF(C$5&lt;=TODAY(),0,IF($B59="","",IFERROR(_xlfn.LET(_xlpm.Site,$B59,_xlpm.SiteCol,INDIRECT("tblSites[Site]"),_xlpm.ActCol,INDIRECT("tblSites[Site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59" s="9" t="str">
        <f>IF($B59="","",IFERROR(_xlfn.LET(_xlpm.Site,$B59,_xlpm.ActDate,_xlfn.XLOOKUP(_xlpm.Site,tblSites[Site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59:INDEX($1:$1048576,ROW(),COLUMN()-1))),_xlpm.Remaining,MAX(0,_xlpm.MaxPts-_xlpm.PriorEnrolled),IF(OR(_xlpm.ActDate="",EOMONTH(D$5,0)&lt;_xlpm.StartDate,_xlpm.Remaining&lt;=0),0,MIN(_xlpm.MonthlyEnroll,_xlpm.Remaining))),0))</f>
        <v/>
      </c>
      <c r="E59" s="9" t="str">
        <f>IF($B59="","",IFERROR(_xlfn.LET(_xlpm.Site,$B59,_xlpm.ActDate,_xlfn.XLOOKUP(_xlpm.Site,tblSites[Monthly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59:INDEX($1:$1048576,ROW(),COLUMN()-1))),_xlpm.Remaining,MAX(0,_xlpm.MaxPts-_xlpm.PriorEnrolled),IF(OR(_xlpm.ActDate="",EOMONTH(E$5,0)&lt;_xlpm.StartDate,_xlpm.Remaining&lt;=0),0,MIN(_xlpm.MonthlyEnroll,_xlpm.Remaining))),0))</f>
        <v/>
      </c>
      <c r="F59" s="9" t="str">
        <f>IF($B59="","",IFERROR(_xlfn.LET(_xlpm.Site,$B59,_xlpm.ActDate,_xlfn.XLOOKUP(_xlpm.Site,tblSites[Site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59:INDEX($1:$1048576,ROW(),COLUMN()-1))),_xlpm.Remaining,MAX(0,_xlpm.MaxPts-_xlpm.PriorEnrolled),IF(OR(_xlpm.ActDate="",EOMONTH(F$5,0)&lt;_xlpm.StartDate,_xlpm.Remaining&lt;=0),0,MIN(_xlpm.MonthlyEnroll,_xlpm.Remaining))),0))</f>
        <v/>
      </c>
      <c r="G59" s="9" t="str">
        <f>IF($B59="","",IFERROR(_xlfn.LET(_xlpm.Site,$B59,_xlpm.ActDate,_xlfn.XLOOKUP(_xlpm.Site,tblSites[Max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59:INDEX($1:$1048576,ROW(),COLUMN()-1))),_xlpm.Remaining,MAX(0,_xlpm.MaxPts-_xlpm.PriorEnrolled),IF(OR(_xlpm.ActDate="",EOMONTH(G$5,0)&lt;_xlpm.StartDate,_xlpm.Remaining&lt;=0),0,MIN(_xlpm.MonthlyEnroll,_xlpm.Remaining))),0))</f>
        <v/>
      </c>
      <c r="H59" s="9" t="str">
        <f>IF($B59="","",IFERROR(_xlfn.LET(_xlpm.Site,$B59,_xlpm.ActDate,_xlfn.XLOOKUP(_xlpm.Site,tblSites[Current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59:INDEX($1:$1048576,ROW(),COLUMN()-1))),_xlpm.Remaining,MAX(0,_xlpm.MaxPts-_xlpm.PriorEnrolled),IF(OR(_xlpm.ActDate="",EOMONTH(H$5,0)&lt;_xlpm.StartDate,_xlpm.Remaining&lt;=0),0,MIN(_xlpm.MonthlyEnroll,_xlpm.Remaining))),0))</f>
        <v/>
      </c>
      <c r="I59" s="9" t="str">
        <f>IF($B59="","",IFERROR(_xlfn.LET(_xlpm.Site,$B59,_xlpm.ActDate,_xlfn.XLOOKUP(_xlpm.Site,tblSites[Include?],tblSites[Scenario?],""),_xlpm.ScreenDays,N('Study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59:INDEX($1:$1048576,ROW(),COLUMN()-1))),_xlpm.Remaining,MAX(0,_xlpm.MaxPts-_xlpm.PriorEnrolled),IF(OR(_xlpm.ActDate="",EOMONTH(I$5,0)&lt;_xlpm.StartDate,_xlpm.Remaining&lt;=0),0,MIN(_xlpm.MonthlyEnroll,_xlpm.Remaining))),0))</f>
        <v/>
      </c>
      <c r="J59" s="9" t="str">
        <f>IF($B59="","",IFERROR(_xlfn.LET(_xlpm.Site,$B59,_xlpm.ActDate,_xlfn.XLOOKUP(_xlpm.Site,tblSites[Scenario?],tblSites[Check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59:INDEX($1:$1048576,ROW(),COLUMN()-1))),_xlpm.Remaining,MAX(0,_xlpm.MaxPts-_xlpm.PriorEnrolled),IF(OR(_xlpm.ActDate="",EOMONTH(J$5,0)&lt;_xlpm.StartDate,_xlpm.Remaining&lt;=0),0,MIN(_xlpm.MonthlyEnroll,_xlpm.Remaining))),0))</f>
        <v/>
      </c>
      <c r="K59" s="9" t="str">
        <f>IF($B59="","",IFERROR(_xlfn.LET(_xlpm.Site,$B59,_xlpm.ActDate,_xlfn.XLOOKUP(_xlpm.Site,tblSites[Check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59:INDEX($1:$1048576,ROW(),COLUMN()-1))),_xlpm.Remaining,MAX(0,_xlpm.MaxPts-_xlpm.PriorEnrolled),IF(OR(_xlpm.ActDate="",EOMONTH(K$5,0)&lt;_xlpm.StartDate,_xlpm.Remaining&lt;=0),0,MIN(_xlpm.MonthlyEnroll,_xlpm.Remaining))),0))</f>
        <v/>
      </c>
      <c r="L59" s="9" t="str">
        <f>IF($B59="","",IFERROR(_xlfn.LET(_xlpm.Site,$B59,_xlpm.ActDate,_xlfn.XLOOKUP(_xlpm.Site,tblSites[Site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59:INDEX($1:$1048576,ROW(),COLUMN()-1))),_xlpm.Remaining,MAX(0,_xlpm.MaxPts-_xlpm.PriorEnrolled),IF(OR(_xlpm.ActDate="",EOMONTH(L$5,0)&lt;_xlpm.StartDate,_xlpm.Remaining&lt;=0),0,MIN(_xlpm.MonthlyEnroll,_xlpm.Remaining))),0))</f>
        <v/>
      </c>
      <c r="M59" s="9" t="str">
        <f>IF($B59="","",IFERROR(_xlfn.LET(_xlpm.Site,$B59,_xlpm.ActDate,_xlfn.XLOOKUP(_xlpm.Site,#REF!,tblSites[Country],""),_xlpm.ScreenDays,N('Study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59:INDEX($1:$1048576,ROW(),COLUMN()-1))),_xlpm.Remaining,MAX(0,_xlpm.MaxPts-_xlpm.PriorEnrolled),IF(OR(_xlpm.ActDate="",EOMONTH(M$5,0)&lt;_xlpm.StartDate,_xlpm.Remaining&lt;=0),0,MIN(_xlpm.MonthlyEnroll,_xlpm.Remaining))),0))</f>
        <v/>
      </c>
      <c r="N59" s="9" t="str">
        <f>IF($B59="","",IFERROR(_xlfn.LET(_xlpm.Site,$B59,_xlpm.ActDate,_xlfn.XLOOKUP(_xlpm.Site,tblSites[Country],tblSites[Site],""),_xlpm.ScreenDays,N('Study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59:INDEX($1:$1048576,ROW(),COLUMN()-1))),_xlpm.Remaining,MAX(0,_xlpm.MaxPts-_xlpm.PriorEnrolled),IF(OR(_xlpm.ActDate="",EOMONTH(N$5,0)&lt;_xlpm.StartDate,_xlpm.Remaining&lt;=0),0,MIN(_xlpm.MonthlyEnroll,_xlpm.Remaining))),0))</f>
        <v/>
      </c>
      <c r="O59" s="9" t="str">
        <f>IF($B59="","",IFERROR(_xlfn.LET(_xlpm.Site,$B59,_xlpm.ActDate,_xlfn.XLOOKUP(_xlpm.Site,tblSites[Site],tblSites[Site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59:INDEX($1:$1048576,ROW(),COLUMN()-1))),_xlpm.Remaining,MAX(0,_xlpm.MaxPts-_xlpm.PriorEnrolled),IF(OR(_xlpm.ActDate="",EOMONTH(O$5,0)&lt;_xlpm.StartDate,_xlpm.Remaining&lt;=0),0,MIN(_xlpm.MonthlyEnroll,_xlpm.Remaining))),0))</f>
        <v/>
      </c>
      <c r="P59" s="9" t="str">
        <f>IF($B59="","",IFERROR(_xlfn.LET(_xlpm.Site,$B59,_xlpm.ActDate,_xlfn.XLOOKUP(_xlpm.Site,tblSites[Site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59:INDEX($1:$1048576,ROW(),COLUMN()-1))),_xlpm.Remaining,MAX(0,_xlpm.MaxPts-_xlpm.PriorEnrolled),IF(OR(_xlpm.ActDate="",EOMONTH(P$5,0)&lt;_xlpm.StartDate,_xlpm.Remaining&lt;=0),0,MIN(_xlpm.MonthlyEnroll,_xlpm.Remaining))),0))</f>
        <v/>
      </c>
      <c r="Q59" s="9" t="str">
        <f>IF($B59="","",IFERROR(_xlfn.LET(_xlpm.Site,$B59,_xlpm.ActDate,_xlfn.XLOOKUP(_xlpm.Site,tblSites[Monthly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59:INDEX($1:$1048576,ROW(),COLUMN()-1))),_xlpm.Remaining,MAX(0,_xlpm.MaxPts-_xlpm.PriorEnrolled),IF(OR(_xlpm.ActDate="",EOMONTH(Q$5,0)&lt;_xlpm.StartDate,_xlpm.Remaining&lt;=0),0,MIN(_xlpm.MonthlyEnroll,_xlpm.Remaining))),0))</f>
        <v/>
      </c>
      <c r="R59" s="9" t="str">
        <f>IF($B59="","",IFERROR(_xlfn.LET(_xlpm.Site,$B59,_xlpm.ActDate,_xlfn.XLOOKUP(_xlpm.Site,tblSites[Site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59:INDEX($1:$1048576,ROW(),COLUMN()-1))),_xlpm.Remaining,MAX(0,_xlpm.MaxPts-_xlpm.PriorEnrolled),IF(OR(_xlpm.ActDate="",EOMONTH(R$5,0)&lt;_xlpm.StartDate,_xlpm.Remaining&lt;=0),0,MIN(_xlpm.MonthlyEnroll,_xlpm.Remaining))),0))</f>
        <v/>
      </c>
      <c r="S59" s="9" t="str">
        <f>IF($B59="","",IFERROR(_xlfn.LET(_xlpm.Site,$B59,_xlpm.ActDate,_xlfn.XLOOKUP(_xlpm.Site,tblSites[Max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59:INDEX($1:$1048576,ROW(),COLUMN()-1))),_xlpm.Remaining,MAX(0,_xlpm.MaxPts-_xlpm.PriorEnrolled),IF(OR(_xlpm.ActDate="",EOMONTH(S$5,0)&lt;_xlpm.StartDate,_xlpm.Remaining&lt;=0),0,MIN(_xlpm.MonthlyEnroll,_xlpm.Remaining))),0))</f>
        <v/>
      </c>
      <c r="T59" s="9" t="str">
        <f>IF($B59="","",IFERROR(_xlfn.LET(_xlpm.Site,$B59,_xlpm.ActDate,_xlfn.XLOOKUP(_xlpm.Site,tblSites[Current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59:INDEX($1:$1048576,ROW(),COLUMN()-1))),_xlpm.Remaining,MAX(0,_xlpm.MaxPts-_xlpm.PriorEnrolled),IF(OR(_xlpm.ActDate="",EOMONTH(T$5,0)&lt;_xlpm.StartDate,_xlpm.Remaining&lt;=0),0,MIN(_xlpm.MonthlyEnroll,_xlpm.Remaining))),0))</f>
        <v/>
      </c>
      <c r="U59" s="9" t="str">
        <f>IF($B59="","",IFERROR(_xlfn.LET(_xlpm.Site,$B59,_xlpm.ActDate,_xlfn.XLOOKUP(_xlpm.Site,tblSites[Include?],tblSites[Scenario?],""),_xlpm.ScreenDays,N('Study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59:INDEX($1:$1048576,ROW(),COLUMN()-1))),_xlpm.Remaining,MAX(0,_xlpm.MaxPts-_xlpm.PriorEnrolled),IF(OR(_xlpm.ActDate="",EOMONTH(U$5,0)&lt;_xlpm.StartDate,_xlpm.Remaining&lt;=0),0,MIN(_xlpm.MonthlyEnroll,_xlpm.Remaining))),0))</f>
        <v/>
      </c>
      <c r="V59" s="9" t="str">
        <f>IF($B59="","",IFERROR(_xlfn.LET(_xlpm.Site,$B59,_xlpm.ActDate,_xlfn.XLOOKUP(_xlpm.Site,tblSites[Scenario?],tblSites[Check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59:INDEX($1:$1048576,ROW(),COLUMN()-1))),_xlpm.Remaining,MAX(0,_xlpm.MaxPts-_xlpm.PriorEnrolled),IF(OR(_xlpm.ActDate="",EOMONTH(V$5,0)&lt;_xlpm.StartDate,_xlpm.Remaining&lt;=0),0,MIN(_xlpm.MonthlyEnroll,_xlpm.Remaining))),0))</f>
        <v/>
      </c>
      <c r="W59" s="9" t="str">
        <f>IF($B59="","",IFERROR(_xlfn.LET(_xlpm.Site,$B59,_xlpm.ActDate,_xlfn.XLOOKUP(_xlpm.Site,tblSites[Check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59:INDEX($1:$1048576,ROW(),COLUMN()-1))),_xlpm.Remaining,MAX(0,_xlpm.MaxPts-_xlpm.PriorEnrolled),IF(OR(_xlpm.ActDate="",EOMONTH(W$5,0)&lt;_xlpm.StartDate,_xlpm.Remaining&lt;=0),0,MIN(_xlpm.MonthlyEnroll,_xlpm.Remaining))),0))</f>
        <v/>
      </c>
      <c r="X59" s="9" t="str">
        <f>IF($B59="","",IFERROR(_xlfn.LET(_xlpm.Site,$B59,_xlpm.ActDate,_xlfn.XLOOKUP(_xlpm.Site,tblSites[Site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59:INDEX($1:$1048576,ROW(),COLUMN()-1))),_xlpm.Remaining,MAX(0,_xlpm.MaxPts-_xlpm.PriorEnrolled),IF(OR(_xlpm.ActDate="",EOMONTH(X$5,0)&lt;_xlpm.StartDate,_xlpm.Remaining&lt;=0),0,MIN(_xlpm.MonthlyEnroll,_xlpm.Remaining))),0))</f>
        <v/>
      </c>
      <c r="Y59" s="9" t="str">
        <f>IF($B59="","",IFERROR(_xlfn.LET(_xlpm.Site,$B59,_xlpm.ActDate,_xlfn.XLOOKUP(_xlpm.Site,#REF!,tblSites[Country],""),_xlpm.ScreenDays,N('Study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59:INDEX($1:$1048576,ROW(),COLUMN()-1))),_xlpm.Remaining,MAX(0,_xlpm.MaxPts-_xlpm.PriorEnrolled),IF(OR(_xlpm.ActDate="",EOMONTH(Y$5,0)&lt;_xlpm.StartDate,_xlpm.Remaining&lt;=0),0,MIN(_xlpm.MonthlyEnroll,_xlpm.Remaining))),0))</f>
        <v/>
      </c>
      <c r="Z59" s="9" t="str">
        <f>IF($B59="","",IFERROR(_xlfn.LET(_xlpm.Site,$B59,_xlpm.ActDate,_xlfn.XLOOKUP(_xlpm.Site,tblSites[Country],tblSites[Site],""),_xlpm.ScreenDays,N('Study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59:INDEX($1:$1048576,ROW(),COLUMN()-1))),_xlpm.Remaining,MAX(0,_xlpm.MaxPts-_xlpm.PriorEnrolled),IF(OR(_xlpm.ActDate="",EOMONTH(Z$5,0)&lt;_xlpm.StartDate,_xlpm.Remaining&lt;=0),0,MIN(_xlpm.MonthlyEnroll,_xlpm.Remaining))),0))</f>
        <v/>
      </c>
      <c r="AA59" s="9" t="str">
        <f>IF($B59="","",IFERROR(_xlfn.LET(_xlpm.Site,$B59,_xlpm.ActDate,_xlfn.XLOOKUP(_xlpm.Site,tblSites[Site],tblSites[Site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59:INDEX($1:$1048576,ROW(),COLUMN()-1))),_xlpm.Remaining,MAX(0,_xlpm.MaxPts-_xlpm.PriorEnrolled),IF(OR(_xlpm.ActDate="",EOMONTH(AA$5,0)&lt;_xlpm.StartDate,_xlpm.Remaining&lt;=0),0,MIN(_xlpm.MonthlyEnroll,_xlpm.Remaining))),0))</f>
        <v/>
      </c>
      <c r="AB59" s="9" t="str">
        <f>IF($B59="","",IFERROR(_xlfn.LET(_xlpm.Site,$B59,_xlpm.ActDate,_xlfn.XLOOKUP(_xlpm.Site,tblSites[Site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59:INDEX($1:$1048576,ROW(),COLUMN()-1))),_xlpm.Remaining,MAX(0,_xlpm.MaxPts-_xlpm.PriorEnrolled),IF(OR(_xlpm.ActDate="",EOMONTH(AB$5,0)&lt;_xlpm.StartDate,_xlpm.Remaining&lt;=0),0,MIN(_xlpm.MonthlyEnroll,_xlpm.Remaining))),0))</f>
        <v/>
      </c>
      <c r="AC59" s="9" t="str">
        <f>IF($B59="","",IFERROR(_xlfn.LET(_xlpm.Site,$B59,_xlpm.ActDate,_xlfn.XLOOKUP(_xlpm.Site,tblSites[Monthly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59:INDEX($1:$1048576,ROW(),COLUMN()-1))),_xlpm.Remaining,MAX(0,_xlpm.MaxPts-_xlpm.PriorEnrolled),IF(OR(_xlpm.ActDate="",EOMONTH(AC$5,0)&lt;_xlpm.StartDate,_xlpm.Remaining&lt;=0),0,MIN(_xlpm.MonthlyEnroll,_xlpm.Remaining))),0))</f>
        <v/>
      </c>
    </row>
    <row r="60" spans="3:29" x14ac:dyDescent="0.25">
      <c r="C60" s="9" cm="1">
        <f t="array" aca="1" ref="C60" ca="1">IF(C$5&lt;=TODAY(),0,IF($B60="","",IFERROR(_xlfn.LET(_xlpm.Site,$B60,_xlpm.SiteCol,INDIRECT("tblSites[Site]"),_xlpm.ActCol,INDIRECT("tblSites[Site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0" s="9" t="str">
        <f>IF($B60="","",IFERROR(_xlfn.LET(_xlpm.Site,$B60,_xlpm.ActDate,_xlfn.XLOOKUP(_xlpm.Site,tblSites[Site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60:INDEX($1:$1048576,ROW(),COLUMN()-1))),_xlpm.Remaining,MAX(0,_xlpm.MaxPts-_xlpm.PriorEnrolled),IF(OR(_xlpm.ActDate="",EOMONTH(D$5,0)&lt;_xlpm.StartDate,_xlpm.Remaining&lt;=0),0,MIN(_xlpm.MonthlyEnroll,_xlpm.Remaining))),0))</f>
        <v/>
      </c>
      <c r="E60" s="9" t="str">
        <f>IF($B60="","",IFERROR(_xlfn.LET(_xlpm.Site,$B60,_xlpm.ActDate,_xlfn.XLOOKUP(_xlpm.Site,tblSites[Monthly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60:INDEX($1:$1048576,ROW(),COLUMN()-1))),_xlpm.Remaining,MAX(0,_xlpm.MaxPts-_xlpm.PriorEnrolled),IF(OR(_xlpm.ActDate="",EOMONTH(E$5,0)&lt;_xlpm.StartDate,_xlpm.Remaining&lt;=0),0,MIN(_xlpm.MonthlyEnroll,_xlpm.Remaining))),0))</f>
        <v/>
      </c>
      <c r="F60" s="9" t="str">
        <f>IF($B60="","",IFERROR(_xlfn.LET(_xlpm.Site,$B60,_xlpm.ActDate,_xlfn.XLOOKUP(_xlpm.Site,tblSites[Site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60:INDEX($1:$1048576,ROW(),COLUMN()-1))),_xlpm.Remaining,MAX(0,_xlpm.MaxPts-_xlpm.PriorEnrolled),IF(OR(_xlpm.ActDate="",EOMONTH(F$5,0)&lt;_xlpm.StartDate,_xlpm.Remaining&lt;=0),0,MIN(_xlpm.MonthlyEnroll,_xlpm.Remaining))),0))</f>
        <v/>
      </c>
      <c r="G60" s="9" t="str">
        <f>IF($B60="","",IFERROR(_xlfn.LET(_xlpm.Site,$B60,_xlpm.ActDate,_xlfn.XLOOKUP(_xlpm.Site,tblSites[Max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60:INDEX($1:$1048576,ROW(),COLUMN()-1))),_xlpm.Remaining,MAX(0,_xlpm.MaxPts-_xlpm.PriorEnrolled),IF(OR(_xlpm.ActDate="",EOMONTH(G$5,0)&lt;_xlpm.StartDate,_xlpm.Remaining&lt;=0),0,MIN(_xlpm.MonthlyEnroll,_xlpm.Remaining))),0))</f>
        <v/>
      </c>
      <c r="H60" s="9" t="str">
        <f>IF($B60="","",IFERROR(_xlfn.LET(_xlpm.Site,$B60,_xlpm.ActDate,_xlfn.XLOOKUP(_xlpm.Site,tblSites[Current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60:INDEX($1:$1048576,ROW(),COLUMN()-1))),_xlpm.Remaining,MAX(0,_xlpm.MaxPts-_xlpm.PriorEnrolled),IF(OR(_xlpm.ActDate="",EOMONTH(H$5,0)&lt;_xlpm.StartDate,_xlpm.Remaining&lt;=0),0,MIN(_xlpm.MonthlyEnroll,_xlpm.Remaining))),0))</f>
        <v/>
      </c>
      <c r="I60" s="9" t="str">
        <f>IF($B60="","",IFERROR(_xlfn.LET(_xlpm.Site,$B60,_xlpm.ActDate,_xlfn.XLOOKUP(_xlpm.Site,tblSites[Include?],tblSites[Scenario?],""),_xlpm.ScreenDays,N('Study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60:INDEX($1:$1048576,ROW(),COLUMN()-1))),_xlpm.Remaining,MAX(0,_xlpm.MaxPts-_xlpm.PriorEnrolled),IF(OR(_xlpm.ActDate="",EOMONTH(I$5,0)&lt;_xlpm.StartDate,_xlpm.Remaining&lt;=0),0,MIN(_xlpm.MonthlyEnroll,_xlpm.Remaining))),0))</f>
        <v/>
      </c>
      <c r="J60" s="9" t="str">
        <f>IF($B60="","",IFERROR(_xlfn.LET(_xlpm.Site,$B60,_xlpm.ActDate,_xlfn.XLOOKUP(_xlpm.Site,tblSites[Scenario?],tblSites[Check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60:INDEX($1:$1048576,ROW(),COLUMN()-1))),_xlpm.Remaining,MAX(0,_xlpm.MaxPts-_xlpm.PriorEnrolled),IF(OR(_xlpm.ActDate="",EOMONTH(J$5,0)&lt;_xlpm.StartDate,_xlpm.Remaining&lt;=0),0,MIN(_xlpm.MonthlyEnroll,_xlpm.Remaining))),0))</f>
        <v/>
      </c>
      <c r="K60" s="9" t="str">
        <f>IF($B60="","",IFERROR(_xlfn.LET(_xlpm.Site,$B60,_xlpm.ActDate,_xlfn.XLOOKUP(_xlpm.Site,tblSites[Check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60:INDEX($1:$1048576,ROW(),COLUMN()-1))),_xlpm.Remaining,MAX(0,_xlpm.MaxPts-_xlpm.PriorEnrolled),IF(OR(_xlpm.ActDate="",EOMONTH(K$5,0)&lt;_xlpm.StartDate,_xlpm.Remaining&lt;=0),0,MIN(_xlpm.MonthlyEnroll,_xlpm.Remaining))),0))</f>
        <v/>
      </c>
      <c r="L60" s="9" t="str">
        <f>IF($B60="","",IFERROR(_xlfn.LET(_xlpm.Site,$B60,_xlpm.ActDate,_xlfn.XLOOKUP(_xlpm.Site,tblSites[Site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60:INDEX($1:$1048576,ROW(),COLUMN()-1))),_xlpm.Remaining,MAX(0,_xlpm.MaxPts-_xlpm.PriorEnrolled),IF(OR(_xlpm.ActDate="",EOMONTH(L$5,0)&lt;_xlpm.StartDate,_xlpm.Remaining&lt;=0),0,MIN(_xlpm.MonthlyEnroll,_xlpm.Remaining))),0))</f>
        <v/>
      </c>
      <c r="M60" s="9" t="str">
        <f>IF($B60="","",IFERROR(_xlfn.LET(_xlpm.Site,$B60,_xlpm.ActDate,_xlfn.XLOOKUP(_xlpm.Site,#REF!,tblSites[Country],""),_xlpm.ScreenDays,N('Study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60:INDEX($1:$1048576,ROW(),COLUMN()-1))),_xlpm.Remaining,MAX(0,_xlpm.MaxPts-_xlpm.PriorEnrolled),IF(OR(_xlpm.ActDate="",EOMONTH(M$5,0)&lt;_xlpm.StartDate,_xlpm.Remaining&lt;=0),0,MIN(_xlpm.MonthlyEnroll,_xlpm.Remaining))),0))</f>
        <v/>
      </c>
      <c r="N60" s="9" t="str">
        <f>IF($B60="","",IFERROR(_xlfn.LET(_xlpm.Site,$B60,_xlpm.ActDate,_xlfn.XLOOKUP(_xlpm.Site,tblSites[Country],tblSites[Site],""),_xlpm.ScreenDays,N('Study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60:INDEX($1:$1048576,ROW(),COLUMN()-1))),_xlpm.Remaining,MAX(0,_xlpm.MaxPts-_xlpm.PriorEnrolled),IF(OR(_xlpm.ActDate="",EOMONTH(N$5,0)&lt;_xlpm.StartDate,_xlpm.Remaining&lt;=0),0,MIN(_xlpm.MonthlyEnroll,_xlpm.Remaining))),0))</f>
        <v/>
      </c>
      <c r="O60" s="9" t="str">
        <f>IF($B60="","",IFERROR(_xlfn.LET(_xlpm.Site,$B60,_xlpm.ActDate,_xlfn.XLOOKUP(_xlpm.Site,tblSites[Site],tblSites[Site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60:INDEX($1:$1048576,ROW(),COLUMN()-1))),_xlpm.Remaining,MAX(0,_xlpm.MaxPts-_xlpm.PriorEnrolled),IF(OR(_xlpm.ActDate="",EOMONTH(O$5,0)&lt;_xlpm.StartDate,_xlpm.Remaining&lt;=0),0,MIN(_xlpm.MonthlyEnroll,_xlpm.Remaining))),0))</f>
        <v/>
      </c>
      <c r="P60" s="9" t="str">
        <f>IF($B60="","",IFERROR(_xlfn.LET(_xlpm.Site,$B60,_xlpm.ActDate,_xlfn.XLOOKUP(_xlpm.Site,tblSites[Site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60:INDEX($1:$1048576,ROW(),COLUMN()-1))),_xlpm.Remaining,MAX(0,_xlpm.MaxPts-_xlpm.PriorEnrolled),IF(OR(_xlpm.ActDate="",EOMONTH(P$5,0)&lt;_xlpm.StartDate,_xlpm.Remaining&lt;=0),0,MIN(_xlpm.MonthlyEnroll,_xlpm.Remaining))),0))</f>
        <v/>
      </c>
      <c r="Q60" s="9" t="str">
        <f>IF($B60="","",IFERROR(_xlfn.LET(_xlpm.Site,$B60,_xlpm.ActDate,_xlfn.XLOOKUP(_xlpm.Site,tblSites[Monthly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60:INDEX($1:$1048576,ROW(),COLUMN()-1))),_xlpm.Remaining,MAX(0,_xlpm.MaxPts-_xlpm.PriorEnrolled),IF(OR(_xlpm.ActDate="",EOMONTH(Q$5,0)&lt;_xlpm.StartDate,_xlpm.Remaining&lt;=0),0,MIN(_xlpm.MonthlyEnroll,_xlpm.Remaining))),0))</f>
        <v/>
      </c>
      <c r="R60" s="9" t="str">
        <f>IF($B60="","",IFERROR(_xlfn.LET(_xlpm.Site,$B60,_xlpm.ActDate,_xlfn.XLOOKUP(_xlpm.Site,tblSites[Site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60:INDEX($1:$1048576,ROW(),COLUMN()-1))),_xlpm.Remaining,MAX(0,_xlpm.MaxPts-_xlpm.PriorEnrolled),IF(OR(_xlpm.ActDate="",EOMONTH(R$5,0)&lt;_xlpm.StartDate,_xlpm.Remaining&lt;=0),0,MIN(_xlpm.MonthlyEnroll,_xlpm.Remaining))),0))</f>
        <v/>
      </c>
      <c r="S60" s="9" t="str">
        <f>IF($B60="","",IFERROR(_xlfn.LET(_xlpm.Site,$B60,_xlpm.ActDate,_xlfn.XLOOKUP(_xlpm.Site,tblSites[Max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60:INDEX($1:$1048576,ROW(),COLUMN()-1))),_xlpm.Remaining,MAX(0,_xlpm.MaxPts-_xlpm.PriorEnrolled),IF(OR(_xlpm.ActDate="",EOMONTH(S$5,0)&lt;_xlpm.StartDate,_xlpm.Remaining&lt;=0),0,MIN(_xlpm.MonthlyEnroll,_xlpm.Remaining))),0))</f>
        <v/>
      </c>
      <c r="T60" s="9" t="str">
        <f>IF($B60="","",IFERROR(_xlfn.LET(_xlpm.Site,$B60,_xlpm.ActDate,_xlfn.XLOOKUP(_xlpm.Site,tblSites[Current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60:INDEX($1:$1048576,ROW(),COLUMN()-1))),_xlpm.Remaining,MAX(0,_xlpm.MaxPts-_xlpm.PriorEnrolled),IF(OR(_xlpm.ActDate="",EOMONTH(T$5,0)&lt;_xlpm.StartDate,_xlpm.Remaining&lt;=0),0,MIN(_xlpm.MonthlyEnroll,_xlpm.Remaining))),0))</f>
        <v/>
      </c>
      <c r="U60" s="9" t="str">
        <f>IF($B60="","",IFERROR(_xlfn.LET(_xlpm.Site,$B60,_xlpm.ActDate,_xlfn.XLOOKUP(_xlpm.Site,tblSites[Include?],tblSites[Scenario?],""),_xlpm.ScreenDays,N('Study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60:INDEX($1:$1048576,ROW(),COLUMN()-1))),_xlpm.Remaining,MAX(0,_xlpm.MaxPts-_xlpm.PriorEnrolled),IF(OR(_xlpm.ActDate="",EOMONTH(U$5,0)&lt;_xlpm.StartDate,_xlpm.Remaining&lt;=0),0,MIN(_xlpm.MonthlyEnroll,_xlpm.Remaining))),0))</f>
        <v/>
      </c>
      <c r="V60" s="9" t="str">
        <f>IF($B60="","",IFERROR(_xlfn.LET(_xlpm.Site,$B60,_xlpm.ActDate,_xlfn.XLOOKUP(_xlpm.Site,tblSites[Scenario?],tblSites[Check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60:INDEX($1:$1048576,ROW(),COLUMN()-1))),_xlpm.Remaining,MAX(0,_xlpm.MaxPts-_xlpm.PriorEnrolled),IF(OR(_xlpm.ActDate="",EOMONTH(V$5,0)&lt;_xlpm.StartDate,_xlpm.Remaining&lt;=0),0,MIN(_xlpm.MonthlyEnroll,_xlpm.Remaining))),0))</f>
        <v/>
      </c>
      <c r="W60" s="9" t="str">
        <f>IF($B60="","",IFERROR(_xlfn.LET(_xlpm.Site,$B60,_xlpm.ActDate,_xlfn.XLOOKUP(_xlpm.Site,tblSites[Check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60:INDEX($1:$1048576,ROW(),COLUMN()-1))),_xlpm.Remaining,MAX(0,_xlpm.MaxPts-_xlpm.PriorEnrolled),IF(OR(_xlpm.ActDate="",EOMONTH(W$5,0)&lt;_xlpm.StartDate,_xlpm.Remaining&lt;=0),0,MIN(_xlpm.MonthlyEnroll,_xlpm.Remaining))),0))</f>
        <v/>
      </c>
      <c r="X60" s="9" t="str">
        <f>IF($B60="","",IFERROR(_xlfn.LET(_xlpm.Site,$B60,_xlpm.ActDate,_xlfn.XLOOKUP(_xlpm.Site,tblSites[Site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60:INDEX($1:$1048576,ROW(),COLUMN()-1))),_xlpm.Remaining,MAX(0,_xlpm.MaxPts-_xlpm.PriorEnrolled),IF(OR(_xlpm.ActDate="",EOMONTH(X$5,0)&lt;_xlpm.StartDate,_xlpm.Remaining&lt;=0),0,MIN(_xlpm.MonthlyEnroll,_xlpm.Remaining))),0))</f>
        <v/>
      </c>
      <c r="Y60" s="9" t="str">
        <f>IF($B60="","",IFERROR(_xlfn.LET(_xlpm.Site,$B60,_xlpm.ActDate,_xlfn.XLOOKUP(_xlpm.Site,#REF!,tblSites[Country],""),_xlpm.ScreenDays,N('Study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60:INDEX($1:$1048576,ROW(),COLUMN()-1))),_xlpm.Remaining,MAX(0,_xlpm.MaxPts-_xlpm.PriorEnrolled),IF(OR(_xlpm.ActDate="",EOMONTH(Y$5,0)&lt;_xlpm.StartDate,_xlpm.Remaining&lt;=0),0,MIN(_xlpm.MonthlyEnroll,_xlpm.Remaining))),0))</f>
        <v/>
      </c>
      <c r="Z60" s="9" t="str">
        <f>IF($B60="","",IFERROR(_xlfn.LET(_xlpm.Site,$B60,_xlpm.ActDate,_xlfn.XLOOKUP(_xlpm.Site,tblSites[Country],tblSites[Site],""),_xlpm.ScreenDays,N('Study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60:INDEX($1:$1048576,ROW(),COLUMN()-1))),_xlpm.Remaining,MAX(0,_xlpm.MaxPts-_xlpm.PriorEnrolled),IF(OR(_xlpm.ActDate="",EOMONTH(Z$5,0)&lt;_xlpm.StartDate,_xlpm.Remaining&lt;=0),0,MIN(_xlpm.MonthlyEnroll,_xlpm.Remaining))),0))</f>
        <v/>
      </c>
      <c r="AA60" s="9" t="str">
        <f>IF($B60="","",IFERROR(_xlfn.LET(_xlpm.Site,$B60,_xlpm.ActDate,_xlfn.XLOOKUP(_xlpm.Site,tblSites[Site],tblSites[Site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60:INDEX($1:$1048576,ROW(),COLUMN()-1))),_xlpm.Remaining,MAX(0,_xlpm.MaxPts-_xlpm.PriorEnrolled),IF(OR(_xlpm.ActDate="",EOMONTH(AA$5,0)&lt;_xlpm.StartDate,_xlpm.Remaining&lt;=0),0,MIN(_xlpm.MonthlyEnroll,_xlpm.Remaining))),0))</f>
        <v/>
      </c>
      <c r="AB60" s="9" t="str">
        <f>IF($B60="","",IFERROR(_xlfn.LET(_xlpm.Site,$B60,_xlpm.ActDate,_xlfn.XLOOKUP(_xlpm.Site,tblSites[Site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60:INDEX($1:$1048576,ROW(),COLUMN()-1))),_xlpm.Remaining,MAX(0,_xlpm.MaxPts-_xlpm.PriorEnrolled),IF(OR(_xlpm.ActDate="",EOMONTH(AB$5,0)&lt;_xlpm.StartDate,_xlpm.Remaining&lt;=0),0,MIN(_xlpm.MonthlyEnroll,_xlpm.Remaining))),0))</f>
        <v/>
      </c>
      <c r="AC60" s="9" t="str">
        <f>IF($B60="","",IFERROR(_xlfn.LET(_xlpm.Site,$B60,_xlpm.ActDate,_xlfn.XLOOKUP(_xlpm.Site,tblSites[Monthly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60:INDEX($1:$1048576,ROW(),COLUMN()-1))),_xlpm.Remaining,MAX(0,_xlpm.MaxPts-_xlpm.PriorEnrolled),IF(OR(_xlpm.ActDate="",EOMONTH(AC$5,0)&lt;_xlpm.StartDate,_xlpm.Remaining&lt;=0),0,MIN(_xlpm.MonthlyEnroll,_xlpm.Remaining))),0))</f>
        <v/>
      </c>
    </row>
    <row r="61" spans="3:29" x14ac:dyDescent="0.25">
      <c r="C61" s="9" cm="1">
        <f t="array" aca="1" ref="C61" ca="1">IF(C$5&lt;=TODAY(),0,IF($B61="","",IFERROR(_xlfn.LET(_xlpm.Site,$B61,_xlpm.SiteCol,INDIRECT("tblSites[Site]"),_xlpm.ActCol,INDIRECT("tblSites[Site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1" s="9" t="str">
        <f>IF($B61="","",IFERROR(_xlfn.LET(_xlpm.Site,$B61,_xlpm.ActDate,_xlfn.XLOOKUP(_xlpm.Site,tblSites[Site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61:INDEX($1:$1048576,ROW(),COLUMN()-1))),_xlpm.Remaining,MAX(0,_xlpm.MaxPts-_xlpm.PriorEnrolled),IF(OR(_xlpm.ActDate="",EOMONTH(D$5,0)&lt;_xlpm.StartDate,_xlpm.Remaining&lt;=0),0,MIN(_xlpm.MonthlyEnroll,_xlpm.Remaining))),0))</f>
        <v/>
      </c>
      <c r="E61" s="9" t="str">
        <f>IF($B61="","",IFERROR(_xlfn.LET(_xlpm.Site,$B61,_xlpm.ActDate,_xlfn.XLOOKUP(_xlpm.Site,tblSites[Monthly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61:INDEX($1:$1048576,ROW(),COLUMN()-1))),_xlpm.Remaining,MAX(0,_xlpm.MaxPts-_xlpm.PriorEnrolled),IF(OR(_xlpm.ActDate="",EOMONTH(E$5,0)&lt;_xlpm.StartDate,_xlpm.Remaining&lt;=0),0,MIN(_xlpm.MonthlyEnroll,_xlpm.Remaining))),0))</f>
        <v/>
      </c>
      <c r="F61" s="9" t="str">
        <f>IF($B61="","",IFERROR(_xlfn.LET(_xlpm.Site,$B61,_xlpm.ActDate,_xlfn.XLOOKUP(_xlpm.Site,tblSites[Site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61:INDEX($1:$1048576,ROW(),COLUMN()-1))),_xlpm.Remaining,MAX(0,_xlpm.MaxPts-_xlpm.PriorEnrolled),IF(OR(_xlpm.ActDate="",EOMONTH(F$5,0)&lt;_xlpm.StartDate,_xlpm.Remaining&lt;=0),0,MIN(_xlpm.MonthlyEnroll,_xlpm.Remaining))),0))</f>
        <v/>
      </c>
      <c r="G61" s="9" t="str">
        <f>IF($B61="","",IFERROR(_xlfn.LET(_xlpm.Site,$B61,_xlpm.ActDate,_xlfn.XLOOKUP(_xlpm.Site,tblSites[Max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61:INDEX($1:$1048576,ROW(),COLUMN()-1))),_xlpm.Remaining,MAX(0,_xlpm.MaxPts-_xlpm.PriorEnrolled),IF(OR(_xlpm.ActDate="",EOMONTH(G$5,0)&lt;_xlpm.StartDate,_xlpm.Remaining&lt;=0),0,MIN(_xlpm.MonthlyEnroll,_xlpm.Remaining))),0))</f>
        <v/>
      </c>
      <c r="H61" s="9" t="str">
        <f>IF($B61="","",IFERROR(_xlfn.LET(_xlpm.Site,$B61,_xlpm.ActDate,_xlfn.XLOOKUP(_xlpm.Site,tblSites[Current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61:INDEX($1:$1048576,ROW(),COLUMN()-1))),_xlpm.Remaining,MAX(0,_xlpm.MaxPts-_xlpm.PriorEnrolled),IF(OR(_xlpm.ActDate="",EOMONTH(H$5,0)&lt;_xlpm.StartDate,_xlpm.Remaining&lt;=0),0,MIN(_xlpm.MonthlyEnroll,_xlpm.Remaining))),0))</f>
        <v/>
      </c>
      <c r="I61" s="9" t="str">
        <f>IF($B61="","",IFERROR(_xlfn.LET(_xlpm.Site,$B61,_xlpm.ActDate,_xlfn.XLOOKUP(_xlpm.Site,tblSites[Include?],tblSites[Scenario?],""),_xlpm.ScreenDays,N('Study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61:INDEX($1:$1048576,ROW(),COLUMN()-1))),_xlpm.Remaining,MAX(0,_xlpm.MaxPts-_xlpm.PriorEnrolled),IF(OR(_xlpm.ActDate="",EOMONTH(I$5,0)&lt;_xlpm.StartDate,_xlpm.Remaining&lt;=0),0,MIN(_xlpm.MonthlyEnroll,_xlpm.Remaining))),0))</f>
        <v/>
      </c>
      <c r="J61" s="9" t="str">
        <f>IF($B61="","",IFERROR(_xlfn.LET(_xlpm.Site,$B61,_xlpm.ActDate,_xlfn.XLOOKUP(_xlpm.Site,tblSites[Scenario?],tblSites[Check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61:INDEX($1:$1048576,ROW(),COLUMN()-1))),_xlpm.Remaining,MAX(0,_xlpm.MaxPts-_xlpm.PriorEnrolled),IF(OR(_xlpm.ActDate="",EOMONTH(J$5,0)&lt;_xlpm.StartDate,_xlpm.Remaining&lt;=0),0,MIN(_xlpm.MonthlyEnroll,_xlpm.Remaining))),0))</f>
        <v/>
      </c>
      <c r="K61" s="9" t="str">
        <f>IF($B61="","",IFERROR(_xlfn.LET(_xlpm.Site,$B61,_xlpm.ActDate,_xlfn.XLOOKUP(_xlpm.Site,tblSites[Check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61:INDEX($1:$1048576,ROW(),COLUMN()-1))),_xlpm.Remaining,MAX(0,_xlpm.MaxPts-_xlpm.PriorEnrolled),IF(OR(_xlpm.ActDate="",EOMONTH(K$5,0)&lt;_xlpm.StartDate,_xlpm.Remaining&lt;=0),0,MIN(_xlpm.MonthlyEnroll,_xlpm.Remaining))),0))</f>
        <v/>
      </c>
      <c r="L61" s="9" t="str">
        <f>IF($B61="","",IFERROR(_xlfn.LET(_xlpm.Site,$B61,_xlpm.ActDate,_xlfn.XLOOKUP(_xlpm.Site,tblSites[Site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61:INDEX($1:$1048576,ROW(),COLUMN()-1))),_xlpm.Remaining,MAX(0,_xlpm.MaxPts-_xlpm.PriorEnrolled),IF(OR(_xlpm.ActDate="",EOMONTH(L$5,0)&lt;_xlpm.StartDate,_xlpm.Remaining&lt;=0),0,MIN(_xlpm.MonthlyEnroll,_xlpm.Remaining))),0))</f>
        <v/>
      </c>
      <c r="M61" s="9" t="str">
        <f>IF($B61="","",IFERROR(_xlfn.LET(_xlpm.Site,$B61,_xlpm.ActDate,_xlfn.XLOOKUP(_xlpm.Site,#REF!,tblSites[Country],""),_xlpm.ScreenDays,N('Study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61:INDEX($1:$1048576,ROW(),COLUMN()-1))),_xlpm.Remaining,MAX(0,_xlpm.MaxPts-_xlpm.PriorEnrolled),IF(OR(_xlpm.ActDate="",EOMONTH(M$5,0)&lt;_xlpm.StartDate,_xlpm.Remaining&lt;=0),0,MIN(_xlpm.MonthlyEnroll,_xlpm.Remaining))),0))</f>
        <v/>
      </c>
      <c r="N61" s="9" t="str">
        <f>IF($B61="","",IFERROR(_xlfn.LET(_xlpm.Site,$B61,_xlpm.ActDate,_xlfn.XLOOKUP(_xlpm.Site,tblSites[Country],tblSites[Site],""),_xlpm.ScreenDays,N('Study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61:INDEX($1:$1048576,ROW(),COLUMN()-1))),_xlpm.Remaining,MAX(0,_xlpm.MaxPts-_xlpm.PriorEnrolled),IF(OR(_xlpm.ActDate="",EOMONTH(N$5,0)&lt;_xlpm.StartDate,_xlpm.Remaining&lt;=0),0,MIN(_xlpm.MonthlyEnroll,_xlpm.Remaining))),0))</f>
        <v/>
      </c>
      <c r="O61" s="9" t="str">
        <f>IF($B61="","",IFERROR(_xlfn.LET(_xlpm.Site,$B61,_xlpm.ActDate,_xlfn.XLOOKUP(_xlpm.Site,tblSites[Site],tblSites[Site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61:INDEX($1:$1048576,ROW(),COLUMN()-1))),_xlpm.Remaining,MAX(0,_xlpm.MaxPts-_xlpm.PriorEnrolled),IF(OR(_xlpm.ActDate="",EOMONTH(O$5,0)&lt;_xlpm.StartDate,_xlpm.Remaining&lt;=0),0,MIN(_xlpm.MonthlyEnroll,_xlpm.Remaining))),0))</f>
        <v/>
      </c>
      <c r="P61" s="9" t="str">
        <f>IF($B61="","",IFERROR(_xlfn.LET(_xlpm.Site,$B61,_xlpm.ActDate,_xlfn.XLOOKUP(_xlpm.Site,tblSites[Site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61:INDEX($1:$1048576,ROW(),COLUMN()-1))),_xlpm.Remaining,MAX(0,_xlpm.MaxPts-_xlpm.PriorEnrolled),IF(OR(_xlpm.ActDate="",EOMONTH(P$5,0)&lt;_xlpm.StartDate,_xlpm.Remaining&lt;=0),0,MIN(_xlpm.MonthlyEnroll,_xlpm.Remaining))),0))</f>
        <v/>
      </c>
      <c r="Q61" s="9" t="str">
        <f>IF($B61="","",IFERROR(_xlfn.LET(_xlpm.Site,$B61,_xlpm.ActDate,_xlfn.XLOOKUP(_xlpm.Site,tblSites[Monthly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61:INDEX($1:$1048576,ROW(),COLUMN()-1))),_xlpm.Remaining,MAX(0,_xlpm.MaxPts-_xlpm.PriorEnrolled),IF(OR(_xlpm.ActDate="",EOMONTH(Q$5,0)&lt;_xlpm.StartDate,_xlpm.Remaining&lt;=0),0,MIN(_xlpm.MonthlyEnroll,_xlpm.Remaining))),0))</f>
        <v/>
      </c>
      <c r="R61" s="9" t="str">
        <f>IF($B61="","",IFERROR(_xlfn.LET(_xlpm.Site,$B61,_xlpm.ActDate,_xlfn.XLOOKUP(_xlpm.Site,tblSites[Site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61:INDEX($1:$1048576,ROW(),COLUMN()-1))),_xlpm.Remaining,MAX(0,_xlpm.MaxPts-_xlpm.PriorEnrolled),IF(OR(_xlpm.ActDate="",EOMONTH(R$5,0)&lt;_xlpm.StartDate,_xlpm.Remaining&lt;=0),0,MIN(_xlpm.MonthlyEnroll,_xlpm.Remaining))),0))</f>
        <v/>
      </c>
      <c r="S61" s="9" t="str">
        <f>IF($B61="","",IFERROR(_xlfn.LET(_xlpm.Site,$B61,_xlpm.ActDate,_xlfn.XLOOKUP(_xlpm.Site,tblSites[Max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61:INDEX($1:$1048576,ROW(),COLUMN()-1))),_xlpm.Remaining,MAX(0,_xlpm.MaxPts-_xlpm.PriorEnrolled),IF(OR(_xlpm.ActDate="",EOMONTH(S$5,0)&lt;_xlpm.StartDate,_xlpm.Remaining&lt;=0),0,MIN(_xlpm.MonthlyEnroll,_xlpm.Remaining))),0))</f>
        <v/>
      </c>
      <c r="T61" s="9" t="str">
        <f>IF($B61="","",IFERROR(_xlfn.LET(_xlpm.Site,$B61,_xlpm.ActDate,_xlfn.XLOOKUP(_xlpm.Site,tblSites[Current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61:INDEX($1:$1048576,ROW(),COLUMN()-1))),_xlpm.Remaining,MAX(0,_xlpm.MaxPts-_xlpm.PriorEnrolled),IF(OR(_xlpm.ActDate="",EOMONTH(T$5,0)&lt;_xlpm.StartDate,_xlpm.Remaining&lt;=0),0,MIN(_xlpm.MonthlyEnroll,_xlpm.Remaining))),0))</f>
        <v/>
      </c>
      <c r="U61" s="9" t="str">
        <f>IF($B61="","",IFERROR(_xlfn.LET(_xlpm.Site,$B61,_xlpm.ActDate,_xlfn.XLOOKUP(_xlpm.Site,tblSites[Include?],tblSites[Scenario?],""),_xlpm.ScreenDays,N('Study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61:INDEX($1:$1048576,ROW(),COLUMN()-1))),_xlpm.Remaining,MAX(0,_xlpm.MaxPts-_xlpm.PriorEnrolled),IF(OR(_xlpm.ActDate="",EOMONTH(U$5,0)&lt;_xlpm.StartDate,_xlpm.Remaining&lt;=0),0,MIN(_xlpm.MonthlyEnroll,_xlpm.Remaining))),0))</f>
        <v/>
      </c>
      <c r="V61" s="9" t="str">
        <f>IF($B61="","",IFERROR(_xlfn.LET(_xlpm.Site,$B61,_xlpm.ActDate,_xlfn.XLOOKUP(_xlpm.Site,tblSites[Scenario?],tblSites[Check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61:INDEX($1:$1048576,ROW(),COLUMN()-1))),_xlpm.Remaining,MAX(0,_xlpm.MaxPts-_xlpm.PriorEnrolled),IF(OR(_xlpm.ActDate="",EOMONTH(V$5,0)&lt;_xlpm.StartDate,_xlpm.Remaining&lt;=0),0,MIN(_xlpm.MonthlyEnroll,_xlpm.Remaining))),0))</f>
        <v/>
      </c>
      <c r="W61" s="9" t="str">
        <f>IF($B61="","",IFERROR(_xlfn.LET(_xlpm.Site,$B61,_xlpm.ActDate,_xlfn.XLOOKUP(_xlpm.Site,tblSites[Check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61:INDEX($1:$1048576,ROW(),COLUMN()-1))),_xlpm.Remaining,MAX(0,_xlpm.MaxPts-_xlpm.PriorEnrolled),IF(OR(_xlpm.ActDate="",EOMONTH(W$5,0)&lt;_xlpm.StartDate,_xlpm.Remaining&lt;=0),0,MIN(_xlpm.MonthlyEnroll,_xlpm.Remaining))),0))</f>
        <v/>
      </c>
      <c r="X61" s="9" t="str">
        <f>IF($B61="","",IFERROR(_xlfn.LET(_xlpm.Site,$B61,_xlpm.ActDate,_xlfn.XLOOKUP(_xlpm.Site,tblSites[Site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61:INDEX($1:$1048576,ROW(),COLUMN()-1))),_xlpm.Remaining,MAX(0,_xlpm.MaxPts-_xlpm.PriorEnrolled),IF(OR(_xlpm.ActDate="",EOMONTH(X$5,0)&lt;_xlpm.StartDate,_xlpm.Remaining&lt;=0),0,MIN(_xlpm.MonthlyEnroll,_xlpm.Remaining))),0))</f>
        <v/>
      </c>
      <c r="Y61" s="9" t="str">
        <f>IF($B61="","",IFERROR(_xlfn.LET(_xlpm.Site,$B61,_xlpm.ActDate,_xlfn.XLOOKUP(_xlpm.Site,#REF!,tblSites[Country],""),_xlpm.ScreenDays,N('Study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61:INDEX($1:$1048576,ROW(),COLUMN()-1))),_xlpm.Remaining,MAX(0,_xlpm.MaxPts-_xlpm.PriorEnrolled),IF(OR(_xlpm.ActDate="",EOMONTH(Y$5,0)&lt;_xlpm.StartDate,_xlpm.Remaining&lt;=0),0,MIN(_xlpm.MonthlyEnroll,_xlpm.Remaining))),0))</f>
        <v/>
      </c>
      <c r="Z61" s="9" t="str">
        <f>IF($B61="","",IFERROR(_xlfn.LET(_xlpm.Site,$B61,_xlpm.ActDate,_xlfn.XLOOKUP(_xlpm.Site,tblSites[Country],tblSites[Site],""),_xlpm.ScreenDays,N('Study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61:INDEX($1:$1048576,ROW(),COLUMN()-1))),_xlpm.Remaining,MAX(0,_xlpm.MaxPts-_xlpm.PriorEnrolled),IF(OR(_xlpm.ActDate="",EOMONTH(Z$5,0)&lt;_xlpm.StartDate,_xlpm.Remaining&lt;=0),0,MIN(_xlpm.MonthlyEnroll,_xlpm.Remaining))),0))</f>
        <v/>
      </c>
      <c r="AA61" s="9" t="str">
        <f>IF($B61="","",IFERROR(_xlfn.LET(_xlpm.Site,$B61,_xlpm.ActDate,_xlfn.XLOOKUP(_xlpm.Site,tblSites[Site],tblSites[Site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61:INDEX($1:$1048576,ROW(),COLUMN()-1))),_xlpm.Remaining,MAX(0,_xlpm.MaxPts-_xlpm.PriorEnrolled),IF(OR(_xlpm.ActDate="",EOMONTH(AA$5,0)&lt;_xlpm.StartDate,_xlpm.Remaining&lt;=0),0,MIN(_xlpm.MonthlyEnroll,_xlpm.Remaining))),0))</f>
        <v/>
      </c>
      <c r="AB61" s="9" t="str">
        <f>IF($B61="","",IFERROR(_xlfn.LET(_xlpm.Site,$B61,_xlpm.ActDate,_xlfn.XLOOKUP(_xlpm.Site,tblSites[Site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61:INDEX($1:$1048576,ROW(),COLUMN()-1))),_xlpm.Remaining,MAX(0,_xlpm.MaxPts-_xlpm.PriorEnrolled),IF(OR(_xlpm.ActDate="",EOMONTH(AB$5,0)&lt;_xlpm.StartDate,_xlpm.Remaining&lt;=0),0,MIN(_xlpm.MonthlyEnroll,_xlpm.Remaining))),0))</f>
        <v/>
      </c>
      <c r="AC61" s="9" t="str">
        <f>IF($B61="","",IFERROR(_xlfn.LET(_xlpm.Site,$B61,_xlpm.ActDate,_xlfn.XLOOKUP(_xlpm.Site,tblSites[Monthly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61:INDEX($1:$1048576,ROW(),COLUMN()-1))),_xlpm.Remaining,MAX(0,_xlpm.MaxPts-_xlpm.PriorEnrolled),IF(OR(_xlpm.ActDate="",EOMONTH(AC$5,0)&lt;_xlpm.StartDate,_xlpm.Remaining&lt;=0),0,MIN(_xlpm.MonthlyEnroll,_xlpm.Remaining))),0))</f>
        <v/>
      </c>
    </row>
    <row r="62" spans="3:29" x14ac:dyDescent="0.25">
      <c r="C62" s="9" cm="1">
        <f t="array" aca="1" ref="C62" ca="1">IF(C$5&lt;=TODAY(),0,IF($B62="","",IFERROR(_xlfn.LET(_xlpm.Site,$B62,_xlpm.SiteCol,INDIRECT("tblSites[Site]"),_xlpm.ActCol,INDIRECT("tblSites[Site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2" s="9" t="str">
        <f>IF($B62="","",IFERROR(_xlfn.LET(_xlpm.Site,$B62,_xlpm.ActDate,_xlfn.XLOOKUP(_xlpm.Site,tblSites[Site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62:INDEX($1:$1048576,ROW(),COLUMN()-1))),_xlpm.Remaining,MAX(0,_xlpm.MaxPts-_xlpm.PriorEnrolled),IF(OR(_xlpm.ActDate="",EOMONTH(D$5,0)&lt;_xlpm.StartDate,_xlpm.Remaining&lt;=0),0,MIN(_xlpm.MonthlyEnroll,_xlpm.Remaining))),0))</f>
        <v/>
      </c>
      <c r="E62" s="9" t="str">
        <f>IF($B62="","",IFERROR(_xlfn.LET(_xlpm.Site,$B62,_xlpm.ActDate,_xlfn.XLOOKUP(_xlpm.Site,tblSites[Monthly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62:INDEX($1:$1048576,ROW(),COLUMN()-1))),_xlpm.Remaining,MAX(0,_xlpm.MaxPts-_xlpm.PriorEnrolled),IF(OR(_xlpm.ActDate="",EOMONTH(E$5,0)&lt;_xlpm.StartDate,_xlpm.Remaining&lt;=0),0,MIN(_xlpm.MonthlyEnroll,_xlpm.Remaining))),0))</f>
        <v/>
      </c>
      <c r="F62" s="9" t="str">
        <f>IF($B62="","",IFERROR(_xlfn.LET(_xlpm.Site,$B62,_xlpm.ActDate,_xlfn.XLOOKUP(_xlpm.Site,tblSites[Site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62:INDEX($1:$1048576,ROW(),COLUMN()-1))),_xlpm.Remaining,MAX(0,_xlpm.MaxPts-_xlpm.PriorEnrolled),IF(OR(_xlpm.ActDate="",EOMONTH(F$5,0)&lt;_xlpm.StartDate,_xlpm.Remaining&lt;=0),0,MIN(_xlpm.MonthlyEnroll,_xlpm.Remaining))),0))</f>
        <v/>
      </c>
      <c r="G62" s="9" t="str">
        <f>IF($B62="","",IFERROR(_xlfn.LET(_xlpm.Site,$B62,_xlpm.ActDate,_xlfn.XLOOKUP(_xlpm.Site,tblSites[Max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62:INDEX($1:$1048576,ROW(),COLUMN()-1))),_xlpm.Remaining,MAX(0,_xlpm.MaxPts-_xlpm.PriorEnrolled),IF(OR(_xlpm.ActDate="",EOMONTH(G$5,0)&lt;_xlpm.StartDate,_xlpm.Remaining&lt;=0),0,MIN(_xlpm.MonthlyEnroll,_xlpm.Remaining))),0))</f>
        <v/>
      </c>
      <c r="H62" s="9" t="str">
        <f>IF($B62="","",IFERROR(_xlfn.LET(_xlpm.Site,$B62,_xlpm.ActDate,_xlfn.XLOOKUP(_xlpm.Site,tblSites[Current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62:INDEX($1:$1048576,ROW(),COLUMN()-1))),_xlpm.Remaining,MAX(0,_xlpm.MaxPts-_xlpm.PriorEnrolled),IF(OR(_xlpm.ActDate="",EOMONTH(H$5,0)&lt;_xlpm.StartDate,_xlpm.Remaining&lt;=0),0,MIN(_xlpm.MonthlyEnroll,_xlpm.Remaining))),0))</f>
        <v/>
      </c>
      <c r="I62" s="9" t="str">
        <f>IF($B62="","",IFERROR(_xlfn.LET(_xlpm.Site,$B62,_xlpm.ActDate,_xlfn.XLOOKUP(_xlpm.Site,tblSites[Include?],tblSites[Scenario?],""),_xlpm.ScreenDays,N('Study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62:INDEX($1:$1048576,ROW(),COLUMN()-1))),_xlpm.Remaining,MAX(0,_xlpm.MaxPts-_xlpm.PriorEnrolled),IF(OR(_xlpm.ActDate="",EOMONTH(I$5,0)&lt;_xlpm.StartDate,_xlpm.Remaining&lt;=0),0,MIN(_xlpm.MonthlyEnroll,_xlpm.Remaining))),0))</f>
        <v/>
      </c>
      <c r="J62" s="9" t="str">
        <f>IF($B62="","",IFERROR(_xlfn.LET(_xlpm.Site,$B62,_xlpm.ActDate,_xlfn.XLOOKUP(_xlpm.Site,tblSites[Scenario?],tblSites[Check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62:INDEX($1:$1048576,ROW(),COLUMN()-1))),_xlpm.Remaining,MAX(0,_xlpm.MaxPts-_xlpm.PriorEnrolled),IF(OR(_xlpm.ActDate="",EOMONTH(J$5,0)&lt;_xlpm.StartDate,_xlpm.Remaining&lt;=0),0,MIN(_xlpm.MonthlyEnroll,_xlpm.Remaining))),0))</f>
        <v/>
      </c>
      <c r="K62" s="9" t="str">
        <f>IF($B62="","",IFERROR(_xlfn.LET(_xlpm.Site,$B62,_xlpm.ActDate,_xlfn.XLOOKUP(_xlpm.Site,tblSites[Check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62:INDEX($1:$1048576,ROW(),COLUMN()-1))),_xlpm.Remaining,MAX(0,_xlpm.MaxPts-_xlpm.PriorEnrolled),IF(OR(_xlpm.ActDate="",EOMONTH(K$5,0)&lt;_xlpm.StartDate,_xlpm.Remaining&lt;=0),0,MIN(_xlpm.MonthlyEnroll,_xlpm.Remaining))),0))</f>
        <v/>
      </c>
      <c r="L62" s="9" t="str">
        <f>IF($B62="","",IFERROR(_xlfn.LET(_xlpm.Site,$B62,_xlpm.ActDate,_xlfn.XLOOKUP(_xlpm.Site,tblSites[Site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62:INDEX($1:$1048576,ROW(),COLUMN()-1))),_xlpm.Remaining,MAX(0,_xlpm.MaxPts-_xlpm.PriorEnrolled),IF(OR(_xlpm.ActDate="",EOMONTH(L$5,0)&lt;_xlpm.StartDate,_xlpm.Remaining&lt;=0),0,MIN(_xlpm.MonthlyEnroll,_xlpm.Remaining))),0))</f>
        <v/>
      </c>
      <c r="M62" s="9" t="str">
        <f>IF($B62="","",IFERROR(_xlfn.LET(_xlpm.Site,$B62,_xlpm.ActDate,_xlfn.XLOOKUP(_xlpm.Site,#REF!,tblSites[Country],""),_xlpm.ScreenDays,N('Study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62:INDEX($1:$1048576,ROW(),COLUMN()-1))),_xlpm.Remaining,MAX(0,_xlpm.MaxPts-_xlpm.PriorEnrolled),IF(OR(_xlpm.ActDate="",EOMONTH(M$5,0)&lt;_xlpm.StartDate,_xlpm.Remaining&lt;=0),0,MIN(_xlpm.MonthlyEnroll,_xlpm.Remaining))),0))</f>
        <v/>
      </c>
      <c r="N62" s="9" t="str">
        <f>IF($B62="","",IFERROR(_xlfn.LET(_xlpm.Site,$B62,_xlpm.ActDate,_xlfn.XLOOKUP(_xlpm.Site,tblSites[Country],tblSites[Site],""),_xlpm.ScreenDays,N('Study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62:INDEX($1:$1048576,ROW(),COLUMN()-1))),_xlpm.Remaining,MAX(0,_xlpm.MaxPts-_xlpm.PriorEnrolled),IF(OR(_xlpm.ActDate="",EOMONTH(N$5,0)&lt;_xlpm.StartDate,_xlpm.Remaining&lt;=0),0,MIN(_xlpm.MonthlyEnroll,_xlpm.Remaining))),0))</f>
        <v/>
      </c>
      <c r="O62" s="9" t="str">
        <f>IF($B62="","",IFERROR(_xlfn.LET(_xlpm.Site,$B62,_xlpm.ActDate,_xlfn.XLOOKUP(_xlpm.Site,tblSites[Site],tblSites[Site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62:INDEX($1:$1048576,ROW(),COLUMN()-1))),_xlpm.Remaining,MAX(0,_xlpm.MaxPts-_xlpm.PriorEnrolled),IF(OR(_xlpm.ActDate="",EOMONTH(O$5,0)&lt;_xlpm.StartDate,_xlpm.Remaining&lt;=0),0,MIN(_xlpm.MonthlyEnroll,_xlpm.Remaining))),0))</f>
        <v/>
      </c>
      <c r="P62" s="9" t="str">
        <f>IF($B62="","",IFERROR(_xlfn.LET(_xlpm.Site,$B62,_xlpm.ActDate,_xlfn.XLOOKUP(_xlpm.Site,tblSites[Site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62:INDEX($1:$1048576,ROW(),COLUMN()-1))),_xlpm.Remaining,MAX(0,_xlpm.MaxPts-_xlpm.PriorEnrolled),IF(OR(_xlpm.ActDate="",EOMONTH(P$5,0)&lt;_xlpm.StartDate,_xlpm.Remaining&lt;=0),0,MIN(_xlpm.MonthlyEnroll,_xlpm.Remaining))),0))</f>
        <v/>
      </c>
      <c r="Q62" s="9" t="str">
        <f>IF($B62="","",IFERROR(_xlfn.LET(_xlpm.Site,$B62,_xlpm.ActDate,_xlfn.XLOOKUP(_xlpm.Site,tblSites[Monthly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62:INDEX($1:$1048576,ROW(),COLUMN()-1))),_xlpm.Remaining,MAX(0,_xlpm.MaxPts-_xlpm.PriorEnrolled),IF(OR(_xlpm.ActDate="",EOMONTH(Q$5,0)&lt;_xlpm.StartDate,_xlpm.Remaining&lt;=0),0,MIN(_xlpm.MonthlyEnroll,_xlpm.Remaining))),0))</f>
        <v/>
      </c>
      <c r="R62" s="9" t="str">
        <f>IF($B62="","",IFERROR(_xlfn.LET(_xlpm.Site,$B62,_xlpm.ActDate,_xlfn.XLOOKUP(_xlpm.Site,tblSites[Site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62:INDEX($1:$1048576,ROW(),COLUMN()-1))),_xlpm.Remaining,MAX(0,_xlpm.MaxPts-_xlpm.PriorEnrolled),IF(OR(_xlpm.ActDate="",EOMONTH(R$5,0)&lt;_xlpm.StartDate,_xlpm.Remaining&lt;=0),0,MIN(_xlpm.MonthlyEnroll,_xlpm.Remaining))),0))</f>
        <v/>
      </c>
      <c r="S62" s="9" t="str">
        <f>IF($B62="","",IFERROR(_xlfn.LET(_xlpm.Site,$B62,_xlpm.ActDate,_xlfn.XLOOKUP(_xlpm.Site,tblSites[Max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62:INDEX($1:$1048576,ROW(),COLUMN()-1))),_xlpm.Remaining,MAX(0,_xlpm.MaxPts-_xlpm.PriorEnrolled),IF(OR(_xlpm.ActDate="",EOMONTH(S$5,0)&lt;_xlpm.StartDate,_xlpm.Remaining&lt;=0),0,MIN(_xlpm.MonthlyEnroll,_xlpm.Remaining))),0))</f>
        <v/>
      </c>
      <c r="T62" s="9" t="str">
        <f>IF($B62="","",IFERROR(_xlfn.LET(_xlpm.Site,$B62,_xlpm.ActDate,_xlfn.XLOOKUP(_xlpm.Site,tblSites[Current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62:INDEX($1:$1048576,ROW(),COLUMN()-1))),_xlpm.Remaining,MAX(0,_xlpm.MaxPts-_xlpm.PriorEnrolled),IF(OR(_xlpm.ActDate="",EOMONTH(T$5,0)&lt;_xlpm.StartDate,_xlpm.Remaining&lt;=0),0,MIN(_xlpm.MonthlyEnroll,_xlpm.Remaining))),0))</f>
        <v/>
      </c>
      <c r="U62" s="9" t="str">
        <f>IF($B62="","",IFERROR(_xlfn.LET(_xlpm.Site,$B62,_xlpm.ActDate,_xlfn.XLOOKUP(_xlpm.Site,tblSites[Include?],tblSites[Scenario?],""),_xlpm.ScreenDays,N('Study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62:INDEX($1:$1048576,ROW(),COLUMN()-1))),_xlpm.Remaining,MAX(0,_xlpm.MaxPts-_xlpm.PriorEnrolled),IF(OR(_xlpm.ActDate="",EOMONTH(U$5,0)&lt;_xlpm.StartDate,_xlpm.Remaining&lt;=0),0,MIN(_xlpm.MonthlyEnroll,_xlpm.Remaining))),0))</f>
        <v/>
      </c>
      <c r="V62" s="9" t="str">
        <f>IF($B62="","",IFERROR(_xlfn.LET(_xlpm.Site,$B62,_xlpm.ActDate,_xlfn.XLOOKUP(_xlpm.Site,tblSites[Scenario?],tblSites[Check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62:INDEX($1:$1048576,ROW(),COLUMN()-1))),_xlpm.Remaining,MAX(0,_xlpm.MaxPts-_xlpm.PriorEnrolled),IF(OR(_xlpm.ActDate="",EOMONTH(V$5,0)&lt;_xlpm.StartDate,_xlpm.Remaining&lt;=0),0,MIN(_xlpm.MonthlyEnroll,_xlpm.Remaining))),0))</f>
        <v/>
      </c>
      <c r="W62" s="9" t="str">
        <f>IF($B62="","",IFERROR(_xlfn.LET(_xlpm.Site,$B62,_xlpm.ActDate,_xlfn.XLOOKUP(_xlpm.Site,tblSites[Check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62:INDEX($1:$1048576,ROW(),COLUMN()-1))),_xlpm.Remaining,MAX(0,_xlpm.MaxPts-_xlpm.PriorEnrolled),IF(OR(_xlpm.ActDate="",EOMONTH(W$5,0)&lt;_xlpm.StartDate,_xlpm.Remaining&lt;=0),0,MIN(_xlpm.MonthlyEnroll,_xlpm.Remaining))),0))</f>
        <v/>
      </c>
      <c r="X62" s="9" t="str">
        <f>IF($B62="","",IFERROR(_xlfn.LET(_xlpm.Site,$B62,_xlpm.ActDate,_xlfn.XLOOKUP(_xlpm.Site,tblSites[Site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62:INDEX($1:$1048576,ROW(),COLUMN()-1))),_xlpm.Remaining,MAX(0,_xlpm.MaxPts-_xlpm.PriorEnrolled),IF(OR(_xlpm.ActDate="",EOMONTH(X$5,0)&lt;_xlpm.StartDate,_xlpm.Remaining&lt;=0),0,MIN(_xlpm.MonthlyEnroll,_xlpm.Remaining))),0))</f>
        <v/>
      </c>
      <c r="Y62" s="9" t="str">
        <f>IF($B62="","",IFERROR(_xlfn.LET(_xlpm.Site,$B62,_xlpm.ActDate,_xlfn.XLOOKUP(_xlpm.Site,#REF!,tblSites[Country],""),_xlpm.ScreenDays,N('Study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62:INDEX($1:$1048576,ROW(),COLUMN()-1))),_xlpm.Remaining,MAX(0,_xlpm.MaxPts-_xlpm.PriorEnrolled),IF(OR(_xlpm.ActDate="",EOMONTH(Y$5,0)&lt;_xlpm.StartDate,_xlpm.Remaining&lt;=0),0,MIN(_xlpm.MonthlyEnroll,_xlpm.Remaining))),0))</f>
        <v/>
      </c>
      <c r="Z62" s="9" t="str">
        <f>IF($B62="","",IFERROR(_xlfn.LET(_xlpm.Site,$B62,_xlpm.ActDate,_xlfn.XLOOKUP(_xlpm.Site,tblSites[Country],tblSites[Site],""),_xlpm.ScreenDays,N('Study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62:INDEX($1:$1048576,ROW(),COLUMN()-1))),_xlpm.Remaining,MAX(0,_xlpm.MaxPts-_xlpm.PriorEnrolled),IF(OR(_xlpm.ActDate="",EOMONTH(Z$5,0)&lt;_xlpm.StartDate,_xlpm.Remaining&lt;=0),0,MIN(_xlpm.MonthlyEnroll,_xlpm.Remaining))),0))</f>
        <v/>
      </c>
      <c r="AA62" s="9" t="str">
        <f>IF($B62="","",IFERROR(_xlfn.LET(_xlpm.Site,$B62,_xlpm.ActDate,_xlfn.XLOOKUP(_xlpm.Site,tblSites[Site],tblSites[Site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62:INDEX($1:$1048576,ROW(),COLUMN()-1))),_xlpm.Remaining,MAX(0,_xlpm.MaxPts-_xlpm.PriorEnrolled),IF(OR(_xlpm.ActDate="",EOMONTH(AA$5,0)&lt;_xlpm.StartDate,_xlpm.Remaining&lt;=0),0,MIN(_xlpm.MonthlyEnroll,_xlpm.Remaining))),0))</f>
        <v/>
      </c>
      <c r="AB62" s="9" t="str">
        <f>IF($B62="","",IFERROR(_xlfn.LET(_xlpm.Site,$B62,_xlpm.ActDate,_xlfn.XLOOKUP(_xlpm.Site,tblSites[Site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62:INDEX($1:$1048576,ROW(),COLUMN()-1))),_xlpm.Remaining,MAX(0,_xlpm.MaxPts-_xlpm.PriorEnrolled),IF(OR(_xlpm.ActDate="",EOMONTH(AB$5,0)&lt;_xlpm.StartDate,_xlpm.Remaining&lt;=0),0,MIN(_xlpm.MonthlyEnroll,_xlpm.Remaining))),0))</f>
        <v/>
      </c>
      <c r="AC62" s="9" t="str">
        <f>IF($B62="","",IFERROR(_xlfn.LET(_xlpm.Site,$B62,_xlpm.ActDate,_xlfn.XLOOKUP(_xlpm.Site,tblSites[Monthly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62:INDEX($1:$1048576,ROW(),COLUMN()-1))),_xlpm.Remaining,MAX(0,_xlpm.MaxPts-_xlpm.PriorEnrolled),IF(OR(_xlpm.ActDate="",EOMONTH(AC$5,0)&lt;_xlpm.StartDate,_xlpm.Remaining&lt;=0),0,MIN(_xlpm.MonthlyEnroll,_xlpm.Remaining))),0))</f>
        <v/>
      </c>
    </row>
    <row r="63" spans="3:29" x14ac:dyDescent="0.25">
      <c r="C63" s="9" cm="1">
        <f t="array" aca="1" ref="C63" ca="1">IF(C$5&lt;=TODAY(),0,IF($B63="","",IFERROR(_xlfn.LET(_xlpm.Site,$B63,_xlpm.SiteCol,INDIRECT("tblSites[Site]"),_xlpm.ActCol,INDIRECT("tblSites[Site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3" s="9" t="str">
        <f>IF($B63="","",IFERROR(_xlfn.LET(_xlpm.Site,$B63,_xlpm.ActDate,_xlfn.XLOOKUP(_xlpm.Site,tblSites[Site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63:INDEX($1:$1048576,ROW(),COLUMN()-1))),_xlpm.Remaining,MAX(0,_xlpm.MaxPts-_xlpm.PriorEnrolled),IF(OR(_xlpm.ActDate="",EOMONTH(D$5,0)&lt;_xlpm.StartDate,_xlpm.Remaining&lt;=0),0,MIN(_xlpm.MonthlyEnroll,_xlpm.Remaining))),0))</f>
        <v/>
      </c>
      <c r="E63" s="9" t="str">
        <f>IF($B63="","",IFERROR(_xlfn.LET(_xlpm.Site,$B63,_xlpm.ActDate,_xlfn.XLOOKUP(_xlpm.Site,tblSites[Monthly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63:INDEX($1:$1048576,ROW(),COLUMN()-1))),_xlpm.Remaining,MAX(0,_xlpm.MaxPts-_xlpm.PriorEnrolled),IF(OR(_xlpm.ActDate="",EOMONTH(E$5,0)&lt;_xlpm.StartDate,_xlpm.Remaining&lt;=0),0,MIN(_xlpm.MonthlyEnroll,_xlpm.Remaining))),0))</f>
        <v/>
      </c>
      <c r="F63" s="9" t="str">
        <f>IF($B63="","",IFERROR(_xlfn.LET(_xlpm.Site,$B63,_xlpm.ActDate,_xlfn.XLOOKUP(_xlpm.Site,tblSites[Site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63:INDEX($1:$1048576,ROW(),COLUMN()-1))),_xlpm.Remaining,MAX(0,_xlpm.MaxPts-_xlpm.PriorEnrolled),IF(OR(_xlpm.ActDate="",EOMONTH(F$5,0)&lt;_xlpm.StartDate,_xlpm.Remaining&lt;=0),0,MIN(_xlpm.MonthlyEnroll,_xlpm.Remaining))),0))</f>
        <v/>
      </c>
      <c r="G63" s="9" t="str">
        <f>IF($B63="","",IFERROR(_xlfn.LET(_xlpm.Site,$B63,_xlpm.ActDate,_xlfn.XLOOKUP(_xlpm.Site,tblSites[Max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63:INDEX($1:$1048576,ROW(),COLUMN()-1))),_xlpm.Remaining,MAX(0,_xlpm.MaxPts-_xlpm.PriorEnrolled),IF(OR(_xlpm.ActDate="",EOMONTH(G$5,0)&lt;_xlpm.StartDate,_xlpm.Remaining&lt;=0),0,MIN(_xlpm.MonthlyEnroll,_xlpm.Remaining))),0))</f>
        <v/>
      </c>
      <c r="H63" s="9" t="str">
        <f>IF($B63="","",IFERROR(_xlfn.LET(_xlpm.Site,$B63,_xlpm.ActDate,_xlfn.XLOOKUP(_xlpm.Site,tblSites[Current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63:INDEX($1:$1048576,ROW(),COLUMN()-1))),_xlpm.Remaining,MAX(0,_xlpm.MaxPts-_xlpm.PriorEnrolled),IF(OR(_xlpm.ActDate="",EOMONTH(H$5,0)&lt;_xlpm.StartDate,_xlpm.Remaining&lt;=0),0,MIN(_xlpm.MonthlyEnroll,_xlpm.Remaining))),0))</f>
        <v/>
      </c>
      <c r="I63" s="9" t="str">
        <f>IF($B63="","",IFERROR(_xlfn.LET(_xlpm.Site,$B63,_xlpm.ActDate,_xlfn.XLOOKUP(_xlpm.Site,tblSites[Include?],tblSites[Scenario?],""),_xlpm.ScreenDays,N('Study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63:INDEX($1:$1048576,ROW(),COLUMN()-1))),_xlpm.Remaining,MAX(0,_xlpm.MaxPts-_xlpm.PriorEnrolled),IF(OR(_xlpm.ActDate="",EOMONTH(I$5,0)&lt;_xlpm.StartDate,_xlpm.Remaining&lt;=0),0,MIN(_xlpm.MonthlyEnroll,_xlpm.Remaining))),0))</f>
        <v/>
      </c>
      <c r="J63" s="9" t="str">
        <f>IF($B63="","",IFERROR(_xlfn.LET(_xlpm.Site,$B63,_xlpm.ActDate,_xlfn.XLOOKUP(_xlpm.Site,tblSites[Scenario?],tblSites[Check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63:INDEX($1:$1048576,ROW(),COLUMN()-1))),_xlpm.Remaining,MAX(0,_xlpm.MaxPts-_xlpm.PriorEnrolled),IF(OR(_xlpm.ActDate="",EOMONTH(J$5,0)&lt;_xlpm.StartDate,_xlpm.Remaining&lt;=0),0,MIN(_xlpm.MonthlyEnroll,_xlpm.Remaining))),0))</f>
        <v/>
      </c>
      <c r="K63" s="9" t="str">
        <f>IF($B63="","",IFERROR(_xlfn.LET(_xlpm.Site,$B63,_xlpm.ActDate,_xlfn.XLOOKUP(_xlpm.Site,tblSites[Check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63:INDEX($1:$1048576,ROW(),COLUMN()-1))),_xlpm.Remaining,MAX(0,_xlpm.MaxPts-_xlpm.PriorEnrolled),IF(OR(_xlpm.ActDate="",EOMONTH(K$5,0)&lt;_xlpm.StartDate,_xlpm.Remaining&lt;=0),0,MIN(_xlpm.MonthlyEnroll,_xlpm.Remaining))),0))</f>
        <v/>
      </c>
      <c r="L63" s="9" t="str">
        <f>IF($B63="","",IFERROR(_xlfn.LET(_xlpm.Site,$B63,_xlpm.ActDate,_xlfn.XLOOKUP(_xlpm.Site,tblSites[Site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63:INDEX($1:$1048576,ROW(),COLUMN()-1))),_xlpm.Remaining,MAX(0,_xlpm.MaxPts-_xlpm.PriorEnrolled),IF(OR(_xlpm.ActDate="",EOMONTH(L$5,0)&lt;_xlpm.StartDate,_xlpm.Remaining&lt;=0),0,MIN(_xlpm.MonthlyEnroll,_xlpm.Remaining))),0))</f>
        <v/>
      </c>
      <c r="M63" s="9" t="str">
        <f>IF($B63="","",IFERROR(_xlfn.LET(_xlpm.Site,$B63,_xlpm.ActDate,_xlfn.XLOOKUP(_xlpm.Site,#REF!,tblSites[Country],""),_xlpm.ScreenDays,N('Study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63:INDEX($1:$1048576,ROW(),COLUMN()-1))),_xlpm.Remaining,MAX(0,_xlpm.MaxPts-_xlpm.PriorEnrolled),IF(OR(_xlpm.ActDate="",EOMONTH(M$5,0)&lt;_xlpm.StartDate,_xlpm.Remaining&lt;=0),0,MIN(_xlpm.MonthlyEnroll,_xlpm.Remaining))),0))</f>
        <v/>
      </c>
      <c r="N63" s="9" t="str">
        <f>IF($B63="","",IFERROR(_xlfn.LET(_xlpm.Site,$B63,_xlpm.ActDate,_xlfn.XLOOKUP(_xlpm.Site,tblSites[Country],tblSites[Site],""),_xlpm.ScreenDays,N('Study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63:INDEX($1:$1048576,ROW(),COLUMN()-1))),_xlpm.Remaining,MAX(0,_xlpm.MaxPts-_xlpm.PriorEnrolled),IF(OR(_xlpm.ActDate="",EOMONTH(N$5,0)&lt;_xlpm.StartDate,_xlpm.Remaining&lt;=0),0,MIN(_xlpm.MonthlyEnroll,_xlpm.Remaining))),0))</f>
        <v/>
      </c>
      <c r="O63" s="9" t="str">
        <f>IF($B63="","",IFERROR(_xlfn.LET(_xlpm.Site,$B63,_xlpm.ActDate,_xlfn.XLOOKUP(_xlpm.Site,tblSites[Site],tblSites[Site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63:INDEX($1:$1048576,ROW(),COLUMN()-1))),_xlpm.Remaining,MAX(0,_xlpm.MaxPts-_xlpm.PriorEnrolled),IF(OR(_xlpm.ActDate="",EOMONTH(O$5,0)&lt;_xlpm.StartDate,_xlpm.Remaining&lt;=0),0,MIN(_xlpm.MonthlyEnroll,_xlpm.Remaining))),0))</f>
        <v/>
      </c>
      <c r="P63" s="9" t="str">
        <f>IF($B63="","",IFERROR(_xlfn.LET(_xlpm.Site,$B63,_xlpm.ActDate,_xlfn.XLOOKUP(_xlpm.Site,tblSites[Site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63:INDEX($1:$1048576,ROW(),COLUMN()-1))),_xlpm.Remaining,MAX(0,_xlpm.MaxPts-_xlpm.PriorEnrolled),IF(OR(_xlpm.ActDate="",EOMONTH(P$5,0)&lt;_xlpm.StartDate,_xlpm.Remaining&lt;=0),0,MIN(_xlpm.MonthlyEnroll,_xlpm.Remaining))),0))</f>
        <v/>
      </c>
      <c r="Q63" s="9" t="str">
        <f>IF($B63="","",IFERROR(_xlfn.LET(_xlpm.Site,$B63,_xlpm.ActDate,_xlfn.XLOOKUP(_xlpm.Site,tblSites[Monthly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63:INDEX($1:$1048576,ROW(),COLUMN()-1))),_xlpm.Remaining,MAX(0,_xlpm.MaxPts-_xlpm.PriorEnrolled),IF(OR(_xlpm.ActDate="",EOMONTH(Q$5,0)&lt;_xlpm.StartDate,_xlpm.Remaining&lt;=0),0,MIN(_xlpm.MonthlyEnroll,_xlpm.Remaining))),0))</f>
        <v/>
      </c>
      <c r="R63" s="9" t="str">
        <f>IF($B63="","",IFERROR(_xlfn.LET(_xlpm.Site,$B63,_xlpm.ActDate,_xlfn.XLOOKUP(_xlpm.Site,tblSites[Site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63:INDEX($1:$1048576,ROW(),COLUMN()-1))),_xlpm.Remaining,MAX(0,_xlpm.MaxPts-_xlpm.PriorEnrolled),IF(OR(_xlpm.ActDate="",EOMONTH(R$5,0)&lt;_xlpm.StartDate,_xlpm.Remaining&lt;=0),0,MIN(_xlpm.MonthlyEnroll,_xlpm.Remaining))),0))</f>
        <v/>
      </c>
      <c r="S63" s="9" t="str">
        <f>IF($B63="","",IFERROR(_xlfn.LET(_xlpm.Site,$B63,_xlpm.ActDate,_xlfn.XLOOKUP(_xlpm.Site,tblSites[Max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63:INDEX($1:$1048576,ROW(),COLUMN()-1))),_xlpm.Remaining,MAX(0,_xlpm.MaxPts-_xlpm.PriorEnrolled),IF(OR(_xlpm.ActDate="",EOMONTH(S$5,0)&lt;_xlpm.StartDate,_xlpm.Remaining&lt;=0),0,MIN(_xlpm.MonthlyEnroll,_xlpm.Remaining))),0))</f>
        <v/>
      </c>
      <c r="T63" s="9" t="str">
        <f>IF($B63="","",IFERROR(_xlfn.LET(_xlpm.Site,$B63,_xlpm.ActDate,_xlfn.XLOOKUP(_xlpm.Site,tblSites[Current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63:INDEX($1:$1048576,ROW(),COLUMN()-1))),_xlpm.Remaining,MAX(0,_xlpm.MaxPts-_xlpm.PriorEnrolled),IF(OR(_xlpm.ActDate="",EOMONTH(T$5,0)&lt;_xlpm.StartDate,_xlpm.Remaining&lt;=0),0,MIN(_xlpm.MonthlyEnroll,_xlpm.Remaining))),0))</f>
        <v/>
      </c>
      <c r="U63" s="9" t="str">
        <f>IF($B63="","",IFERROR(_xlfn.LET(_xlpm.Site,$B63,_xlpm.ActDate,_xlfn.XLOOKUP(_xlpm.Site,tblSites[Include?],tblSites[Scenario?],""),_xlpm.ScreenDays,N('Study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63:INDEX($1:$1048576,ROW(),COLUMN()-1))),_xlpm.Remaining,MAX(0,_xlpm.MaxPts-_xlpm.PriorEnrolled),IF(OR(_xlpm.ActDate="",EOMONTH(U$5,0)&lt;_xlpm.StartDate,_xlpm.Remaining&lt;=0),0,MIN(_xlpm.MonthlyEnroll,_xlpm.Remaining))),0))</f>
        <v/>
      </c>
      <c r="V63" s="9" t="str">
        <f>IF($B63="","",IFERROR(_xlfn.LET(_xlpm.Site,$B63,_xlpm.ActDate,_xlfn.XLOOKUP(_xlpm.Site,tblSites[Scenario?],tblSites[Check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63:INDEX($1:$1048576,ROW(),COLUMN()-1))),_xlpm.Remaining,MAX(0,_xlpm.MaxPts-_xlpm.PriorEnrolled),IF(OR(_xlpm.ActDate="",EOMONTH(V$5,0)&lt;_xlpm.StartDate,_xlpm.Remaining&lt;=0),0,MIN(_xlpm.MonthlyEnroll,_xlpm.Remaining))),0))</f>
        <v/>
      </c>
      <c r="W63" s="9" t="str">
        <f>IF($B63="","",IFERROR(_xlfn.LET(_xlpm.Site,$B63,_xlpm.ActDate,_xlfn.XLOOKUP(_xlpm.Site,tblSites[Check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63:INDEX($1:$1048576,ROW(),COLUMN()-1))),_xlpm.Remaining,MAX(0,_xlpm.MaxPts-_xlpm.PriorEnrolled),IF(OR(_xlpm.ActDate="",EOMONTH(W$5,0)&lt;_xlpm.StartDate,_xlpm.Remaining&lt;=0),0,MIN(_xlpm.MonthlyEnroll,_xlpm.Remaining))),0))</f>
        <v/>
      </c>
      <c r="X63" s="9" t="str">
        <f>IF($B63="","",IFERROR(_xlfn.LET(_xlpm.Site,$B63,_xlpm.ActDate,_xlfn.XLOOKUP(_xlpm.Site,tblSites[Site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63:INDEX($1:$1048576,ROW(),COLUMN()-1))),_xlpm.Remaining,MAX(0,_xlpm.MaxPts-_xlpm.PriorEnrolled),IF(OR(_xlpm.ActDate="",EOMONTH(X$5,0)&lt;_xlpm.StartDate,_xlpm.Remaining&lt;=0),0,MIN(_xlpm.MonthlyEnroll,_xlpm.Remaining))),0))</f>
        <v/>
      </c>
      <c r="Y63" s="9" t="str">
        <f>IF($B63="","",IFERROR(_xlfn.LET(_xlpm.Site,$B63,_xlpm.ActDate,_xlfn.XLOOKUP(_xlpm.Site,#REF!,tblSites[Country],""),_xlpm.ScreenDays,N('Study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63:INDEX($1:$1048576,ROW(),COLUMN()-1))),_xlpm.Remaining,MAX(0,_xlpm.MaxPts-_xlpm.PriorEnrolled),IF(OR(_xlpm.ActDate="",EOMONTH(Y$5,0)&lt;_xlpm.StartDate,_xlpm.Remaining&lt;=0),0,MIN(_xlpm.MonthlyEnroll,_xlpm.Remaining))),0))</f>
        <v/>
      </c>
      <c r="Z63" s="9" t="str">
        <f>IF($B63="","",IFERROR(_xlfn.LET(_xlpm.Site,$B63,_xlpm.ActDate,_xlfn.XLOOKUP(_xlpm.Site,tblSites[Country],tblSites[Site],""),_xlpm.ScreenDays,N('Study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63:INDEX($1:$1048576,ROW(),COLUMN()-1))),_xlpm.Remaining,MAX(0,_xlpm.MaxPts-_xlpm.PriorEnrolled),IF(OR(_xlpm.ActDate="",EOMONTH(Z$5,0)&lt;_xlpm.StartDate,_xlpm.Remaining&lt;=0),0,MIN(_xlpm.MonthlyEnroll,_xlpm.Remaining))),0))</f>
        <v/>
      </c>
      <c r="AA63" s="9" t="str">
        <f>IF($B63="","",IFERROR(_xlfn.LET(_xlpm.Site,$B63,_xlpm.ActDate,_xlfn.XLOOKUP(_xlpm.Site,tblSites[Site],tblSites[Site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63:INDEX($1:$1048576,ROW(),COLUMN()-1))),_xlpm.Remaining,MAX(0,_xlpm.MaxPts-_xlpm.PriorEnrolled),IF(OR(_xlpm.ActDate="",EOMONTH(AA$5,0)&lt;_xlpm.StartDate,_xlpm.Remaining&lt;=0),0,MIN(_xlpm.MonthlyEnroll,_xlpm.Remaining))),0))</f>
        <v/>
      </c>
      <c r="AB63" s="9" t="str">
        <f>IF($B63="","",IFERROR(_xlfn.LET(_xlpm.Site,$B63,_xlpm.ActDate,_xlfn.XLOOKUP(_xlpm.Site,tblSites[Site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63:INDEX($1:$1048576,ROW(),COLUMN()-1))),_xlpm.Remaining,MAX(0,_xlpm.MaxPts-_xlpm.PriorEnrolled),IF(OR(_xlpm.ActDate="",EOMONTH(AB$5,0)&lt;_xlpm.StartDate,_xlpm.Remaining&lt;=0),0,MIN(_xlpm.MonthlyEnroll,_xlpm.Remaining))),0))</f>
        <v/>
      </c>
      <c r="AC63" s="9" t="str">
        <f>IF($B63="","",IFERROR(_xlfn.LET(_xlpm.Site,$B63,_xlpm.ActDate,_xlfn.XLOOKUP(_xlpm.Site,tblSites[Monthly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63:INDEX($1:$1048576,ROW(),COLUMN()-1))),_xlpm.Remaining,MAX(0,_xlpm.MaxPts-_xlpm.PriorEnrolled),IF(OR(_xlpm.ActDate="",EOMONTH(AC$5,0)&lt;_xlpm.StartDate,_xlpm.Remaining&lt;=0),0,MIN(_xlpm.MonthlyEnroll,_xlpm.Remaining))),0))</f>
        <v/>
      </c>
    </row>
    <row r="64" spans="3:29" x14ac:dyDescent="0.25">
      <c r="C64" s="9" cm="1">
        <f t="array" aca="1" ref="C64" ca="1">IF(C$5&lt;=TODAY(),0,IF($B64="","",IFERROR(_xlfn.LET(_xlpm.Site,$B64,_xlpm.SiteCol,INDIRECT("tblSites[Site]"),_xlpm.ActCol,INDIRECT("tblSites[Site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4" s="9" t="str">
        <f>IF($B64="","",IFERROR(_xlfn.LET(_xlpm.Site,$B64,_xlpm.ActDate,_xlfn.XLOOKUP(_xlpm.Site,tblSites[Site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64:INDEX($1:$1048576,ROW(),COLUMN()-1))),_xlpm.Remaining,MAX(0,_xlpm.MaxPts-_xlpm.PriorEnrolled),IF(OR(_xlpm.ActDate="",EOMONTH(D$5,0)&lt;_xlpm.StartDate,_xlpm.Remaining&lt;=0),0,MIN(_xlpm.MonthlyEnroll,_xlpm.Remaining))),0))</f>
        <v/>
      </c>
      <c r="E64" s="9" t="str">
        <f>IF($B64="","",IFERROR(_xlfn.LET(_xlpm.Site,$B64,_xlpm.ActDate,_xlfn.XLOOKUP(_xlpm.Site,tblSites[Monthly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64:INDEX($1:$1048576,ROW(),COLUMN()-1))),_xlpm.Remaining,MAX(0,_xlpm.MaxPts-_xlpm.PriorEnrolled),IF(OR(_xlpm.ActDate="",EOMONTH(E$5,0)&lt;_xlpm.StartDate,_xlpm.Remaining&lt;=0),0,MIN(_xlpm.MonthlyEnroll,_xlpm.Remaining))),0))</f>
        <v/>
      </c>
      <c r="F64" s="9" t="str">
        <f>IF($B64="","",IFERROR(_xlfn.LET(_xlpm.Site,$B64,_xlpm.ActDate,_xlfn.XLOOKUP(_xlpm.Site,tblSites[Site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64:INDEX($1:$1048576,ROW(),COLUMN()-1))),_xlpm.Remaining,MAX(0,_xlpm.MaxPts-_xlpm.PriorEnrolled),IF(OR(_xlpm.ActDate="",EOMONTH(F$5,0)&lt;_xlpm.StartDate,_xlpm.Remaining&lt;=0),0,MIN(_xlpm.MonthlyEnroll,_xlpm.Remaining))),0))</f>
        <v/>
      </c>
      <c r="G64" s="9" t="str">
        <f>IF($B64="","",IFERROR(_xlfn.LET(_xlpm.Site,$B64,_xlpm.ActDate,_xlfn.XLOOKUP(_xlpm.Site,tblSites[Max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64:INDEX($1:$1048576,ROW(),COLUMN()-1))),_xlpm.Remaining,MAX(0,_xlpm.MaxPts-_xlpm.PriorEnrolled),IF(OR(_xlpm.ActDate="",EOMONTH(G$5,0)&lt;_xlpm.StartDate,_xlpm.Remaining&lt;=0),0,MIN(_xlpm.MonthlyEnroll,_xlpm.Remaining))),0))</f>
        <v/>
      </c>
      <c r="H64" s="9" t="str">
        <f>IF($B64="","",IFERROR(_xlfn.LET(_xlpm.Site,$B64,_xlpm.ActDate,_xlfn.XLOOKUP(_xlpm.Site,tblSites[Current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64:INDEX($1:$1048576,ROW(),COLUMN()-1))),_xlpm.Remaining,MAX(0,_xlpm.MaxPts-_xlpm.PriorEnrolled),IF(OR(_xlpm.ActDate="",EOMONTH(H$5,0)&lt;_xlpm.StartDate,_xlpm.Remaining&lt;=0),0,MIN(_xlpm.MonthlyEnroll,_xlpm.Remaining))),0))</f>
        <v/>
      </c>
      <c r="I64" s="9" t="str">
        <f>IF($B64="","",IFERROR(_xlfn.LET(_xlpm.Site,$B64,_xlpm.ActDate,_xlfn.XLOOKUP(_xlpm.Site,tblSites[Include?],tblSites[Scenario?],""),_xlpm.ScreenDays,N('Study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64:INDEX($1:$1048576,ROW(),COLUMN()-1))),_xlpm.Remaining,MAX(0,_xlpm.MaxPts-_xlpm.PriorEnrolled),IF(OR(_xlpm.ActDate="",EOMONTH(I$5,0)&lt;_xlpm.StartDate,_xlpm.Remaining&lt;=0),0,MIN(_xlpm.MonthlyEnroll,_xlpm.Remaining))),0))</f>
        <v/>
      </c>
      <c r="J64" s="9" t="str">
        <f>IF($B64="","",IFERROR(_xlfn.LET(_xlpm.Site,$B64,_xlpm.ActDate,_xlfn.XLOOKUP(_xlpm.Site,tblSites[Scenario?],tblSites[Check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64:INDEX($1:$1048576,ROW(),COLUMN()-1))),_xlpm.Remaining,MAX(0,_xlpm.MaxPts-_xlpm.PriorEnrolled),IF(OR(_xlpm.ActDate="",EOMONTH(J$5,0)&lt;_xlpm.StartDate,_xlpm.Remaining&lt;=0),0,MIN(_xlpm.MonthlyEnroll,_xlpm.Remaining))),0))</f>
        <v/>
      </c>
      <c r="K64" s="9" t="str">
        <f>IF($B64="","",IFERROR(_xlfn.LET(_xlpm.Site,$B64,_xlpm.ActDate,_xlfn.XLOOKUP(_xlpm.Site,tblSites[Check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64:INDEX($1:$1048576,ROW(),COLUMN()-1))),_xlpm.Remaining,MAX(0,_xlpm.MaxPts-_xlpm.PriorEnrolled),IF(OR(_xlpm.ActDate="",EOMONTH(K$5,0)&lt;_xlpm.StartDate,_xlpm.Remaining&lt;=0),0,MIN(_xlpm.MonthlyEnroll,_xlpm.Remaining))),0))</f>
        <v/>
      </c>
      <c r="L64" s="9" t="str">
        <f>IF($B64="","",IFERROR(_xlfn.LET(_xlpm.Site,$B64,_xlpm.ActDate,_xlfn.XLOOKUP(_xlpm.Site,tblSites[Site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64:INDEX($1:$1048576,ROW(),COLUMN()-1))),_xlpm.Remaining,MAX(0,_xlpm.MaxPts-_xlpm.PriorEnrolled),IF(OR(_xlpm.ActDate="",EOMONTH(L$5,0)&lt;_xlpm.StartDate,_xlpm.Remaining&lt;=0),0,MIN(_xlpm.MonthlyEnroll,_xlpm.Remaining))),0))</f>
        <v/>
      </c>
      <c r="M64" s="9" t="str">
        <f>IF($B64="","",IFERROR(_xlfn.LET(_xlpm.Site,$B64,_xlpm.ActDate,_xlfn.XLOOKUP(_xlpm.Site,#REF!,tblSites[Country],""),_xlpm.ScreenDays,N('Study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64:INDEX($1:$1048576,ROW(),COLUMN()-1))),_xlpm.Remaining,MAX(0,_xlpm.MaxPts-_xlpm.PriorEnrolled),IF(OR(_xlpm.ActDate="",EOMONTH(M$5,0)&lt;_xlpm.StartDate,_xlpm.Remaining&lt;=0),0,MIN(_xlpm.MonthlyEnroll,_xlpm.Remaining))),0))</f>
        <v/>
      </c>
      <c r="N64" s="9" t="str">
        <f>IF($B64="","",IFERROR(_xlfn.LET(_xlpm.Site,$B64,_xlpm.ActDate,_xlfn.XLOOKUP(_xlpm.Site,tblSites[Country],tblSites[Site],""),_xlpm.ScreenDays,N('Study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64:INDEX($1:$1048576,ROW(),COLUMN()-1))),_xlpm.Remaining,MAX(0,_xlpm.MaxPts-_xlpm.PriorEnrolled),IF(OR(_xlpm.ActDate="",EOMONTH(N$5,0)&lt;_xlpm.StartDate,_xlpm.Remaining&lt;=0),0,MIN(_xlpm.MonthlyEnroll,_xlpm.Remaining))),0))</f>
        <v/>
      </c>
      <c r="O64" s="9" t="str">
        <f>IF($B64="","",IFERROR(_xlfn.LET(_xlpm.Site,$B64,_xlpm.ActDate,_xlfn.XLOOKUP(_xlpm.Site,tblSites[Site],tblSites[Site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64:INDEX($1:$1048576,ROW(),COLUMN()-1))),_xlpm.Remaining,MAX(0,_xlpm.MaxPts-_xlpm.PriorEnrolled),IF(OR(_xlpm.ActDate="",EOMONTH(O$5,0)&lt;_xlpm.StartDate,_xlpm.Remaining&lt;=0),0,MIN(_xlpm.MonthlyEnroll,_xlpm.Remaining))),0))</f>
        <v/>
      </c>
      <c r="P64" s="9" t="str">
        <f>IF($B64="","",IFERROR(_xlfn.LET(_xlpm.Site,$B64,_xlpm.ActDate,_xlfn.XLOOKUP(_xlpm.Site,tblSites[Site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64:INDEX($1:$1048576,ROW(),COLUMN()-1))),_xlpm.Remaining,MAX(0,_xlpm.MaxPts-_xlpm.PriorEnrolled),IF(OR(_xlpm.ActDate="",EOMONTH(P$5,0)&lt;_xlpm.StartDate,_xlpm.Remaining&lt;=0),0,MIN(_xlpm.MonthlyEnroll,_xlpm.Remaining))),0))</f>
        <v/>
      </c>
      <c r="Q64" s="9" t="str">
        <f>IF($B64="","",IFERROR(_xlfn.LET(_xlpm.Site,$B64,_xlpm.ActDate,_xlfn.XLOOKUP(_xlpm.Site,tblSites[Monthly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64:INDEX($1:$1048576,ROW(),COLUMN()-1))),_xlpm.Remaining,MAX(0,_xlpm.MaxPts-_xlpm.PriorEnrolled),IF(OR(_xlpm.ActDate="",EOMONTH(Q$5,0)&lt;_xlpm.StartDate,_xlpm.Remaining&lt;=0),0,MIN(_xlpm.MonthlyEnroll,_xlpm.Remaining))),0))</f>
        <v/>
      </c>
      <c r="R64" s="9" t="str">
        <f>IF($B64="","",IFERROR(_xlfn.LET(_xlpm.Site,$B64,_xlpm.ActDate,_xlfn.XLOOKUP(_xlpm.Site,tblSites[Site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64:INDEX($1:$1048576,ROW(),COLUMN()-1))),_xlpm.Remaining,MAX(0,_xlpm.MaxPts-_xlpm.PriorEnrolled),IF(OR(_xlpm.ActDate="",EOMONTH(R$5,0)&lt;_xlpm.StartDate,_xlpm.Remaining&lt;=0),0,MIN(_xlpm.MonthlyEnroll,_xlpm.Remaining))),0))</f>
        <v/>
      </c>
      <c r="S64" s="9" t="str">
        <f>IF($B64="","",IFERROR(_xlfn.LET(_xlpm.Site,$B64,_xlpm.ActDate,_xlfn.XLOOKUP(_xlpm.Site,tblSites[Max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64:INDEX($1:$1048576,ROW(),COLUMN()-1))),_xlpm.Remaining,MAX(0,_xlpm.MaxPts-_xlpm.PriorEnrolled),IF(OR(_xlpm.ActDate="",EOMONTH(S$5,0)&lt;_xlpm.StartDate,_xlpm.Remaining&lt;=0),0,MIN(_xlpm.MonthlyEnroll,_xlpm.Remaining))),0))</f>
        <v/>
      </c>
      <c r="T64" s="9" t="str">
        <f>IF($B64="","",IFERROR(_xlfn.LET(_xlpm.Site,$B64,_xlpm.ActDate,_xlfn.XLOOKUP(_xlpm.Site,tblSites[Current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64:INDEX($1:$1048576,ROW(),COLUMN()-1))),_xlpm.Remaining,MAX(0,_xlpm.MaxPts-_xlpm.PriorEnrolled),IF(OR(_xlpm.ActDate="",EOMONTH(T$5,0)&lt;_xlpm.StartDate,_xlpm.Remaining&lt;=0),0,MIN(_xlpm.MonthlyEnroll,_xlpm.Remaining))),0))</f>
        <v/>
      </c>
      <c r="U64" s="9" t="str">
        <f>IF($B64="","",IFERROR(_xlfn.LET(_xlpm.Site,$B64,_xlpm.ActDate,_xlfn.XLOOKUP(_xlpm.Site,tblSites[Include?],tblSites[Scenario?],""),_xlpm.ScreenDays,N('Study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64:INDEX($1:$1048576,ROW(),COLUMN()-1))),_xlpm.Remaining,MAX(0,_xlpm.MaxPts-_xlpm.PriorEnrolled),IF(OR(_xlpm.ActDate="",EOMONTH(U$5,0)&lt;_xlpm.StartDate,_xlpm.Remaining&lt;=0),0,MIN(_xlpm.MonthlyEnroll,_xlpm.Remaining))),0))</f>
        <v/>
      </c>
      <c r="V64" s="9" t="str">
        <f>IF($B64="","",IFERROR(_xlfn.LET(_xlpm.Site,$B64,_xlpm.ActDate,_xlfn.XLOOKUP(_xlpm.Site,tblSites[Scenario?],tblSites[Check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64:INDEX($1:$1048576,ROW(),COLUMN()-1))),_xlpm.Remaining,MAX(0,_xlpm.MaxPts-_xlpm.PriorEnrolled),IF(OR(_xlpm.ActDate="",EOMONTH(V$5,0)&lt;_xlpm.StartDate,_xlpm.Remaining&lt;=0),0,MIN(_xlpm.MonthlyEnroll,_xlpm.Remaining))),0))</f>
        <v/>
      </c>
      <c r="W64" s="9" t="str">
        <f>IF($B64="","",IFERROR(_xlfn.LET(_xlpm.Site,$B64,_xlpm.ActDate,_xlfn.XLOOKUP(_xlpm.Site,tblSites[Check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64:INDEX($1:$1048576,ROW(),COLUMN()-1))),_xlpm.Remaining,MAX(0,_xlpm.MaxPts-_xlpm.PriorEnrolled),IF(OR(_xlpm.ActDate="",EOMONTH(W$5,0)&lt;_xlpm.StartDate,_xlpm.Remaining&lt;=0),0,MIN(_xlpm.MonthlyEnroll,_xlpm.Remaining))),0))</f>
        <v/>
      </c>
      <c r="X64" s="9" t="str">
        <f>IF($B64="","",IFERROR(_xlfn.LET(_xlpm.Site,$B64,_xlpm.ActDate,_xlfn.XLOOKUP(_xlpm.Site,tblSites[Site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64:INDEX($1:$1048576,ROW(),COLUMN()-1))),_xlpm.Remaining,MAX(0,_xlpm.MaxPts-_xlpm.PriorEnrolled),IF(OR(_xlpm.ActDate="",EOMONTH(X$5,0)&lt;_xlpm.StartDate,_xlpm.Remaining&lt;=0),0,MIN(_xlpm.MonthlyEnroll,_xlpm.Remaining))),0))</f>
        <v/>
      </c>
      <c r="Y64" s="9" t="str">
        <f>IF($B64="","",IFERROR(_xlfn.LET(_xlpm.Site,$B64,_xlpm.ActDate,_xlfn.XLOOKUP(_xlpm.Site,#REF!,tblSites[Country],""),_xlpm.ScreenDays,N('Study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64:INDEX($1:$1048576,ROW(),COLUMN()-1))),_xlpm.Remaining,MAX(0,_xlpm.MaxPts-_xlpm.PriorEnrolled),IF(OR(_xlpm.ActDate="",EOMONTH(Y$5,0)&lt;_xlpm.StartDate,_xlpm.Remaining&lt;=0),0,MIN(_xlpm.MonthlyEnroll,_xlpm.Remaining))),0))</f>
        <v/>
      </c>
      <c r="Z64" s="9" t="str">
        <f>IF($B64="","",IFERROR(_xlfn.LET(_xlpm.Site,$B64,_xlpm.ActDate,_xlfn.XLOOKUP(_xlpm.Site,tblSites[Country],tblSites[Site],""),_xlpm.ScreenDays,N('Study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64:INDEX($1:$1048576,ROW(),COLUMN()-1))),_xlpm.Remaining,MAX(0,_xlpm.MaxPts-_xlpm.PriorEnrolled),IF(OR(_xlpm.ActDate="",EOMONTH(Z$5,0)&lt;_xlpm.StartDate,_xlpm.Remaining&lt;=0),0,MIN(_xlpm.MonthlyEnroll,_xlpm.Remaining))),0))</f>
        <v/>
      </c>
      <c r="AA64" s="9" t="str">
        <f>IF($B64="","",IFERROR(_xlfn.LET(_xlpm.Site,$B64,_xlpm.ActDate,_xlfn.XLOOKUP(_xlpm.Site,tblSites[Site],tblSites[Site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64:INDEX($1:$1048576,ROW(),COLUMN()-1))),_xlpm.Remaining,MAX(0,_xlpm.MaxPts-_xlpm.PriorEnrolled),IF(OR(_xlpm.ActDate="",EOMONTH(AA$5,0)&lt;_xlpm.StartDate,_xlpm.Remaining&lt;=0),0,MIN(_xlpm.MonthlyEnroll,_xlpm.Remaining))),0))</f>
        <v/>
      </c>
      <c r="AB64" s="9" t="str">
        <f>IF($B64="","",IFERROR(_xlfn.LET(_xlpm.Site,$B64,_xlpm.ActDate,_xlfn.XLOOKUP(_xlpm.Site,tblSites[Site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64:INDEX($1:$1048576,ROW(),COLUMN()-1))),_xlpm.Remaining,MAX(0,_xlpm.MaxPts-_xlpm.PriorEnrolled),IF(OR(_xlpm.ActDate="",EOMONTH(AB$5,0)&lt;_xlpm.StartDate,_xlpm.Remaining&lt;=0),0,MIN(_xlpm.MonthlyEnroll,_xlpm.Remaining))),0))</f>
        <v/>
      </c>
      <c r="AC64" s="9" t="str">
        <f>IF($B64="","",IFERROR(_xlfn.LET(_xlpm.Site,$B64,_xlpm.ActDate,_xlfn.XLOOKUP(_xlpm.Site,tblSites[Monthly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64:INDEX($1:$1048576,ROW(),COLUMN()-1))),_xlpm.Remaining,MAX(0,_xlpm.MaxPts-_xlpm.PriorEnrolled),IF(OR(_xlpm.ActDate="",EOMONTH(AC$5,0)&lt;_xlpm.StartDate,_xlpm.Remaining&lt;=0),0,MIN(_xlpm.MonthlyEnroll,_xlpm.Remaining))),0))</f>
        <v/>
      </c>
    </row>
    <row r="65" spans="3:29" x14ac:dyDescent="0.25">
      <c r="C65" s="9" cm="1">
        <f t="array" aca="1" ref="C65" ca="1">IF(C$5&lt;=TODAY(),0,IF($B65="","",IFERROR(_xlfn.LET(_xlpm.Site,$B65,_xlpm.SiteCol,INDIRECT("tblSites[Site]"),_xlpm.ActCol,INDIRECT("tblSites[Site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5" s="9" t="str">
        <f>IF($B65="","",IFERROR(_xlfn.LET(_xlpm.Site,$B65,_xlpm.ActDate,_xlfn.XLOOKUP(_xlpm.Site,tblSites[Site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65:INDEX($1:$1048576,ROW(),COLUMN()-1))),_xlpm.Remaining,MAX(0,_xlpm.MaxPts-_xlpm.PriorEnrolled),IF(OR(_xlpm.ActDate="",EOMONTH(D$5,0)&lt;_xlpm.StartDate,_xlpm.Remaining&lt;=0),0,MIN(_xlpm.MonthlyEnroll,_xlpm.Remaining))),0))</f>
        <v/>
      </c>
      <c r="E65" s="9" t="str">
        <f>IF($B65="","",IFERROR(_xlfn.LET(_xlpm.Site,$B65,_xlpm.ActDate,_xlfn.XLOOKUP(_xlpm.Site,tblSites[Monthly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65:INDEX($1:$1048576,ROW(),COLUMN()-1))),_xlpm.Remaining,MAX(0,_xlpm.MaxPts-_xlpm.PriorEnrolled),IF(OR(_xlpm.ActDate="",EOMONTH(E$5,0)&lt;_xlpm.StartDate,_xlpm.Remaining&lt;=0),0,MIN(_xlpm.MonthlyEnroll,_xlpm.Remaining))),0))</f>
        <v/>
      </c>
      <c r="F65" s="9" t="str">
        <f>IF($B65="","",IFERROR(_xlfn.LET(_xlpm.Site,$B65,_xlpm.ActDate,_xlfn.XLOOKUP(_xlpm.Site,tblSites[Site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65:INDEX($1:$1048576,ROW(),COLUMN()-1))),_xlpm.Remaining,MAX(0,_xlpm.MaxPts-_xlpm.PriorEnrolled),IF(OR(_xlpm.ActDate="",EOMONTH(F$5,0)&lt;_xlpm.StartDate,_xlpm.Remaining&lt;=0),0,MIN(_xlpm.MonthlyEnroll,_xlpm.Remaining))),0))</f>
        <v/>
      </c>
      <c r="G65" s="9" t="str">
        <f>IF($B65="","",IFERROR(_xlfn.LET(_xlpm.Site,$B65,_xlpm.ActDate,_xlfn.XLOOKUP(_xlpm.Site,tblSites[Max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65:INDEX($1:$1048576,ROW(),COLUMN()-1))),_xlpm.Remaining,MAX(0,_xlpm.MaxPts-_xlpm.PriorEnrolled),IF(OR(_xlpm.ActDate="",EOMONTH(G$5,0)&lt;_xlpm.StartDate,_xlpm.Remaining&lt;=0),0,MIN(_xlpm.MonthlyEnroll,_xlpm.Remaining))),0))</f>
        <v/>
      </c>
      <c r="H65" s="9" t="str">
        <f>IF($B65="","",IFERROR(_xlfn.LET(_xlpm.Site,$B65,_xlpm.ActDate,_xlfn.XLOOKUP(_xlpm.Site,tblSites[Current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65:INDEX($1:$1048576,ROW(),COLUMN()-1))),_xlpm.Remaining,MAX(0,_xlpm.MaxPts-_xlpm.PriorEnrolled),IF(OR(_xlpm.ActDate="",EOMONTH(H$5,0)&lt;_xlpm.StartDate,_xlpm.Remaining&lt;=0),0,MIN(_xlpm.MonthlyEnroll,_xlpm.Remaining))),0))</f>
        <v/>
      </c>
      <c r="I65" s="9" t="str">
        <f>IF($B65="","",IFERROR(_xlfn.LET(_xlpm.Site,$B65,_xlpm.ActDate,_xlfn.XLOOKUP(_xlpm.Site,tblSites[Include?],tblSites[Scenario?],""),_xlpm.ScreenDays,N('Study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65:INDEX($1:$1048576,ROW(),COLUMN()-1))),_xlpm.Remaining,MAX(0,_xlpm.MaxPts-_xlpm.PriorEnrolled),IF(OR(_xlpm.ActDate="",EOMONTH(I$5,0)&lt;_xlpm.StartDate,_xlpm.Remaining&lt;=0),0,MIN(_xlpm.MonthlyEnroll,_xlpm.Remaining))),0))</f>
        <v/>
      </c>
      <c r="J65" s="9" t="str">
        <f>IF($B65="","",IFERROR(_xlfn.LET(_xlpm.Site,$B65,_xlpm.ActDate,_xlfn.XLOOKUP(_xlpm.Site,tblSites[Scenario?],tblSites[Check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65:INDEX($1:$1048576,ROW(),COLUMN()-1))),_xlpm.Remaining,MAX(0,_xlpm.MaxPts-_xlpm.PriorEnrolled),IF(OR(_xlpm.ActDate="",EOMONTH(J$5,0)&lt;_xlpm.StartDate,_xlpm.Remaining&lt;=0),0,MIN(_xlpm.MonthlyEnroll,_xlpm.Remaining))),0))</f>
        <v/>
      </c>
      <c r="K65" s="9" t="str">
        <f>IF($B65="","",IFERROR(_xlfn.LET(_xlpm.Site,$B65,_xlpm.ActDate,_xlfn.XLOOKUP(_xlpm.Site,tblSites[Check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65:INDEX($1:$1048576,ROW(),COLUMN()-1))),_xlpm.Remaining,MAX(0,_xlpm.MaxPts-_xlpm.PriorEnrolled),IF(OR(_xlpm.ActDate="",EOMONTH(K$5,0)&lt;_xlpm.StartDate,_xlpm.Remaining&lt;=0),0,MIN(_xlpm.MonthlyEnroll,_xlpm.Remaining))),0))</f>
        <v/>
      </c>
      <c r="L65" s="9" t="str">
        <f>IF($B65="","",IFERROR(_xlfn.LET(_xlpm.Site,$B65,_xlpm.ActDate,_xlfn.XLOOKUP(_xlpm.Site,tblSites[Site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65:INDEX($1:$1048576,ROW(),COLUMN()-1))),_xlpm.Remaining,MAX(0,_xlpm.MaxPts-_xlpm.PriorEnrolled),IF(OR(_xlpm.ActDate="",EOMONTH(L$5,0)&lt;_xlpm.StartDate,_xlpm.Remaining&lt;=0),0,MIN(_xlpm.MonthlyEnroll,_xlpm.Remaining))),0))</f>
        <v/>
      </c>
      <c r="M65" s="9" t="str">
        <f>IF($B65="","",IFERROR(_xlfn.LET(_xlpm.Site,$B65,_xlpm.ActDate,_xlfn.XLOOKUP(_xlpm.Site,#REF!,tblSites[Country],""),_xlpm.ScreenDays,N('Study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65:INDEX($1:$1048576,ROW(),COLUMN()-1))),_xlpm.Remaining,MAX(0,_xlpm.MaxPts-_xlpm.PriorEnrolled),IF(OR(_xlpm.ActDate="",EOMONTH(M$5,0)&lt;_xlpm.StartDate,_xlpm.Remaining&lt;=0),0,MIN(_xlpm.MonthlyEnroll,_xlpm.Remaining))),0))</f>
        <v/>
      </c>
      <c r="N65" s="9" t="str">
        <f>IF($B65="","",IFERROR(_xlfn.LET(_xlpm.Site,$B65,_xlpm.ActDate,_xlfn.XLOOKUP(_xlpm.Site,tblSites[Country],tblSites[Site],""),_xlpm.ScreenDays,N('Study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65:INDEX($1:$1048576,ROW(),COLUMN()-1))),_xlpm.Remaining,MAX(0,_xlpm.MaxPts-_xlpm.PriorEnrolled),IF(OR(_xlpm.ActDate="",EOMONTH(N$5,0)&lt;_xlpm.StartDate,_xlpm.Remaining&lt;=0),0,MIN(_xlpm.MonthlyEnroll,_xlpm.Remaining))),0))</f>
        <v/>
      </c>
      <c r="O65" s="9" t="str">
        <f>IF($B65="","",IFERROR(_xlfn.LET(_xlpm.Site,$B65,_xlpm.ActDate,_xlfn.XLOOKUP(_xlpm.Site,tblSites[Site],tblSites[Site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65:INDEX($1:$1048576,ROW(),COLUMN()-1))),_xlpm.Remaining,MAX(0,_xlpm.MaxPts-_xlpm.PriorEnrolled),IF(OR(_xlpm.ActDate="",EOMONTH(O$5,0)&lt;_xlpm.StartDate,_xlpm.Remaining&lt;=0),0,MIN(_xlpm.MonthlyEnroll,_xlpm.Remaining))),0))</f>
        <v/>
      </c>
      <c r="P65" s="9" t="str">
        <f>IF($B65="","",IFERROR(_xlfn.LET(_xlpm.Site,$B65,_xlpm.ActDate,_xlfn.XLOOKUP(_xlpm.Site,tblSites[Site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65:INDEX($1:$1048576,ROW(),COLUMN()-1))),_xlpm.Remaining,MAX(0,_xlpm.MaxPts-_xlpm.PriorEnrolled),IF(OR(_xlpm.ActDate="",EOMONTH(P$5,0)&lt;_xlpm.StartDate,_xlpm.Remaining&lt;=0),0,MIN(_xlpm.MonthlyEnroll,_xlpm.Remaining))),0))</f>
        <v/>
      </c>
      <c r="Q65" s="9" t="str">
        <f>IF($B65="","",IFERROR(_xlfn.LET(_xlpm.Site,$B65,_xlpm.ActDate,_xlfn.XLOOKUP(_xlpm.Site,tblSites[Monthly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65:INDEX($1:$1048576,ROW(),COLUMN()-1))),_xlpm.Remaining,MAX(0,_xlpm.MaxPts-_xlpm.PriorEnrolled),IF(OR(_xlpm.ActDate="",EOMONTH(Q$5,0)&lt;_xlpm.StartDate,_xlpm.Remaining&lt;=0),0,MIN(_xlpm.MonthlyEnroll,_xlpm.Remaining))),0))</f>
        <v/>
      </c>
      <c r="R65" s="9" t="str">
        <f>IF($B65="","",IFERROR(_xlfn.LET(_xlpm.Site,$B65,_xlpm.ActDate,_xlfn.XLOOKUP(_xlpm.Site,tblSites[Site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65:INDEX($1:$1048576,ROW(),COLUMN()-1))),_xlpm.Remaining,MAX(0,_xlpm.MaxPts-_xlpm.PriorEnrolled),IF(OR(_xlpm.ActDate="",EOMONTH(R$5,0)&lt;_xlpm.StartDate,_xlpm.Remaining&lt;=0),0,MIN(_xlpm.MonthlyEnroll,_xlpm.Remaining))),0))</f>
        <v/>
      </c>
      <c r="S65" s="9" t="str">
        <f>IF($B65="","",IFERROR(_xlfn.LET(_xlpm.Site,$B65,_xlpm.ActDate,_xlfn.XLOOKUP(_xlpm.Site,tblSites[Max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65:INDEX($1:$1048576,ROW(),COLUMN()-1))),_xlpm.Remaining,MAX(0,_xlpm.MaxPts-_xlpm.PriorEnrolled),IF(OR(_xlpm.ActDate="",EOMONTH(S$5,0)&lt;_xlpm.StartDate,_xlpm.Remaining&lt;=0),0,MIN(_xlpm.MonthlyEnroll,_xlpm.Remaining))),0))</f>
        <v/>
      </c>
      <c r="T65" s="9" t="str">
        <f>IF($B65="","",IFERROR(_xlfn.LET(_xlpm.Site,$B65,_xlpm.ActDate,_xlfn.XLOOKUP(_xlpm.Site,tblSites[Current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65:INDEX($1:$1048576,ROW(),COLUMN()-1))),_xlpm.Remaining,MAX(0,_xlpm.MaxPts-_xlpm.PriorEnrolled),IF(OR(_xlpm.ActDate="",EOMONTH(T$5,0)&lt;_xlpm.StartDate,_xlpm.Remaining&lt;=0),0,MIN(_xlpm.MonthlyEnroll,_xlpm.Remaining))),0))</f>
        <v/>
      </c>
      <c r="U65" s="9" t="str">
        <f>IF($B65="","",IFERROR(_xlfn.LET(_xlpm.Site,$B65,_xlpm.ActDate,_xlfn.XLOOKUP(_xlpm.Site,tblSites[Include?],tblSites[Scenario?],""),_xlpm.ScreenDays,N('Study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65:INDEX($1:$1048576,ROW(),COLUMN()-1))),_xlpm.Remaining,MAX(0,_xlpm.MaxPts-_xlpm.PriorEnrolled),IF(OR(_xlpm.ActDate="",EOMONTH(U$5,0)&lt;_xlpm.StartDate,_xlpm.Remaining&lt;=0),0,MIN(_xlpm.MonthlyEnroll,_xlpm.Remaining))),0))</f>
        <v/>
      </c>
      <c r="V65" s="9" t="str">
        <f>IF($B65="","",IFERROR(_xlfn.LET(_xlpm.Site,$B65,_xlpm.ActDate,_xlfn.XLOOKUP(_xlpm.Site,tblSites[Scenario?],tblSites[Check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65:INDEX($1:$1048576,ROW(),COLUMN()-1))),_xlpm.Remaining,MAX(0,_xlpm.MaxPts-_xlpm.PriorEnrolled),IF(OR(_xlpm.ActDate="",EOMONTH(V$5,0)&lt;_xlpm.StartDate,_xlpm.Remaining&lt;=0),0,MIN(_xlpm.MonthlyEnroll,_xlpm.Remaining))),0))</f>
        <v/>
      </c>
      <c r="W65" s="9" t="str">
        <f>IF($B65="","",IFERROR(_xlfn.LET(_xlpm.Site,$B65,_xlpm.ActDate,_xlfn.XLOOKUP(_xlpm.Site,tblSites[Check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65:INDEX($1:$1048576,ROW(),COLUMN()-1))),_xlpm.Remaining,MAX(0,_xlpm.MaxPts-_xlpm.PriorEnrolled),IF(OR(_xlpm.ActDate="",EOMONTH(W$5,0)&lt;_xlpm.StartDate,_xlpm.Remaining&lt;=0),0,MIN(_xlpm.MonthlyEnroll,_xlpm.Remaining))),0))</f>
        <v/>
      </c>
      <c r="X65" s="9" t="str">
        <f>IF($B65="","",IFERROR(_xlfn.LET(_xlpm.Site,$B65,_xlpm.ActDate,_xlfn.XLOOKUP(_xlpm.Site,tblSites[Site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65:INDEX($1:$1048576,ROW(),COLUMN()-1))),_xlpm.Remaining,MAX(0,_xlpm.MaxPts-_xlpm.PriorEnrolled),IF(OR(_xlpm.ActDate="",EOMONTH(X$5,0)&lt;_xlpm.StartDate,_xlpm.Remaining&lt;=0),0,MIN(_xlpm.MonthlyEnroll,_xlpm.Remaining))),0))</f>
        <v/>
      </c>
      <c r="Y65" s="9" t="str">
        <f>IF($B65="","",IFERROR(_xlfn.LET(_xlpm.Site,$B65,_xlpm.ActDate,_xlfn.XLOOKUP(_xlpm.Site,#REF!,tblSites[Country],""),_xlpm.ScreenDays,N('Study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65:INDEX($1:$1048576,ROW(),COLUMN()-1))),_xlpm.Remaining,MAX(0,_xlpm.MaxPts-_xlpm.PriorEnrolled),IF(OR(_xlpm.ActDate="",EOMONTH(Y$5,0)&lt;_xlpm.StartDate,_xlpm.Remaining&lt;=0),0,MIN(_xlpm.MonthlyEnroll,_xlpm.Remaining))),0))</f>
        <v/>
      </c>
      <c r="Z65" s="9" t="str">
        <f>IF($B65="","",IFERROR(_xlfn.LET(_xlpm.Site,$B65,_xlpm.ActDate,_xlfn.XLOOKUP(_xlpm.Site,tblSites[Country],tblSites[Site],""),_xlpm.ScreenDays,N('Study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65:INDEX($1:$1048576,ROW(),COLUMN()-1))),_xlpm.Remaining,MAX(0,_xlpm.MaxPts-_xlpm.PriorEnrolled),IF(OR(_xlpm.ActDate="",EOMONTH(Z$5,0)&lt;_xlpm.StartDate,_xlpm.Remaining&lt;=0),0,MIN(_xlpm.MonthlyEnroll,_xlpm.Remaining))),0))</f>
        <v/>
      </c>
      <c r="AA65" s="9" t="str">
        <f>IF($B65="","",IFERROR(_xlfn.LET(_xlpm.Site,$B65,_xlpm.ActDate,_xlfn.XLOOKUP(_xlpm.Site,tblSites[Site],tblSites[Site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65:INDEX($1:$1048576,ROW(),COLUMN()-1))),_xlpm.Remaining,MAX(0,_xlpm.MaxPts-_xlpm.PriorEnrolled),IF(OR(_xlpm.ActDate="",EOMONTH(AA$5,0)&lt;_xlpm.StartDate,_xlpm.Remaining&lt;=0),0,MIN(_xlpm.MonthlyEnroll,_xlpm.Remaining))),0))</f>
        <v/>
      </c>
      <c r="AB65" s="9" t="str">
        <f>IF($B65="","",IFERROR(_xlfn.LET(_xlpm.Site,$B65,_xlpm.ActDate,_xlfn.XLOOKUP(_xlpm.Site,tblSites[Site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65:INDEX($1:$1048576,ROW(),COLUMN()-1))),_xlpm.Remaining,MAX(0,_xlpm.MaxPts-_xlpm.PriorEnrolled),IF(OR(_xlpm.ActDate="",EOMONTH(AB$5,0)&lt;_xlpm.StartDate,_xlpm.Remaining&lt;=0),0,MIN(_xlpm.MonthlyEnroll,_xlpm.Remaining))),0))</f>
        <v/>
      </c>
      <c r="AC65" s="9" t="str">
        <f>IF($B65="","",IFERROR(_xlfn.LET(_xlpm.Site,$B65,_xlpm.ActDate,_xlfn.XLOOKUP(_xlpm.Site,tblSites[Monthly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65:INDEX($1:$1048576,ROW(),COLUMN()-1))),_xlpm.Remaining,MAX(0,_xlpm.MaxPts-_xlpm.PriorEnrolled),IF(OR(_xlpm.ActDate="",EOMONTH(AC$5,0)&lt;_xlpm.StartDate,_xlpm.Remaining&lt;=0),0,MIN(_xlpm.MonthlyEnroll,_xlpm.Remaining))),0))</f>
        <v/>
      </c>
    </row>
    <row r="66" spans="3:29" x14ac:dyDescent="0.25">
      <c r="C66" s="9" cm="1">
        <f t="array" aca="1" ref="C66" ca="1">IF(C$5&lt;=TODAY(),0,IF($B66="","",IFERROR(_xlfn.LET(_xlpm.Site,$B66,_xlpm.SiteCol,INDIRECT("tblSites[Site]"),_xlpm.ActCol,INDIRECT("tblSites[Site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6" s="9" t="str">
        <f>IF($B66="","",IFERROR(_xlfn.LET(_xlpm.Site,$B66,_xlpm.ActDate,_xlfn.XLOOKUP(_xlpm.Site,tblSites[Site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66:INDEX($1:$1048576,ROW(),COLUMN()-1))),_xlpm.Remaining,MAX(0,_xlpm.MaxPts-_xlpm.PriorEnrolled),IF(OR(_xlpm.ActDate="",EOMONTH(D$5,0)&lt;_xlpm.StartDate,_xlpm.Remaining&lt;=0),0,MIN(_xlpm.MonthlyEnroll,_xlpm.Remaining))),0))</f>
        <v/>
      </c>
      <c r="E66" s="9" t="str">
        <f>IF($B66="","",IFERROR(_xlfn.LET(_xlpm.Site,$B66,_xlpm.ActDate,_xlfn.XLOOKUP(_xlpm.Site,tblSites[Monthly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66:INDEX($1:$1048576,ROW(),COLUMN()-1))),_xlpm.Remaining,MAX(0,_xlpm.MaxPts-_xlpm.PriorEnrolled),IF(OR(_xlpm.ActDate="",EOMONTH(E$5,0)&lt;_xlpm.StartDate,_xlpm.Remaining&lt;=0),0,MIN(_xlpm.MonthlyEnroll,_xlpm.Remaining))),0))</f>
        <v/>
      </c>
      <c r="F66" s="9" t="str">
        <f>IF($B66="","",IFERROR(_xlfn.LET(_xlpm.Site,$B66,_xlpm.ActDate,_xlfn.XLOOKUP(_xlpm.Site,tblSites[Site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66:INDEX($1:$1048576,ROW(),COLUMN()-1))),_xlpm.Remaining,MAX(0,_xlpm.MaxPts-_xlpm.PriorEnrolled),IF(OR(_xlpm.ActDate="",EOMONTH(F$5,0)&lt;_xlpm.StartDate,_xlpm.Remaining&lt;=0),0,MIN(_xlpm.MonthlyEnroll,_xlpm.Remaining))),0))</f>
        <v/>
      </c>
      <c r="G66" s="9" t="str">
        <f>IF($B66="","",IFERROR(_xlfn.LET(_xlpm.Site,$B66,_xlpm.ActDate,_xlfn.XLOOKUP(_xlpm.Site,tblSites[Max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66:INDEX($1:$1048576,ROW(),COLUMN()-1))),_xlpm.Remaining,MAX(0,_xlpm.MaxPts-_xlpm.PriorEnrolled),IF(OR(_xlpm.ActDate="",EOMONTH(G$5,0)&lt;_xlpm.StartDate,_xlpm.Remaining&lt;=0),0,MIN(_xlpm.MonthlyEnroll,_xlpm.Remaining))),0))</f>
        <v/>
      </c>
      <c r="H66" s="9" t="str">
        <f>IF($B66="","",IFERROR(_xlfn.LET(_xlpm.Site,$B66,_xlpm.ActDate,_xlfn.XLOOKUP(_xlpm.Site,tblSites[Current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66:INDEX($1:$1048576,ROW(),COLUMN()-1))),_xlpm.Remaining,MAX(0,_xlpm.MaxPts-_xlpm.PriorEnrolled),IF(OR(_xlpm.ActDate="",EOMONTH(H$5,0)&lt;_xlpm.StartDate,_xlpm.Remaining&lt;=0),0,MIN(_xlpm.MonthlyEnroll,_xlpm.Remaining))),0))</f>
        <v/>
      </c>
      <c r="I66" s="9" t="str">
        <f>IF($B66="","",IFERROR(_xlfn.LET(_xlpm.Site,$B66,_xlpm.ActDate,_xlfn.XLOOKUP(_xlpm.Site,tblSites[Include?],tblSites[Scenario?],""),_xlpm.ScreenDays,N('Study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66:INDEX($1:$1048576,ROW(),COLUMN()-1))),_xlpm.Remaining,MAX(0,_xlpm.MaxPts-_xlpm.PriorEnrolled),IF(OR(_xlpm.ActDate="",EOMONTH(I$5,0)&lt;_xlpm.StartDate,_xlpm.Remaining&lt;=0),0,MIN(_xlpm.MonthlyEnroll,_xlpm.Remaining))),0))</f>
        <v/>
      </c>
      <c r="J66" s="9" t="str">
        <f>IF($B66="","",IFERROR(_xlfn.LET(_xlpm.Site,$B66,_xlpm.ActDate,_xlfn.XLOOKUP(_xlpm.Site,tblSites[Scenario?],tblSites[Check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66:INDEX($1:$1048576,ROW(),COLUMN()-1))),_xlpm.Remaining,MAX(0,_xlpm.MaxPts-_xlpm.PriorEnrolled),IF(OR(_xlpm.ActDate="",EOMONTH(J$5,0)&lt;_xlpm.StartDate,_xlpm.Remaining&lt;=0),0,MIN(_xlpm.MonthlyEnroll,_xlpm.Remaining))),0))</f>
        <v/>
      </c>
      <c r="K66" s="9" t="str">
        <f>IF($B66="","",IFERROR(_xlfn.LET(_xlpm.Site,$B66,_xlpm.ActDate,_xlfn.XLOOKUP(_xlpm.Site,tblSites[Check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66:INDEX($1:$1048576,ROW(),COLUMN()-1))),_xlpm.Remaining,MAX(0,_xlpm.MaxPts-_xlpm.PriorEnrolled),IF(OR(_xlpm.ActDate="",EOMONTH(K$5,0)&lt;_xlpm.StartDate,_xlpm.Remaining&lt;=0),0,MIN(_xlpm.MonthlyEnroll,_xlpm.Remaining))),0))</f>
        <v/>
      </c>
      <c r="L66" s="9" t="str">
        <f>IF($B66="","",IFERROR(_xlfn.LET(_xlpm.Site,$B66,_xlpm.ActDate,_xlfn.XLOOKUP(_xlpm.Site,tblSites[Site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66:INDEX($1:$1048576,ROW(),COLUMN()-1))),_xlpm.Remaining,MAX(0,_xlpm.MaxPts-_xlpm.PriorEnrolled),IF(OR(_xlpm.ActDate="",EOMONTH(L$5,0)&lt;_xlpm.StartDate,_xlpm.Remaining&lt;=0),0,MIN(_xlpm.MonthlyEnroll,_xlpm.Remaining))),0))</f>
        <v/>
      </c>
      <c r="M66" s="9" t="str">
        <f>IF($B66="","",IFERROR(_xlfn.LET(_xlpm.Site,$B66,_xlpm.ActDate,_xlfn.XLOOKUP(_xlpm.Site,#REF!,tblSites[Country],""),_xlpm.ScreenDays,N('Study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66:INDEX($1:$1048576,ROW(),COLUMN()-1))),_xlpm.Remaining,MAX(0,_xlpm.MaxPts-_xlpm.PriorEnrolled),IF(OR(_xlpm.ActDate="",EOMONTH(M$5,0)&lt;_xlpm.StartDate,_xlpm.Remaining&lt;=0),0,MIN(_xlpm.MonthlyEnroll,_xlpm.Remaining))),0))</f>
        <v/>
      </c>
      <c r="N66" s="9" t="str">
        <f>IF($B66="","",IFERROR(_xlfn.LET(_xlpm.Site,$B66,_xlpm.ActDate,_xlfn.XLOOKUP(_xlpm.Site,tblSites[Country],tblSites[Site],""),_xlpm.ScreenDays,N('Study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66:INDEX($1:$1048576,ROW(),COLUMN()-1))),_xlpm.Remaining,MAX(0,_xlpm.MaxPts-_xlpm.PriorEnrolled),IF(OR(_xlpm.ActDate="",EOMONTH(N$5,0)&lt;_xlpm.StartDate,_xlpm.Remaining&lt;=0),0,MIN(_xlpm.MonthlyEnroll,_xlpm.Remaining))),0))</f>
        <v/>
      </c>
      <c r="O66" s="9" t="str">
        <f>IF($B66="","",IFERROR(_xlfn.LET(_xlpm.Site,$B66,_xlpm.ActDate,_xlfn.XLOOKUP(_xlpm.Site,tblSites[Site],tblSites[Site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66:INDEX($1:$1048576,ROW(),COLUMN()-1))),_xlpm.Remaining,MAX(0,_xlpm.MaxPts-_xlpm.PriorEnrolled),IF(OR(_xlpm.ActDate="",EOMONTH(O$5,0)&lt;_xlpm.StartDate,_xlpm.Remaining&lt;=0),0,MIN(_xlpm.MonthlyEnroll,_xlpm.Remaining))),0))</f>
        <v/>
      </c>
      <c r="P66" s="9" t="str">
        <f>IF($B66="","",IFERROR(_xlfn.LET(_xlpm.Site,$B66,_xlpm.ActDate,_xlfn.XLOOKUP(_xlpm.Site,tblSites[Site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66:INDEX($1:$1048576,ROW(),COLUMN()-1))),_xlpm.Remaining,MAX(0,_xlpm.MaxPts-_xlpm.PriorEnrolled),IF(OR(_xlpm.ActDate="",EOMONTH(P$5,0)&lt;_xlpm.StartDate,_xlpm.Remaining&lt;=0),0,MIN(_xlpm.MonthlyEnroll,_xlpm.Remaining))),0))</f>
        <v/>
      </c>
      <c r="Q66" s="9" t="str">
        <f>IF($B66="","",IFERROR(_xlfn.LET(_xlpm.Site,$B66,_xlpm.ActDate,_xlfn.XLOOKUP(_xlpm.Site,tblSites[Monthly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66:INDEX($1:$1048576,ROW(),COLUMN()-1))),_xlpm.Remaining,MAX(0,_xlpm.MaxPts-_xlpm.PriorEnrolled),IF(OR(_xlpm.ActDate="",EOMONTH(Q$5,0)&lt;_xlpm.StartDate,_xlpm.Remaining&lt;=0),0,MIN(_xlpm.MonthlyEnroll,_xlpm.Remaining))),0))</f>
        <v/>
      </c>
      <c r="R66" s="9" t="str">
        <f>IF($B66="","",IFERROR(_xlfn.LET(_xlpm.Site,$B66,_xlpm.ActDate,_xlfn.XLOOKUP(_xlpm.Site,tblSites[Site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66:INDEX($1:$1048576,ROW(),COLUMN()-1))),_xlpm.Remaining,MAX(0,_xlpm.MaxPts-_xlpm.PriorEnrolled),IF(OR(_xlpm.ActDate="",EOMONTH(R$5,0)&lt;_xlpm.StartDate,_xlpm.Remaining&lt;=0),0,MIN(_xlpm.MonthlyEnroll,_xlpm.Remaining))),0))</f>
        <v/>
      </c>
      <c r="S66" s="9" t="str">
        <f>IF($B66="","",IFERROR(_xlfn.LET(_xlpm.Site,$B66,_xlpm.ActDate,_xlfn.XLOOKUP(_xlpm.Site,tblSites[Max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66:INDEX($1:$1048576,ROW(),COLUMN()-1))),_xlpm.Remaining,MAX(0,_xlpm.MaxPts-_xlpm.PriorEnrolled),IF(OR(_xlpm.ActDate="",EOMONTH(S$5,0)&lt;_xlpm.StartDate,_xlpm.Remaining&lt;=0),0,MIN(_xlpm.MonthlyEnroll,_xlpm.Remaining))),0))</f>
        <v/>
      </c>
      <c r="T66" s="9" t="str">
        <f>IF($B66="","",IFERROR(_xlfn.LET(_xlpm.Site,$B66,_xlpm.ActDate,_xlfn.XLOOKUP(_xlpm.Site,tblSites[Current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66:INDEX($1:$1048576,ROW(),COLUMN()-1))),_xlpm.Remaining,MAX(0,_xlpm.MaxPts-_xlpm.PriorEnrolled),IF(OR(_xlpm.ActDate="",EOMONTH(T$5,0)&lt;_xlpm.StartDate,_xlpm.Remaining&lt;=0),0,MIN(_xlpm.MonthlyEnroll,_xlpm.Remaining))),0))</f>
        <v/>
      </c>
      <c r="U66" s="9" t="str">
        <f>IF($B66="","",IFERROR(_xlfn.LET(_xlpm.Site,$B66,_xlpm.ActDate,_xlfn.XLOOKUP(_xlpm.Site,tblSites[Include?],tblSites[Scenario?],""),_xlpm.ScreenDays,N('Study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66:INDEX($1:$1048576,ROW(),COLUMN()-1))),_xlpm.Remaining,MAX(0,_xlpm.MaxPts-_xlpm.PriorEnrolled),IF(OR(_xlpm.ActDate="",EOMONTH(U$5,0)&lt;_xlpm.StartDate,_xlpm.Remaining&lt;=0),0,MIN(_xlpm.MonthlyEnroll,_xlpm.Remaining))),0))</f>
        <v/>
      </c>
      <c r="V66" s="9" t="str">
        <f>IF($B66="","",IFERROR(_xlfn.LET(_xlpm.Site,$B66,_xlpm.ActDate,_xlfn.XLOOKUP(_xlpm.Site,tblSites[Scenario?],tblSites[Check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66:INDEX($1:$1048576,ROW(),COLUMN()-1))),_xlpm.Remaining,MAX(0,_xlpm.MaxPts-_xlpm.PriorEnrolled),IF(OR(_xlpm.ActDate="",EOMONTH(V$5,0)&lt;_xlpm.StartDate,_xlpm.Remaining&lt;=0),0,MIN(_xlpm.MonthlyEnroll,_xlpm.Remaining))),0))</f>
        <v/>
      </c>
      <c r="W66" s="9" t="str">
        <f>IF($B66="","",IFERROR(_xlfn.LET(_xlpm.Site,$B66,_xlpm.ActDate,_xlfn.XLOOKUP(_xlpm.Site,tblSites[Check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66:INDEX($1:$1048576,ROW(),COLUMN()-1))),_xlpm.Remaining,MAX(0,_xlpm.MaxPts-_xlpm.PriorEnrolled),IF(OR(_xlpm.ActDate="",EOMONTH(W$5,0)&lt;_xlpm.StartDate,_xlpm.Remaining&lt;=0),0,MIN(_xlpm.MonthlyEnroll,_xlpm.Remaining))),0))</f>
        <v/>
      </c>
      <c r="X66" s="9" t="str">
        <f>IF($B66="","",IFERROR(_xlfn.LET(_xlpm.Site,$B66,_xlpm.ActDate,_xlfn.XLOOKUP(_xlpm.Site,tblSites[Site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66:INDEX($1:$1048576,ROW(),COLUMN()-1))),_xlpm.Remaining,MAX(0,_xlpm.MaxPts-_xlpm.PriorEnrolled),IF(OR(_xlpm.ActDate="",EOMONTH(X$5,0)&lt;_xlpm.StartDate,_xlpm.Remaining&lt;=0),0,MIN(_xlpm.MonthlyEnroll,_xlpm.Remaining))),0))</f>
        <v/>
      </c>
      <c r="Y66" s="9" t="str">
        <f>IF($B66="","",IFERROR(_xlfn.LET(_xlpm.Site,$B66,_xlpm.ActDate,_xlfn.XLOOKUP(_xlpm.Site,#REF!,tblSites[Country],""),_xlpm.ScreenDays,N('Study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66:INDEX($1:$1048576,ROW(),COLUMN()-1))),_xlpm.Remaining,MAX(0,_xlpm.MaxPts-_xlpm.PriorEnrolled),IF(OR(_xlpm.ActDate="",EOMONTH(Y$5,0)&lt;_xlpm.StartDate,_xlpm.Remaining&lt;=0),0,MIN(_xlpm.MonthlyEnroll,_xlpm.Remaining))),0))</f>
        <v/>
      </c>
      <c r="Z66" s="9" t="str">
        <f>IF($B66="","",IFERROR(_xlfn.LET(_xlpm.Site,$B66,_xlpm.ActDate,_xlfn.XLOOKUP(_xlpm.Site,tblSites[Country],tblSites[Site],""),_xlpm.ScreenDays,N('Study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66:INDEX($1:$1048576,ROW(),COLUMN()-1))),_xlpm.Remaining,MAX(0,_xlpm.MaxPts-_xlpm.PriorEnrolled),IF(OR(_xlpm.ActDate="",EOMONTH(Z$5,0)&lt;_xlpm.StartDate,_xlpm.Remaining&lt;=0),0,MIN(_xlpm.MonthlyEnroll,_xlpm.Remaining))),0))</f>
        <v/>
      </c>
      <c r="AA66" s="9" t="str">
        <f>IF($B66="","",IFERROR(_xlfn.LET(_xlpm.Site,$B66,_xlpm.ActDate,_xlfn.XLOOKUP(_xlpm.Site,tblSites[Site],tblSites[Site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66:INDEX($1:$1048576,ROW(),COLUMN()-1))),_xlpm.Remaining,MAX(0,_xlpm.MaxPts-_xlpm.PriorEnrolled),IF(OR(_xlpm.ActDate="",EOMONTH(AA$5,0)&lt;_xlpm.StartDate,_xlpm.Remaining&lt;=0),0,MIN(_xlpm.MonthlyEnroll,_xlpm.Remaining))),0))</f>
        <v/>
      </c>
      <c r="AB66" s="9" t="str">
        <f>IF($B66="","",IFERROR(_xlfn.LET(_xlpm.Site,$B66,_xlpm.ActDate,_xlfn.XLOOKUP(_xlpm.Site,tblSites[Site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66:INDEX($1:$1048576,ROW(),COLUMN()-1))),_xlpm.Remaining,MAX(0,_xlpm.MaxPts-_xlpm.PriorEnrolled),IF(OR(_xlpm.ActDate="",EOMONTH(AB$5,0)&lt;_xlpm.StartDate,_xlpm.Remaining&lt;=0),0,MIN(_xlpm.MonthlyEnroll,_xlpm.Remaining))),0))</f>
        <v/>
      </c>
      <c r="AC66" s="9" t="str">
        <f>IF($B66="","",IFERROR(_xlfn.LET(_xlpm.Site,$B66,_xlpm.ActDate,_xlfn.XLOOKUP(_xlpm.Site,tblSites[Monthly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66:INDEX($1:$1048576,ROW(),COLUMN()-1))),_xlpm.Remaining,MAX(0,_xlpm.MaxPts-_xlpm.PriorEnrolled),IF(OR(_xlpm.ActDate="",EOMONTH(AC$5,0)&lt;_xlpm.StartDate,_xlpm.Remaining&lt;=0),0,MIN(_xlpm.MonthlyEnroll,_xlpm.Remaining))),0))</f>
        <v/>
      </c>
    </row>
    <row r="67" spans="3:29" x14ac:dyDescent="0.25">
      <c r="C67" s="9" cm="1">
        <f t="array" aca="1" ref="C67" ca="1">IF(C$5&lt;=TODAY(),0,IF($B67="","",IFERROR(_xlfn.LET(_xlpm.Site,$B67,_xlpm.SiteCol,INDIRECT("tblSites[Site]"),_xlpm.ActCol,INDIRECT("tblSites[Site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7" s="9" t="str">
        <f>IF($B67="","",IFERROR(_xlfn.LET(_xlpm.Site,$B67,_xlpm.ActDate,_xlfn.XLOOKUP(_xlpm.Site,tblSites[Site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67:INDEX($1:$1048576,ROW(),COLUMN()-1))),_xlpm.Remaining,MAX(0,_xlpm.MaxPts-_xlpm.PriorEnrolled),IF(OR(_xlpm.ActDate="",EOMONTH(D$5,0)&lt;_xlpm.StartDate,_xlpm.Remaining&lt;=0),0,MIN(_xlpm.MonthlyEnroll,_xlpm.Remaining))),0))</f>
        <v/>
      </c>
      <c r="E67" s="9" t="str">
        <f>IF($B67="","",IFERROR(_xlfn.LET(_xlpm.Site,$B67,_xlpm.ActDate,_xlfn.XLOOKUP(_xlpm.Site,tblSites[Monthly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67:INDEX($1:$1048576,ROW(),COLUMN()-1))),_xlpm.Remaining,MAX(0,_xlpm.MaxPts-_xlpm.PriorEnrolled),IF(OR(_xlpm.ActDate="",EOMONTH(E$5,0)&lt;_xlpm.StartDate,_xlpm.Remaining&lt;=0),0,MIN(_xlpm.MonthlyEnroll,_xlpm.Remaining))),0))</f>
        <v/>
      </c>
      <c r="F67" s="9" t="str">
        <f>IF($B67="","",IFERROR(_xlfn.LET(_xlpm.Site,$B67,_xlpm.ActDate,_xlfn.XLOOKUP(_xlpm.Site,tblSites[Site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67:INDEX($1:$1048576,ROW(),COLUMN()-1))),_xlpm.Remaining,MAX(0,_xlpm.MaxPts-_xlpm.PriorEnrolled),IF(OR(_xlpm.ActDate="",EOMONTH(F$5,0)&lt;_xlpm.StartDate,_xlpm.Remaining&lt;=0),0,MIN(_xlpm.MonthlyEnroll,_xlpm.Remaining))),0))</f>
        <v/>
      </c>
      <c r="G67" s="9" t="str">
        <f>IF($B67="","",IFERROR(_xlfn.LET(_xlpm.Site,$B67,_xlpm.ActDate,_xlfn.XLOOKUP(_xlpm.Site,tblSites[Max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67:INDEX($1:$1048576,ROW(),COLUMN()-1))),_xlpm.Remaining,MAX(0,_xlpm.MaxPts-_xlpm.PriorEnrolled),IF(OR(_xlpm.ActDate="",EOMONTH(G$5,0)&lt;_xlpm.StartDate,_xlpm.Remaining&lt;=0),0,MIN(_xlpm.MonthlyEnroll,_xlpm.Remaining))),0))</f>
        <v/>
      </c>
      <c r="H67" s="9" t="str">
        <f>IF($B67="","",IFERROR(_xlfn.LET(_xlpm.Site,$B67,_xlpm.ActDate,_xlfn.XLOOKUP(_xlpm.Site,tblSites[Current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67:INDEX($1:$1048576,ROW(),COLUMN()-1))),_xlpm.Remaining,MAX(0,_xlpm.MaxPts-_xlpm.PriorEnrolled),IF(OR(_xlpm.ActDate="",EOMONTH(H$5,0)&lt;_xlpm.StartDate,_xlpm.Remaining&lt;=0),0,MIN(_xlpm.MonthlyEnroll,_xlpm.Remaining))),0))</f>
        <v/>
      </c>
      <c r="I67" s="9" t="str">
        <f>IF($B67="","",IFERROR(_xlfn.LET(_xlpm.Site,$B67,_xlpm.ActDate,_xlfn.XLOOKUP(_xlpm.Site,tblSites[Include?],tblSites[Scenario?],""),_xlpm.ScreenDays,N('Study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67:INDEX($1:$1048576,ROW(),COLUMN()-1))),_xlpm.Remaining,MAX(0,_xlpm.MaxPts-_xlpm.PriorEnrolled),IF(OR(_xlpm.ActDate="",EOMONTH(I$5,0)&lt;_xlpm.StartDate,_xlpm.Remaining&lt;=0),0,MIN(_xlpm.MonthlyEnroll,_xlpm.Remaining))),0))</f>
        <v/>
      </c>
      <c r="J67" s="9" t="str">
        <f>IF($B67="","",IFERROR(_xlfn.LET(_xlpm.Site,$B67,_xlpm.ActDate,_xlfn.XLOOKUP(_xlpm.Site,tblSites[Scenario?],tblSites[Check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67:INDEX($1:$1048576,ROW(),COLUMN()-1))),_xlpm.Remaining,MAX(0,_xlpm.MaxPts-_xlpm.PriorEnrolled),IF(OR(_xlpm.ActDate="",EOMONTH(J$5,0)&lt;_xlpm.StartDate,_xlpm.Remaining&lt;=0),0,MIN(_xlpm.MonthlyEnroll,_xlpm.Remaining))),0))</f>
        <v/>
      </c>
      <c r="K67" s="9" t="str">
        <f>IF($B67="","",IFERROR(_xlfn.LET(_xlpm.Site,$B67,_xlpm.ActDate,_xlfn.XLOOKUP(_xlpm.Site,tblSites[Check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67:INDEX($1:$1048576,ROW(),COLUMN()-1))),_xlpm.Remaining,MAX(0,_xlpm.MaxPts-_xlpm.PriorEnrolled),IF(OR(_xlpm.ActDate="",EOMONTH(K$5,0)&lt;_xlpm.StartDate,_xlpm.Remaining&lt;=0),0,MIN(_xlpm.MonthlyEnroll,_xlpm.Remaining))),0))</f>
        <v/>
      </c>
      <c r="L67" s="9" t="str">
        <f>IF($B67="","",IFERROR(_xlfn.LET(_xlpm.Site,$B67,_xlpm.ActDate,_xlfn.XLOOKUP(_xlpm.Site,tblSites[Site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67:INDEX($1:$1048576,ROW(),COLUMN()-1))),_xlpm.Remaining,MAX(0,_xlpm.MaxPts-_xlpm.PriorEnrolled),IF(OR(_xlpm.ActDate="",EOMONTH(L$5,0)&lt;_xlpm.StartDate,_xlpm.Remaining&lt;=0),0,MIN(_xlpm.MonthlyEnroll,_xlpm.Remaining))),0))</f>
        <v/>
      </c>
      <c r="M67" s="9" t="str">
        <f>IF($B67="","",IFERROR(_xlfn.LET(_xlpm.Site,$B67,_xlpm.ActDate,_xlfn.XLOOKUP(_xlpm.Site,#REF!,tblSites[Country],""),_xlpm.ScreenDays,N('Study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67:INDEX($1:$1048576,ROW(),COLUMN()-1))),_xlpm.Remaining,MAX(0,_xlpm.MaxPts-_xlpm.PriorEnrolled),IF(OR(_xlpm.ActDate="",EOMONTH(M$5,0)&lt;_xlpm.StartDate,_xlpm.Remaining&lt;=0),0,MIN(_xlpm.MonthlyEnroll,_xlpm.Remaining))),0))</f>
        <v/>
      </c>
      <c r="N67" s="9" t="str">
        <f>IF($B67="","",IFERROR(_xlfn.LET(_xlpm.Site,$B67,_xlpm.ActDate,_xlfn.XLOOKUP(_xlpm.Site,tblSites[Country],tblSites[Site],""),_xlpm.ScreenDays,N('Study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67:INDEX($1:$1048576,ROW(),COLUMN()-1))),_xlpm.Remaining,MAX(0,_xlpm.MaxPts-_xlpm.PriorEnrolled),IF(OR(_xlpm.ActDate="",EOMONTH(N$5,0)&lt;_xlpm.StartDate,_xlpm.Remaining&lt;=0),0,MIN(_xlpm.MonthlyEnroll,_xlpm.Remaining))),0))</f>
        <v/>
      </c>
      <c r="O67" s="9" t="str">
        <f>IF($B67="","",IFERROR(_xlfn.LET(_xlpm.Site,$B67,_xlpm.ActDate,_xlfn.XLOOKUP(_xlpm.Site,tblSites[Site],tblSites[Site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67:INDEX($1:$1048576,ROW(),COLUMN()-1))),_xlpm.Remaining,MAX(0,_xlpm.MaxPts-_xlpm.PriorEnrolled),IF(OR(_xlpm.ActDate="",EOMONTH(O$5,0)&lt;_xlpm.StartDate,_xlpm.Remaining&lt;=0),0,MIN(_xlpm.MonthlyEnroll,_xlpm.Remaining))),0))</f>
        <v/>
      </c>
      <c r="P67" s="9" t="str">
        <f>IF($B67="","",IFERROR(_xlfn.LET(_xlpm.Site,$B67,_xlpm.ActDate,_xlfn.XLOOKUP(_xlpm.Site,tblSites[Site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67:INDEX($1:$1048576,ROW(),COLUMN()-1))),_xlpm.Remaining,MAX(0,_xlpm.MaxPts-_xlpm.PriorEnrolled),IF(OR(_xlpm.ActDate="",EOMONTH(P$5,0)&lt;_xlpm.StartDate,_xlpm.Remaining&lt;=0),0,MIN(_xlpm.MonthlyEnroll,_xlpm.Remaining))),0))</f>
        <v/>
      </c>
      <c r="Q67" s="9" t="str">
        <f>IF($B67="","",IFERROR(_xlfn.LET(_xlpm.Site,$B67,_xlpm.ActDate,_xlfn.XLOOKUP(_xlpm.Site,tblSites[Monthly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67:INDEX($1:$1048576,ROW(),COLUMN()-1))),_xlpm.Remaining,MAX(0,_xlpm.MaxPts-_xlpm.PriorEnrolled),IF(OR(_xlpm.ActDate="",EOMONTH(Q$5,0)&lt;_xlpm.StartDate,_xlpm.Remaining&lt;=0),0,MIN(_xlpm.MonthlyEnroll,_xlpm.Remaining))),0))</f>
        <v/>
      </c>
      <c r="R67" s="9" t="str">
        <f>IF($B67="","",IFERROR(_xlfn.LET(_xlpm.Site,$B67,_xlpm.ActDate,_xlfn.XLOOKUP(_xlpm.Site,tblSites[Site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67:INDEX($1:$1048576,ROW(),COLUMN()-1))),_xlpm.Remaining,MAX(0,_xlpm.MaxPts-_xlpm.PriorEnrolled),IF(OR(_xlpm.ActDate="",EOMONTH(R$5,0)&lt;_xlpm.StartDate,_xlpm.Remaining&lt;=0),0,MIN(_xlpm.MonthlyEnroll,_xlpm.Remaining))),0))</f>
        <v/>
      </c>
      <c r="S67" s="9" t="str">
        <f>IF($B67="","",IFERROR(_xlfn.LET(_xlpm.Site,$B67,_xlpm.ActDate,_xlfn.XLOOKUP(_xlpm.Site,tblSites[Max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67:INDEX($1:$1048576,ROW(),COLUMN()-1))),_xlpm.Remaining,MAX(0,_xlpm.MaxPts-_xlpm.PriorEnrolled),IF(OR(_xlpm.ActDate="",EOMONTH(S$5,0)&lt;_xlpm.StartDate,_xlpm.Remaining&lt;=0),0,MIN(_xlpm.MonthlyEnroll,_xlpm.Remaining))),0))</f>
        <v/>
      </c>
      <c r="T67" s="9" t="str">
        <f>IF($B67="","",IFERROR(_xlfn.LET(_xlpm.Site,$B67,_xlpm.ActDate,_xlfn.XLOOKUP(_xlpm.Site,tblSites[Current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67:INDEX($1:$1048576,ROW(),COLUMN()-1))),_xlpm.Remaining,MAX(0,_xlpm.MaxPts-_xlpm.PriorEnrolled),IF(OR(_xlpm.ActDate="",EOMONTH(T$5,0)&lt;_xlpm.StartDate,_xlpm.Remaining&lt;=0),0,MIN(_xlpm.MonthlyEnroll,_xlpm.Remaining))),0))</f>
        <v/>
      </c>
      <c r="U67" s="9" t="str">
        <f>IF($B67="","",IFERROR(_xlfn.LET(_xlpm.Site,$B67,_xlpm.ActDate,_xlfn.XLOOKUP(_xlpm.Site,tblSites[Include?],tblSites[Scenario?],""),_xlpm.ScreenDays,N('Study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67:INDEX($1:$1048576,ROW(),COLUMN()-1))),_xlpm.Remaining,MAX(0,_xlpm.MaxPts-_xlpm.PriorEnrolled),IF(OR(_xlpm.ActDate="",EOMONTH(U$5,0)&lt;_xlpm.StartDate,_xlpm.Remaining&lt;=0),0,MIN(_xlpm.MonthlyEnroll,_xlpm.Remaining))),0))</f>
        <v/>
      </c>
      <c r="V67" s="9" t="str">
        <f>IF($B67="","",IFERROR(_xlfn.LET(_xlpm.Site,$B67,_xlpm.ActDate,_xlfn.XLOOKUP(_xlpm.Site,tblSites[Scenario?],tblSites[Check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67:INDEX($1:$1048576,ROW(),COLUMN()-1))),_xlpm.Remaining,MAX(0,_xlpm.MaxPts-_xlpm.PriorEnrolled),IF(OR(_xlpm.ActDate="",EOMONTH(V$5,0)&lt;_xlpm.StartDate,_xlpm.Remaining&lt;=0),0,MIN(_xlpm.MonthlyEnroll,_xlpm.Remaining))),0))</f>
        <v/>
      </c>
      <c r="W67" s="9" t="str">
        <f>IF($B67="","",IFERROR(_xlfn.LET(_xlpm.Site,$B67,_xlpm.ActDate,_xlfn.XLOOKUP(_xlpm.Site,tblSites[Check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67:INDEX($1:$1048576,ROW(),COLUMN()-1))),_xlpm.Remaining,MAX(0,_xlpm.MaxPts-_xlpm.PriorEnrolled),IF(OR(_xlpm.ActDate="",EOMONTH(W$5,0)&lt;_xlpm.StartDate,_xlpm.Remaining&lt;=0),0,MIN(_xlpm.MonthlyEnroll,_xlpm.Remaining))),0))</f>
        <v/>
      </c>
      <c r="X67" s="9" t="str">
        <f>IF($B67="","",IFERROR(_xlfn.LET(_xlpm.Site,$B67,_xlpm.ActDate,_xlfn.XLOOKUP(_xlpm.Site,tblSites[Site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67:INDEX($1:$1048576,ROW(),COLUMN()-1))),_xlpm.Remaining,MAX(0,_xlpm.MaxPts-_xlpm.PriorEnrolled),IF(OR(_xlpm.ActDate="",EOMONTH(X$5,0)&lt;_xlpm.StartDate,_xlpm.Remaining&lt;=0),0,MIN(_xlpm.MonthlyEnroll,_xlpm.Remaining))),0))</f>
        <v/>
      </c>
      <c r="Y67" s="9" t="str">
        <f>IF($B67="","",IFERROR(_xlfn.LET(_xlpm.Site,$B67,_xlpm.ActDate,_xlfn.XLOOKUP(_xlpm.Site,#REF!,tblSites[Country],""),_xlpm.ScreenDays,N('Study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67:INDEX($1:$1048576,ROW(),COLUMN()-1))),_xlpm.Remaining,MAX(0,_xlpm.MaxPts-_xlpm.PriorEnrolled),IF(OR(_xlpm.ActDate="",EOMONTH(Y$5,0)&lt;_xlpm.StartDate,_xlpm.Remaining&lt;=0),0,MIN(_xlpm.MonthlyEnroll,_xlpm.Remaining))),0))</f>
        <v/>
      </c>
      <c r="Z67" s="9" t="str">
        <f>IF($B67="","",IFERROR(_xlfn.LET(_xlpm.Site,$B67,_xlpm.ActDate,_xlfn.XLOOKUP(_xlpm.Site,tblSites[Country],tblSites[Site],""),_xlpm.ScreenDays,N('Study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67:INDEX($1:$1048576,ROW(),COLUMN()-1))),_xlpm.Remaining,MAX(0,_xlpm.MaxPts-_xlpm.PriorEnrolled),IF(OR(_xlpm.ActDate="",EOMONTH(Z$5,0)&lt;_xlpm.StartDate,_xlpm.Remaining&lt;=0),0,MIN(_xlpm.MonthlyEnroll,_xlpm.Remaining))),0))</f>
        <v/>
      </c>
      <c r="AA67" s="9" t="str">
        <f>IF($B67="","",IFERROR(_xlfn.LET(_xlpm.Site,$B67,_xlpm.ActDate,_xlfn.XLOOKUP(_xlpm.Site,tblSites[Site],tblSites[Site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67:INDEX($1:$1048576,ROW(),COLUMN()-1))),_xlpm.Remaining,MAX(0,_xlpm.MaxPts-_xlpm.PriorEnrolled),IF(OR(_xlpm.ActDate="",EOMONTH(AA$5,0)&lt;_xlpm.StartDate,_xlpm.Remaining&lt;=0),0,MIN(_xlpm.MonthlyEnroll,_xlpm.Remaining))),0))</f>
        <v/>
      </c>
      <c r="AB67" s="9" t="str">
        <f>IF($B67="","",IFERROR(_xlfn.LET(_xlpm.Site,$B67,_xlpm.ActDate,_xlfn.XLOOKUP(_xlpm.Site,tblSites[Site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67:INDEX($1:$1048576,ROW(),COLUMN()-1))),_xlpm.Remaining,MAX(0,_xlpm.MaxPts-_xlpm.PriorEnrolled),IF(OR(_xlpm.ActDate="",EOMONTH(AB$5,0)&lt;_xlpm.StartDate,_xlpm.Remaining&lt;=0),0,MIN(_xlpm.MonthlyEnroll,_xlpm.Remaining))),0))</f>
        <v/>
      </c>
      <c r="AC67" s="9" t="str">
        <f>IF($B67="","",IFERROR(_xlfn.LET(_xlpm.Site,$B67,_xlpm.ActDate,_xlfn.XLOOKUP(_xlpm.Site,tblSites[Monthly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67:INDEX($1:$1048576,ROW(),COLUMN()-1))),_xlpm.Remaining,MAX(0,_xlpm.MaxPts-_xlpm.PriorEnrolled),IF(OR(_xlpm.ActDate="",EOMONTH(AC$5,0)&lt;_xlpm.StartDate,_xlpm.Remaining&lt;=0),0,MIN(_xlpm.MonthlyEnroll,_xlpm.Remaining))),0))</f>
        <v/>
      </c>
    </row>
    <row r="68" spans="3:29" x14ac:dyDescent="0.25">
      <c r="C68" s="9" cm="1">
        <f t="array" aca="1" ref="C68" ca="1">IF(C$5&lt;=TODAY(),0,IF($B68="","",IFERROR(_xlfn.LET(_xlpm.Site,$B68,_xlpm.SiteCol,INDIRECT("tblSites[Site]"),_xlpm.ActCol,INDIRECT("tblSites[Site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8" s="9" t="str">
        <f>IF($B68="","",IFERROR(_xlfn.LET(_xlpm.Site,$B68,_xlpm.ActDate,_xlfn.XLOOKUP(_xlpm.Site,tblSites[Site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68:INDEX($1:$1048576,ROW(),COLUMN()-1))),_xlpm.Remaining,MAX(0,_xlpm.MaxPts-_xlpm.PriorEnrolled),IF(OR(_xlpm.ActDate="",EOMONTH(D$5,0)&lt;_xlpm.StartDate,_xlpm.Remaining&lt;=0),0,MIN(_xlpm.MonthlyEnroll,_xlpm.Remaining))),0))</f>
        <v/>
      </c>
      <c r="E68" s="9" t="str">
        <f>IF($B68="","",IFERROR(_xlfn.LET(_xlpm.Site,$B68,_xlpm.ActDate,_xlfn.XLOOKUP(_xlpm.Site,tblSites[Monthly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68:INDEX($1:$1048576,ROW(),COLUMN()-1))),_xlpm.Remaining,MAX(0,_xlpm.MaxPts-_xlpm.PriorEnrolled),IF(OR(_xlpm.ActDate="",EOMONTH(E$5,0)&lt;_xlpm.StartDate,_xlpm.Remaining&lt;=0),0,MIN(_xlpm.MonthlyEnroll,_xlpm.Remaining))),0))</f>
        <v/>
      </c>
      <c r="F68" s="9" t="str">
        <f>IF($B68="","",IFERROR(_xlfn.LET(_xlpm.Site,$B68,_xlpm.ActDate,_xlfn.XLOOKUP(_xlpm.Site,tblSites[Site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68:INDEX($1:$1048576,ROW(),COLUMN()-1))),_xlpm.Remaining,MAX(0,_xlpm.MaxPts-_xlpm.PriorEnrolled),IF(OR(_xlpm.ActDate="",EOMONTH(F$5,0)&lt;_xlpm.StartDate,_xlpm.Remaining&lt;=0),0,MIN(_xlpm.MonthlyEnroll,_xlpm.Remaining))),0))</f>
        <v/>
      </c>
      <c r="G68" s="9" t="str">
        <f>IF($B68="","",IFERROR(_xlfn.LET(_xlpm.Site,$B68,_xlpm.ActDate,_xlfn.XLOOKUP(_xlpm.Site,tblSites[Max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68:INDEX($1:$1048576,ROW(),COLUMN()-1))),_xlpm.Remaining,MAX(0,_xlpm.MaxPts-_xlpm.PriorEnrolled),IF(OR(_xlpm.ActDate="",EOMONTH(G$5,0)&lt;_xlpm.StartDate,_xlpm.Remaining&lt;=0),0,MIN(_xlpm.MonthlyEnroll,_xlpm.Remaining))),0))</f>
        <v/>
      </c>
      <c r="H68" s="9" t="str">
        <f>IF($B68="","",IFERROR(_xlfn.LET(_xlpm.Site,$B68,_xlpm.ActDate,_xlfn.XLOOKUP(_xlpm.Site,tblSites[Current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68:INDEX($1:$1048576,ROW(),COLUMN()-1))),_xlpm.Remaining,MAX(0,_xlpm.MaxPts-_xlpm.PriorEnrolled),IF(OR(_xlpm.ActDate="",EOMONTH(H$5,0)&lt;_xlpm.StartDate,_xlpm.Remaining&lt;=0),0,MIN(_xlpm.MonthlyEnroll,_xlpm.Remaining))),0))</f>
        <v/>
      </c>
      <c r="I68" s="9" t="str">
        <f>IF($B68="","",IFERROR(_xlfn.LET(_xlpm.Site,$B68,_xlpm.ActDate,_xlfn.XLOOKUP(_xlpm.Site,tblSites[Include?],tblSites[Scenario?],""),_xlpm.ScreenDays,N('Study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68:INDEX($1:$1048576,ROW(),COLUMN()-1))),_xlpm.Remaining,MAX(0,_xlpm.MaxPts-_xlpm.PriorEnrolled),IF(OR(_xlpm.ActDate="",EOMONTH(I$5,0)&lt;_xlpm.StartDate,_xlpm.Remaining&lt;=0),0,MIN(_xlpm.MonthlyEnroll,_xlpm.Remaining))),0))</f>
        <v/>
      </c>
      <c r="J68" s="9" t="str">
        <f>IF($B68="","",IFERROR(_xlfn.LET(_xlpm.Site,$B68,_xlpm.ActDate,_xlfn.XLOOKUP(_xlpm.Site,tblSites[Scenario?],tblSites[Check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68:INDEX($1:$1048576,ROW(),COLUMN()-1))),_xlpm.Remaining,MAX(0,_xlpm.MaxPts-_xlpm.PriorEnrolled),IF(OR(_xlpm.ActDate="",EOMONTH(J$5,0)&lt;_xlpm.StartDate,_xlpm.Remaining&lt;=0),0,MIN(_xlpm.MonthlyEnroll,_xlpm.Remaining))),0))</f>
        <v/>
      </c>
      <c r="K68" s="9" t="str">
        <f>IF($B68="","",IFERROR(_xlfn.LET(_xlpm.Site,$B68,_xlpm.ActDate,_xlfn.XLOOKUP(_xlpm.Site,tblSites[Check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68:INDEX($1:$1048576,ROW(),COLUMN()-1))),_xlpm.Remaining,MAX(0,_xlpm.MaxPts-_xlpm.PriorEnrolled),IF(OR(_xlpm.ActDate="",EOMONTH(K$5,0)&lt;_xlpm.StartDate,_xlpm.Remaining&lt;=0),0,MIN(_xlpm.MonthlyEnroll,_xlpm.Remaining))),0))</f>
        <v/>
      </c>
      <c r="L68" s="9" t="str">
        <f>IF($B68="","",IFERROR(_xlfn.LET(_xlpm.Site,$B68,_xlpm.ActDate,_xlfn.XLOOKUP(_xlpm.Site,tblSites[Site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68:INDEX($1:$1048576,ROW(),COLUMN()-1))),_xlpm.Remaining,MAX(0,_xlpm.MaxPts-_xlpm.PriorEnrolled),IF(OR(_xlpm.ActDate="",EOMONTH(L$5,0)&lt;_xlpm.StartDate,_xlpm.Remaining&lt;=0),0,MIN(_xlpm.MonthlyEnroll,_xlpm.Remaining))),0))</f>
        <v/>
      </c>
      <c r="M68" s="9" t="str">
        <f>IF($B68="","",IFERROR(_xlfn.LET(_xlpm.Site,$B68,_xlpm.ActDate,_xlfn.XLOOKUP(_xlpm.Site,#REF!,tblSites[Country],""),_xlpm.ScreenDays,N('Study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68:INDEX($1:$1048576,ROW(),COLUMN()-1))),_xlpm.Remaining,MAX(0,_xlpm.MaxPts-_xlpm.PriorEnrolled),IF(OR(_xlpm.ActDate="",EOMONTH(M$5,0)&lt;_xlpm.StartDate,_xlpm.Remaining&lt;=0),0,MIN(_xlpm.MonthlyEnroll,_xlpm.Remaining))),0))</f>
        <v/>
      </c>
      <c r="N68" s="9" t="str">
        <f>IF($B68="","",IFERROR(_xlfn.LET(_xlpm.Site,$B68,_xlpm.ActDate,_xlfn.XLOOKUP(_xlpm.Site,tblSites[Country],tblSites[Site],""),_xlpm.ScreenDays,N('Study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68:INDEX($1:$1048576,ROW(),COLUMN()-1))),_xlpm.Remaining,MAX(0,_xlpm.MaxPts-_xlpm.PriorEnrolled),IF(OR(_xlpm.ActDate="",EOMONTH(N$5,0)&lt;_xlpm.StartDate,_xlpm.Remaining&lt;=0),0,MIN(_xlpm.MonthlyEnroll,_xlpm.Remaining))),0))</f>
        <v/>
      </c>
      <c r="O68" s="9" t="str">
        <f>IF($B68="","",IFERROR(_xlfn.LET(_xlpm.Site,$B68,_xlpm.ActDate,_xlfn.XLOOKUP(_xlpm.Site,tblSites[Site],tblSites[Site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68:INDEX($1:$1048576,ROW(),COLUMN()-1))),_xlpm.Remaining,MAX(0,_xlpm.MaxPts-_xlpm.PriorEnrolled),IF(OR(_xlpm.ActDate="",EOMONTH(O$5,0)&lt;_xlpm.StartDate,_xlpm.Remaining&lt;=0),0,MIN(_xlpm.MonthlyEnroll,_xlpm.Remaining))),0))</f>
        <v/>
      </c>
      <c r="P68" s="9" t="str">
        <f>IF($B68="","",IFERROR(_xlfn.LET(_xlpm.Site,$B68,_xlpm.ActDate,_xlfn.XLOOKUP(_xlpm.Site,tblSites[Site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68:INDEX($1:$1048576,ROW(),COLUMN()-1))),_xlpm.Remaining,MAX(0,_xlpm.MaxPts-_xlpm.PriorEnrolled),IF(OR(_xlpm.ActDate="",EOMONTH(P$5,0)&lt;_xlpm.StartDate,_xlpm.Remaining&lt;=0),0,MIN(_xlpm.MonthlyEnroll,_xlpm.Remaining))),0))</f>
        <v/>
      </c>
      <c r="Q68" s="9" t="str">
        <f>IF($B68="","",IFERROR(_xlfn.LET(_xlpm.Site,$B68,_xlpm.ActDate,_xlfn.XLOOKUP(_xlpm.Site,tblSites[Monthly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68:INDEX($1:$1048576,ROW(),COLUMN()-1))),_xlpm.Remaining,MAX(0,_xlpm.MaxPts-_xlpm.PriorEnrolled),IF(OR(_xlpm.ActDate="",EOMONTH(Q$5,0)&lt;_xlpm.StartDate,_xlpm.Remaining&lt;=0),0,MIN(_xlpm.MonthlyEnroll,_xlpm.Remaining))),0))</f>
        <v/>
      </c>
      <c r="R68" s="9" t="str">
        <f>IF($B68="","",IFERROR(_xlfn.LET(_xlpm.Site,$B68,_xlpm.ActDate,_xlfn.XLOOKUP(_xlpm.Site,tblSites[Site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68:INDEX($1:$1048576,ROW(),COLUMN()-1))),_xlpm.Remaining,MAX(0,_xlpm.MaxPts-_xlpm.PriorEnrolled),IF(OR(_xlpm.ActDate="",EOMONTH(R$5,0)&lt;_xlpm.StartDate,_xlpm.Remaining&lt;=0),0,MIN(_xlpm.MonthlyEnroll,_xlpm.Remaining))),0))</f>
        <v/>
      </c>
      <c r="S68" s="9" t="str">
        <f>IF($B68="","",IFERROR(_xlfn.LET(_xlpm.Site,$B68,_xlpm.ActDate,_xlfn.XLOOKUP(_xlpm.Site,tblSites[Max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68:INDEX($1:$1048576,ROW(),COLUMN()-1))),_xlpm.Remaining,MAX(0,_xlpm.MaxPts-_xlpm.PriorEnrolled),IF(OR(_xlpm.ActDate="",EOMONTH(S$5,0)&lt;_xlpm.StartDate,_xlpm.Remaining&lt;=0),0,MIN(_xlpm.MonthlyEnroll,_xlpm.Remaining))),0))</f>
        <v/>
      </c>
      <c r="T68" s="9" t="str">
        <f>IF($B68="","",IFERROR(_xlfn.LET(_xlpm.Site,$B68,_xlpm.ActDate,_xlfn.XLOOKUP(_xlpm.Site,tblSites[Current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68:INDEX($1:$1048576,ROW(),COLUMN()-1))),_xlpm.Remaining,MAX(0,_xlpm.MaxPts-_xlpm.PriorEnrolled),IF(OR(_xlpm.ActDate="",EOMONTH(T$5,0)&lt;_xlpm.StartDate,_xlpm.Remaining&lt;=0),0,MIN(_xlpm.MonthlyEnroll,_xlpm.Remaining))),0))</f>
        <v/>
      </c>
      <c r="U68" s="9" t="str">
        <f>IF($B68="","",IFERROR(_xlfn.LET(_xlpm.Site,$B68,_xlpm.ActDate,_xlfn.XLOOKUP(_xlpm.Site,tblSites[Include?],tblSites[Scenario?],""),_xlpm.ScreenDays,N('Study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68:INDEX($1:$1048576,ROW(),COLUMN()-1))),_xlpm.Remaining,MAX(0,_xlpm.MaxPts-_xlpm.PriorEnrolled),IF(OR(_xlpm.ActDate="",EOMONTH(U$5,0)&lt;_xlpm.StartDate,_xlpm.Remaining&lt;=0),0,MIN(_xlpm.MonthlyEnroll,_xlpm.Remaining))),0))</f>
        <v/>
      </c>
      <c r="V68" s="9" t="str">
        <f>IF($B68="","",IFERROR(_xlfn.LET(_xlpm.Site,$B68,_xlpm.ActDate,_xlfn.XLOOKUP(_xlpm.Site,tblSites[Scenario?],tblSites[Check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68:INDEX($1:$1048576,ROW(),COLUMN()-1))),_xlpm.Remaining,MAX(0,_xlpm.MaxPts-_xlpm.PriorEnrolled),IF(OR(_xlpm.ActDate="",EOMONTH(V$5,0)&lt;_xlpm.StartDate,_xlpm.Remaining&lt;=0),0,MIN(_xlpm.MonthlyEnroll,_xlpm.Remaining))),0))</f>
        <v/>
      </c>
      <c r="W68" s="9" t="str">
        <f>IF($B68="","",IFERROR(_xlfn.LET(_xlpm.Site,$B68,_xlpm.ActDate,_xlfn.XLOOKUP(_xlpm.Site,tblSites[Check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68:INDEX($1:$1048576,ROW(),COLUMN()-1))),_xlpm.Remaining,MAX(0,_xlpm.MaxPts-_xlpm.PriorEnrolled),IF(OR(_xlpm.ActDate="",EOMONTH(W$5,0)&lt;_xlpm.StartDate,_xlpm.Remaining&lt;=0),0,MIN(_xlpm.MonthlyEnroll,_xlpm.Remaining))),0))</f>
        <v/>
      </c>
      <c r="X68" s="9" t="str">
        <f>IF($B68="","",IFERROR(_xlfn.LET(_xlpm.Site,$B68,_xlpm.ActDate,_xlfn.XLOOKUP(_xlpm.Site,tblSites[Site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68:INDEX($1:$1048576,ROW(),COLUMN()-1))),_xlpm.Remaining,MAX(0,_xlpm.MaxPts-_xlpm.PriorEnrolled),IF(OR(_xlpm.ActDate="",EOMONTH(X$5,0)&lt;_xlpm.StartDate,_xlpm.Remaining&lt;=0),0,MIN(_xlpm.MonthlyEnroll,_xlpm.Remaining))),0))</f>
        <v/>
      </c>
      <c r="Y68" s="9" t="str">
        <f>IF($B68="","",IFERROR(_xlfn.LET(_xlpm.Site,$B68,_xlpm.ActDate,_xlfn.XLOOKUP(_xlpm.Site,#REF!,tblSites[Country],""),_xlpm.ScreenDays,N('Study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68:INDEX($1:$1048576,ROW(),COLUMN()-1))),_xlpm.Remaining,MAX(0,_xlpm.MaxPts-_xlpm.PriorEnrolled),IF(OR(_xlpm.ActDate="",EOMONTH(Y$5,0)&lt;_xlpm.StartDate,_xlpm.Remaining&lt;=0),0,MIN(_xlpm.MonthlyEnroll,_xlpm.Remaining))),0))</f>
        <v/>
      </c>
      <c r="Z68" s="9" t="str">
        <f>IF($B68="","",IFERROR(_xlfn.LET(_xlpm.Site,$B68,_xlpm.ActDate,_xlfn.XLOOKUP(_xlpm.Site,tblSites[Country],tblSites[Site],""),_xlpm.ScreenDays,N('Study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68:INDEX($1:$1048576,ROW(),COLUMN()-1))),_xlpm.Remaining,MAX(0,_xlpm.MaxPts-_xlpm.PriorEnrolled),IF(OR(_xlpm.ActDate="",EOMONTH(Z$5,0)&lt;_xlpm.StartDate,_xlpm.Remaining&lt;=0),0,MIN(_xlpm.MonthlyEnroll,_xlpm.Remaining))),0))</f>
        <v/>
      </c>
      <c r="AA68" s="9" t="str">
        <f>IF($B68="","",IFERROR(_xlfn.LET(_xlpm.Site,$B68,_xlpm.ActDate,_xlfn.XLOOKUP(_xlpm.Site,tblSites[Site],tblSites[Site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68:INDEX($1:$1048576,ROW(),COLUMN()-1))),_xlpm.Remaining,MAX(0,_xlpm.MaxPts-_xlpm.PriorEnrolled),IF(OR(_xlpm.ActDate="",EOMONTH(AA$5,0)&lt;_xlpm.StartDate,_xlpm.Remaining&lt;=0),0,MIN(_xlpm.MonthlyEnroll,_xlpm.Remaining))),0))</f>
        <v/>
      </c>
      <c r="AB68" s="9" t="str">
        <f>IF($B68="","",IFERROR(_xlfn.LET(_xlpm.Site,$B68,_xlpm.ActDate,_xlfn.XLOOKUP(_xlpm.Site,tblSites[Site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68:INDEX($1:$1048576,ROW(),COLUMN()-1))),_xlpm.Remaining,MAX(0,_xlpm.MaxPts-_xlpm.PriorEnrolled),IF(OR(_xlpm.ActDate="",EOMONTH(AB$5,0)&lt;_xlpm.StartDate,_xlpm.Remaining&lt;=0),0,MIN(_xlpm.MonthlyEnroll,_xlpm.Remaining))),0))</f>
        <v/>
      </c>
      <c r="AC68" s="9" t="str">
        <f>IF($B68="","",IFERROR(_xlfn.LET(_xlpm.Site,$B68,_xlpm.ActDate,_xlfn.XLOOKUP(_xlpm.Site,tblSites[Monthly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68:INDEX($1:$1048576,ROW(),COLUMN()-1))),_xlpm.Remaining,MAX(0,_xlpm.MaxPts-_xlpm.PriorEnrolled),IF(OR(_xlpm.ActDate="",EOMONTH(AC$5,0)&lt;_xlpm.StartDate,_xlpm.Remaining&lt;=0),0,MIN(_xlpm.MonthlyEnroll,_xlpm.Remaining))),0))</f>
        <v/>
      </c>
    </row>
    <row r="69" spans="3:29" x14ac:dyDescent="0.25">
      <c r="C69" s="9" cm="1">
        <f t="array" aca="1" ref="C69" ca="1">IF(C$5&lt;=TODAY(),0,IF($B69="","",IFERROR(_xlfn.LET(_xlpm.Site,$B69,_xlpm.SiteCol,INDIRECT("tblSites[Site]"),_xlpm.ActCol,INDIRECT("tblSites[Site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69" s="9" t="str">
        <f>IF($B69="","",IFERROR(_xlfn.LET(_xlpm.Site,$B69,_xlpm.ActDate,_xlfn.XLOOKUP(_xlpm.Site,tblSites[Site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69:INDEX($1:$1048576,ROW(),COLUMN()-1))),_xlpm.Remaining,MAX(0,_xlpm.MaxPts-_xlpm.PriorEnrolled),IF(OR(_xlpm.ActDate="",EOMONTH(D$5,0)&lt;_xlpm.StartDate,_xlpm.Remaining&lt;=0),0,MIN(_xlpm.MonthlyEnroll,_xlpm.Remaining))),0))</f>
        <v/>
      </c>
      <c r="E69" s="9" t="str">
        <f>IF($B69="","",IFERROR(_xlfn.LET(_xlpm.Site,$B69,_xlpm.ActDate,_xlfn.XLOOKUP(_xlpm.Site,tblSites[Monthly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69:INDEX($1:$1048576,ROW(),COLUMN()-1))),_xlpm.Remaining,MAX(0,_xlpm.MaxPts-_xlpm.PriorEnrolled),IF(OR(_xlpm.ActDate="",EOMONTH(E$5,0)&lt;_xlpm.StartDate,_xlpm.Remaining&lt;=0),0,MIN(_xlpm.MonthlyEnroll,_xlpm.Remaining))),0))</f>
        <v/>
      </c>
      <c r="F69" s="9" t="str">
        <f>IF($B69="","",IFERROR(_xlfn.LET(_xlpm.Site,$B69,_xlpm.ActDate,_xlfn.XLOOKUP(_xlpm.Site,tblSites[Site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69:INDEX($1:$1048576,ROW(),COLUMN()-1))),_xlpm.Remaining,MAX(0,_xlpm.MaxPts-_xlpm.PriorEnrolled),IF(OR(_xlpm.ActDate="",EOMONTH(F$5,0)&lt;_xlpm.StartDate,_xlpm.Remaining&lt;=0),0,MIN(_xlpm.MonthlyEnroll,_xlpm.Remaining))),0))</f>
        <v/>
      </c>
      <c r="G69" s="9" t="str">
        <f>IF($B69="","",IFERROR(_xlfn.LET(_xlpm.Site,$B69,_xlpm.ActDate,_xlfn.XLOOKUP(_xlpm.Site,tblSites[Max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69:INDEX($1:$1048576,ROW(),COLUMN()-1))),_xlpm.Remaining,MAX(0,_xlpm.MaxPts-_xlpm.PriorEnrolled),IF(OR(_xlpm.ActDate="",EOMONTH(G$5,0)&lt;_xlpm.StartDate,_xlpm.Remaining&lt;=0),0,MIN(_xlpm.MonthlyEnroll,_xlpm.Remaining))),0))</f>
        <v/>
      </c>
      <c r="H69" s="9" t="str">
        <f>IF($B69="","",IFERROR(_xlfn.LET(_xlpm.Site,$B69,_xlpm.ActDate,_xlfn.XLOOKUP(_xlpm.Site,tblSites[Current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69:INDEX($1:$1048576,ROW(),COLUMN()-1))),_xlpm.Remaining,MAX(0,_xlpm.MaxPts-_xlpm.PriorEnrolled),IF(OR(_xlpm.ActDate="",EOMONTH(H$5,0)&lt;_xlpm.StartDate,_xlpm.Remaining&lt;=0),0,MIN(_xlpm.MonthlyEnroll,_xlpm.Remaining))),0))</f>
        <v/>
      </c>
      <c r="I69" s="9" t="str">
        <f>IF($B69="","",IFERROR(_xlfn.LET(_xlpm.Site,$B69,_xlpm.ActDate,_xlfn.XLOOKUP(_xlpm.Site,tblSites[Include?],tblSites[Scenario?],""),_xlpm.ScreenDays,N('Study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69:INDEX($1:$1048576,ROW(),COLUMN()-1))),_xlpm.Remaining,MAX(0,_xlpm.MaxPts-_xlpm.PriorEnrolled),IF(OR(_xlpm.ActDate="",EOMONTH(I$5,0)&lt;_xlpm.StartDate,_xlpm.Remaining&lt;=0),0,MIN(_xlpm.MonthlyEnroll,_xlpm.Remaining))),0))</f>
        <v/>
      </c>
      <c r="J69" s="9" t="str">
        <f>IF($B69="","",IFERROR(_xlfn.LET(_xlpm.Site,$B69,_xlpm.ActDate,_xlfn.XLOOKUP(_xlpm.Site,tblSites[Scenario?],tblSites[Check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69:INDEX($1:$1048576,ROW(),COLUMN()-1))),_xlpm.Remaining,MAX(0,_xlpm.MaxPts-_xlpm.PriorEnrolled),IF(OR(_xlpm.ActDate="",EOMONTH(J$5,0)&lt;_xlpm.StartDate,_xlpm.Remaining&lt;=0),0,MIN(_xlpm.MonthlyEnroll,_xlpm.Remaining))),0))</f>
        <v/>
      </c>
      <c r="K69" s="9" t="str">
        <f>IF($B69="","",IFERROR(_xlfn.LET(_xlpm.Site,$B69,_xlpm.ActDate,_xlfn.XLOOKUP(_xlpm.Site,tblSites[Check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69:INDEX($1:$1048576,ROW(),COLUMN()-1))),_xlpm.Remaining,MAX(0,_xlpm.MaxPts-_xlpm.PriorEnrolled),IF(OR(_xlpm.ActDate="",EOMONTH(K$5,0)&lt;_xlpm.StartDate,_xlpm.Remaining&lt;=0),0,MIN(_xlpm.MonthlyEnroll,_xlpm.Remaining))),0))</f>
        <v/>
      </c>
      <c r="L69" s="9" t="str">
        <f>IF($B69="","",IFERROR(_xlfn.LET(_xlpm.Site,$B69,_xlpm.ActDate,_xlfn.XLOOKUP(_xlpm.Site,tblSites[Site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69:INDEX($1:$1048576,ROW(),COLUMN()-1))),_xlpm.Remaining,MAX(0,_xlpm.MaxPts-_xlpm.PriorEnrolled),IF(OR(_xlpm.ActDate="",EOMONTH(L$5,0)&lt;_xlpm.StartDate,_xlpm.Remaining&lt;=0),0,MIN(_xlpm.MonthlyEnroll,_xlpm.Remaining))),0))</f>
        <v/>
      </c>
      <c r="M69" s="9" t="str">
        <f>IF($B69="","",IFERROR(_xlfn.LET(_xlpm.Site,$B69,_xlpm.ActDate,_xlfn.XLOOKUP(_xlpm.Site,#REF!,tblSites[Country],""),_xlpm.ScreenDays,N('Study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69:INDEX($1:$1048576,ROW(),COLUMN()-1))),_xlpm.Remaining,MAX(0,_xlpm.MaxPts-_xlpm.PriorEnrolled),IF(OR(_xlpm.ActDate="",EOMONTH(M$5,0)&lt;_xlpm.StartDate,_xlpm.Remaining&lt;=0),0,MIN(_xlpm.MonthlyEnroll,_xlpm.Remaining))),0))</f>
        <v/>
      </c>
      <c r="N69" s="9" t="str">
        <f>IF($B69="","",IFERROR(_xlfn.LET(_xlpm.Site,$B69,_xlpm.ActDate,_xlfn.XLOOKUP(_xlpm.Site,tblSites[Country],tblSites[Site],""),_xlpm.ScreenDays,N('Study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69:INDEX($1:$1048576,ROW(),COLUMN()-1))),_xlpm.Remaining,MAX(0,_xlpm.MaxPts-_xlpm.PriorEnrolled),IF(OR(_xlpm.ActDate="",EOMONTH(N$5,0)&lt;_xlpm.StartDate,_xlpm.Remaining&lt;=0),0,MIN(_xlpm.MonthlyEnroll,_xlpm.Remaining))),0))</f>
        <v/>
      </c>
      <c r="O69" s="9" t="str">
        <f>IF($B69="","",IFERROR(_xlfn.LET(_xlpm.Site,$B69,_xlpm.ActDate,_xlfn.XLOOKUP(_xlpm.Site,tblSites[Site],tblSites[Site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69:INDEX($1:$1048576,ROW(),COLUMN()-1))),_xlpm.Remaining,MAX(0,_xlpm.MaxPts-_xlpm.PriorEnrolled),IF(OR(_xlpm.ActDate="",EOMONTH(O$5,0)&lt;_xlpm.StartDate,_xlpm.Remaining&lt;=0),0,MIN(_xlpm.MonthlyEnroll,_xlpm.Remaining))),0))</f>
        <v/>
      </c>
      <c r="P69" s="9" t="str">
        <f>IF($B69="","",IFERROR(_xlfn.LET(_xlpm.Site,$B69,_xlpm.ActDate,_xlfn.XLOOKUP(_xlpm.Site,tblSites[Site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69:INDEX($1:$1048576,ROW(),COLUMN()-1))),_xlpm.Remaining,MAX(0,_xlpm.MaxPts-_xlpm.PriorEnrolled),IF(OR(_xlpm.ActDate="",EOMONTH(P$5,0)&lt;_xlpm.StartDate,_xlpm.Remaining&lt;=0),0,MIN(_xlpm.MonthlyEnroll,_xlpm.Remaining))),0))</f>
        <v/>
      </c>
      <c r="Q69" s="9" t="str">
        <f>IF($B69="","",IFERROR(_xlfn.LET(_xlpm.Site,$B69,_xlpm.ActDate,_xlfn.XLOOKUP(_xlpm.Site,tblSites[Monthly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69:INDEX($1:$1048576,ROW(),COLUMN()-1))),_xlpm.Remaining,MAX(0,_xlpm.MaxPts-_xlpm.PriorEnrolled),IF(OR(_xlpm.ActDate="",EOMONTH(Q$5,0)&lt;_xlpm.StartDate,_xlpm.Remaining&lt;=0),0,MIN(_xlpm.MonthlyEnroll,_xlpm.Remaining))),0))</f>
        <v/>
      </c>
      <c r="R69" s="9" t="str">
        <f>IF($B69="","",IFERROR(_xlfn.LET(_xlpm.Site,$B69,_xlpm.ActDate,_xlfn.XLOOKUP(_xlpm.Site,tblSites[Site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69:INDEX($1:$1048576,ROW(),COLUMN()-1))),_xlpm.Remaining,MAX(0,_xlpm.MaxPts-_xlpm.PriorEnrolled),IF(OR(_xlpm.ActDate="",EOMONTH(R$5,0)&lt;_xlpm.StartDate,_xlpm.Remaining&lt;=0),0,MIN(_xlpm.MonthlyEnroll,_xlpm.Remaining))),0))</f>
        <v/>
      </c>
      <c r="S69" s="9" t="str">
        <f>IF($B69="","",IFERROR(_xlfn.LET(_xlpm.Site,$B69,_xlpm.ActDate,_xlfn.XLOOKUP(_xlpm.Site,tblSites[Max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69:INDEX($1:$1048576,ROW(),COLUMN()-1))),_xlpm.Remaining,MAX(0,_xlpm.MaxPts-_xlpm.PriorEnrolled),IF(OR(_xlpm.ActDate="",EOMONTH(S$5,0)&lt;_xlpm.StartDate,_xlpm.Remaining&lt;=0),0,MIN(_xlpm.MonthlyEnroll,_xlpm.Remaining))),0))</f>
        <v/>
      </c>
      <c r="T69" s="9" t="str">
        <f>IF($B69="","",IFERROR(_xlfn.LET(_xlpm.Site,$B69,_xlpm.ActDate,_xlfn.XLOOKUP(_xlpm.Site,tblSites[Current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69:INDEX($1:$1048576,ROW(),COLUMN()-1))),_xlpm.Remaining,MAX(0,_xlpm.MaxPts-_xlpm.PriorEnrolled),IF(OR(_xlpm.ActDate="",EOMONTH(T$5,0)&lt;_xlpm.StartDate,_xlpm.Remaining&lt;=0),0,MIN(_xlpm.MonthlyEnroll,_xlpm.Remaining))),0))</f>
        <v/>
      </c>
      <c r="U69" s="9" t="str">
        <f>IF($B69="","",IFERROR(_xlfn.LET(_xlpm.Site,$B69,_xlpm.ActDate,_xlfn.XLOOKUP(_xlpm.Site,tblSites[Include?],tblSites[Scenario?],""),_xlpm.ScreenDays,N('Study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69:INDEX($1:$1048576,ROW(),COLUMN()-1))),_xlpm.Remaining,MAX(0,_xlpm.MaxPts-_xlpm.PriorEnrolled),IF(OR(_xlpm.ActDate="",EOMONTH(U$5,0)&lt;_xlpm.StartDate,_xlpm.Remaining&lt;=0),0,MIN(_xlpm.MonthlyEnroll,_xlpm.Remaining))),0))</f>
        <v/>
      </c>
      <c r="V69" s="9" t="str">
        <f>IF($B69="","",IFERROR(_xlfn.LET(_xlpm.Site,$B69,_xlpm.ActDate,_xlfn.XLOOKUP(_xlpm.Site,tblSites[Scenario?],tblSites[Check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69:INDEX($1:$1048576,ROW(),COLUMN()-1))),_xlpm.Remaining,MAX(0,_xlpm.MaxPts-_xlpm.PriorEnrolled),IF(OR(_xlpm.ActDate="",EOMONTH(V$5,0)&lt;_xlpm.StartDate,_xlpm.Remaining&lt;=0),0,MIN(_xlpm.MonthlyEnroll,_xlpm.Remaining))),0))</f>
        <v/>
      </c>
      <c r="W69" s="9" t="str">
        <f>IF($B69="","",IFERROR(_xlfn.LET(_xlpm.Site,$B69,_xlpm.ActDate,_xlfn.XLOOKUP(_xlpm.Site,tblSites[Check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69:INDEX($1:$1048576,ROW(),COLUMN()-1))),_xlpm.Remaining,MAX(0,_xlpm.MaxPts-_xlpm.PriorEnrolled),IF(OR(_xlpm.ActDate="",EOMONTH(W$5,0)&lt;_xlpm.StartDate,_xlpm.Remaining&lt;=0),0,MIN(_xlpm.MonthlyEnroll,_xlpm.Remaining))),0))</f>
        <v/>
      </c>
      <c r="X69" s="9" t="str">
        <f>IF($B69="","",IFERROR(_xlfn.LET(_xlpm.Site,$B69,_xlpm.ActDate,_xlfn.XLOOKUP(_xlpm.Site,tblSites[Site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69:INDEX($1:$1048576,ROW(),COLUMN()-1))),_xlpm.Remaining,MAX(0,_xlpm.MaxPts-_xlpm.PriorEnrolled),IF(OR(_xlpm.ActDate="",EOMONTH(X$5,0)&lt;_xlpm.StartDate,_xlpm.Remaining&lt;=0),0,MIN(_xlpm.MonthlyEnroll,_xlpm.Remaining))),0))</f>
        <v/>
      </c>
      <c r="Y69" s="9" t="str">
        <f>IF($B69="","",IFERROR(_xlfn.LET(_xlpm.Site,$B69,_xlpm.ActDate,_xlfn.XLOOKUP(_xlpm.Site,#REF!,tblSites[Country],""),_xlpm.ScreenDays,N('Study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69:INDEX($1:$1048576,ROW(),COLUMN()-1))),_xlpm.Remaining,MAX(0,_xlpm.MaxPts-_xlpm.PriorEnrolled),IF(OR(_xlpm.ActDate="",EOMONTH(Y$5,0)&lt;_xlpm.StartDate,_xlpm.Remaining&lt;=0),0,MIN(_xlpm.MonthlyEnroll,_xlpm.Remaining))),0))</f>
        <v/>
      </c>
      <c r="Z69" s="9" t="str">
        <f>IF($B69="","",IFERROR(_xlfn.LET(_xlpm.Site,$B69,_xlpm.ActDate,_xlfn.XLOOKUP(_xlpm.Site,tblSites[Country],tblSites[Site],""),_xlpm.ScreenDays,N('Study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69:INDEX($1:$1048576,ROW(),COLUMN()-1))),_xlpm.Remaining,MAX(0,_xlpm.MaxPts-_xlpm.PriorEnrolled),IF(OR(_xlpm.ActDate="",EOMONTH(Z$5,0)&lt;_xlpm.StartDate,_xlpm.Remaining&lt;=0),0,MIN(_xlpm.MonthlyEnroll,_xlpm.Remaining))),0))</f>
        <v/>
      </c>
      <c r="AA69" s="9" t="str">
        <f>IF($B69="","",IFERROR(_xlfn.LET(_xlpm.Site,$B69,_xlpm.ActDate,_xlfn.XLOOKUP(_xlpm.Site,tblSites[Site],tblSites[Site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69:INDEX($1:$1048576,ROW(),COLUMN()-1))),_xlpm.Remaining,MAX(0,_xlpm.MaxPts-_xlpm.PriorEnrolled),IF(OR(_xlpm.ActDate="",EOMONTH(AA$5,0)&lt;_xlpm.StartDate,_xlpm.Remaining&lt;=0),0,MIN(_xlpm.MonthlyEnroll,_xlpm.Remaining))),0))</f>
        <v/>
      </c>
      <c r="AB69" s="9" t="str">
        <f>IF($B69="","",IFERROR(_xlfn.LET(_xlpm.Site,$B69,_xlpm.ActDate,_xlfn.XLOOKUP(_xlpm.Site,tblSites[Site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69:INDEX($1:$1048576,ROW(),COLUMN()-1))),_xlpm.Remaining,MAX(0,_xlpm.MaxPts-_xlpm.PriorEnrolled),IF(OR(_xlpm.ActDate="",EOMONTH(AB$5,0)&lt;_xlpm.StartDate,_xlpm.Remaining&lt;=0),0,MIN(_xlpm.MonthlyEnroll,_xlpm.Remaining))),0))</f>
        <v/>
      </c>
      <c r="AC69" s="9" t="str">
        <f>IF($B69="","",IFERROR(_xlfn.LET(_xlpm.Site,$B69,_xlpm.ActDate,_xlfn.XLOOKUP(_xlpm.Site,tblSites[Monthly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69:INDEX($1:$1048576,ROW(),COLUMN()-1))),_xlpm.Remaining,MAX(0,_xlpm.MaxPts-_xlpm.PriorEnrolled),IF(OR(_xlpm.ActDate="",EOMONTH(AC$5,0)&lt;_xlpm.StartDate,_xlpm.Remaining&lt;=0),0,MIN(_xlpm.MonthlyEnroll,_xlpm.Remaining))),0))</f>
        <v/>
      </c>
    </row>
    <row r="70" spans="3:29" x14ac:dyDescent="0.25">
      <c r="C70" s="9" cm="1">
        <f t="array" aca="1" ref="C70" ca="1">IF(C$5&lt;=TODAY(),0,IF($B70="","",IFERROR(_xlfn.LET(_xlpm.Site,$B70,_xlpm.SiteCol,INDIRECT("tblSites[Site]"),_xlpm.ActCol,INDIRECT("tblSites[Site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0" s="9" t="str">
        <f>IF($B70="","",IFERROR(_xlfn.LET(_xlpm.Site,$B70,_xlpm.ActDate,_xlfn.XLOOKUP(_xlpm.Site,tblSites[Site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70:INDEX($1:$1048576,ROW(),COLUMN()-1))),_xlpm.Remaining,MAX(0,_xlpm.MaxPts-_xlpm.PriorEnrolled),IF(OR(_xlpm.ActDate="",EOMONTH(D$5,0)&lt;_xlpm.StartDate,_xlpm.Remaining&lt;=0),0,MIN(_xlpm.MonthlyEnroll,_xlpm.Remaining))),0))</f>
        <v/>
      </c>
      <c r="E70" s="9" t="str">
        <f>IF($B70="","",IFERROR(_xlfn.LET(_xlpm.Site,$B70,_xlpm.ActDate,_xlfn.XLOOKUP(_xlpm.Site,tblSites[Monthly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70:INDEX($1:$1048576,ROW(),COLUMN()-1))),_xlpm.Remaining,MAX(0,_xlpm.MaxPts-_xlpm.PriorEnrolled),IF(OR(_xlpm.ActDate="",EOMONTH(E$5,0)&lt;_xlpm.StartDate,_xlpm.Remaining&lt;=0),0,MIN(_xlpm.MonthlyEnroll,_xlpm.Remaining))),0))</f>
        <v/>
      </c>
      <c r="F70" s="9" t="str">
        <f>IF($B70="","",IFERROR(_xlfn.LET(_xlpm.Site,$B70,_xlpm.ActDate,_xlfn.XLOOKUP(_xlpm.Site,tblSites[Site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70:INDEX($1:$1048576,ROW(),COLUMN()-1))),_xlpm.Remaining,MAX(0,_xlpm.MaxPts-_xlpm.PriorEnrolled),IF(OR(_xlpm.ActDate="",EOMONTH(F$5,0)&lt;_xlpm.StartDate,_xlpm.Remaining&lt;=0),0,MIN(_xlpm.MonthlyEnroll,_xlpm.Remaining))),0))</f>
        <v/>
      </c>
      <c r="G70" s="9" t="str">
        <f>IF($B70="","",IFERROR(_xlfn.LET(_xlpm.Site,$B70,_xlpm.ActDate,_xlfn.XLOOKUP(_xlpm.Site,tblSites[Max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70:INDEX($1:$1048576,ROW(),COLUMN()-1))),_xlpm.Remaining,MAX(0,_xlpm.MaxPts-_xlpm.PriorEnrolled),IF(OR(_xlpm.ActDate="",EOMONTH(G$5,0)&lt;_xlpm.StartDate,_xlpm.Remaining&lt;=0),0,MIN(_xlpm.MonthlyEnroll,_xlpm.Remaining))),0))</f>
        <v/>
      </c>
      <c r="H70" s="9" t="str">
        <f>IF($B70="","",IFERROR(_xlfn.LET(_xlpm.Site,$B70,_xlpm.ActDate,_xlfn.XLOOKUP(_xlpm.Site,tblSites[Current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70:INDEX($1:$1048576,ROW(),COLUMN()-1))),_xlpm.Remaining,MAX(0,_xlpm.MaxPts-_xlpm.PriorEnrolled),IF(OR(_xlpm.ActDate="",EOMONTH(H$5,0)&lt;_xlpm.StartDate,_xlpm.Remaining&lt;=0),0,MIN(_xlpm.MonthlyEnroll,_xlpm.Remaining))),0))</f>
        <v/>
      </c>
      <c r="I70" s="9" t="str">
        <f>IF($B70="","",IFERROR(_xlfn.LET(_xlpm.Site,$B70,_xlpm.ActDate,_xlfn.XLOOKUP(_xlpm.Site,tblSites[Include?],tblSites[Scenario?],""),_xlpm.ScreenDays,N('Study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70:INDEX($1:$1048576,ROW(),COLUMN()-1))),_xlpm.Remaining,MAX(0,_xlpm.MaxPts-_xlpm.PriorEnrolled),IF(OR(_xlpm.ActDate="",EOMONTH(I$5,0)&lt;_xlpm.StartDate,_xlpm.Remaining&lt;=0),0,MIN(_xlpm.MonthlyEnroll,_xlpm.Remaining))),0))</f>
        <v/>
      </c>
      <c r="J70" s="9" t="str">
        <f>IF($B70="","",IFERROR(_xlfn.LET(_xlpm.Site,$B70,_xlpm.ActDate,_xlfn.XLOOKUP(_xlpm.Site,tblSites[Scenario?],tblSites[Check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70:INDEX($1:$1048576,ROW(),COLUMN()-1))),_xlpm.Remaining,MAX(0,_xlpm.MaxPts-_xlpm.PriorEnrolled),IF(OR(_xlpm.ActDate="",EOMONTH(J$5,0)&lt;_xlpm.StartDate,_xlpm.Remaining&lt;=0),0,MIN(_xlpm.MonthlyEnroll,_xlpm.Remaining))),0))</f>
        <v/>
      </c>
      <c r="K70" s="9" t="str">
        <f>IF($B70="","",IFERROR(_xlfn.LET(_xlpm.Site,$B70,_xlpm.ActDate,_xlfn.XLOOKUP(_xlpm.Site,tblSites[Check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70:INDEX($1:$1048576,ROW(),COLUMN()-1))),_xlpm.Remaining,MAX(0,_xlpm.MaxPts-_xlpm.PriorEnrolled),IF(OR(_xlpm.ActDate="",EOMONTH(K$5,0)&lt;_xlpm.StartDate,_xlpm.Remaining&lt;=0),0,MIN(_xlpm.MonthlyEnroll,_xlpm.Remaining))),0))</f>
        <v/>
      </c>
      <c r="L70" s="9" t="str">
        <f>IF($B70="","",IFERROR(_xlfn.LET(_xlpm.Site,$B70,_xlpm.ActDate,_xlfn.XLOOKUP(_xlpm.Site,tblSites[Site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70:INDEX($1:$1048576,ROW(),COLUMN()-1))),_xlpm.Remaining,MAX(0,_xlpm.MaxPts-_xlpm.PriorEnrolled),IF(OR(_xlpm.ActDate="",EOMONTH(L$5,0)&lt;_xlpm.StartDate,_xlpm.Remaining&lt;=0),0,MIN(_xlpm.MonthlyEnroll,_xlpm.Remaining))),0))</f>
        <v/>
      </c>
      <c r="M70" s="9" t="str">
        <f>IF($B70="","",IFERROR(_xlfn.LET(_xlpm.Site,$B70,_xlpm.ActDate,_xlfn.XLOOKUP(_xlpm.Site,#REF!,tblSites[Country],""),_xlpm.ScreenDays,N('Study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70:INDEX($1:$1048576,ROW(),COLUMN()-1))),_xlpm.Remaining,MAX(0,_xlpm.MaxPts-_xlpm.PriorEnrolled),IF(OR(_xlpm.ActDate="",EOMONTH(M$5,0)&lt;_xlpm.StartDate,_xlpm.Remaining&lt;=0),0,MIN(_xlpm.MonthlyEnroll,_xlpm.Remaining))),0))</f>
        <v/>
      </c>
      <c r="N70" s="9" t="str">
        <f>IF($B70="","",IFERROR(_xlfn.LET(_xlpm.Site,$B70,_xlpm.ActDate,_xlfn.XLOOKUP(_xlpm.Site,tblSites[Country],tblSites[Site],""),_xlpm.ScreenDays,N('Study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70:INDEX($1:$1048576,ROW(),COLUMN()-1))),_xlpm.Remaining,MAX(0,_xlpm.MaxPts-_xlpm.PriorEnrolled),IF(OR(_xlpm.ActDate="",EOMONTH(N$5,0)&lt;_xlpm.StartDate,_xlpm.Remaining&lt;=0),0,MIN(_xlpm.MonthlyEnroll,_xlpm.Remaining))),0))</f>
        <v/>
      </c>
      <c r="O70" s="9" t="str">
        <f>IF($B70="","",IFERROR(_xlfn.LET(_xlpm.Site,$B70,_xlpm.ActDate,_xlfn.XLOOKUP(_xlpm.Site,tblSites[Site],tblSites[Site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70:INDEX($1:$1048576,ROW(),COLUMN()-1))),_xlpm.Remaining,MAX(0,_xlpm.MaxPts-_xlpm.PriorEnrolled),IF(OR(_xlpm.ActDate="",EOMONTH(O$5,0)&lt;_xlpm.StartDate,_xlpm.Remaining&lt;=0),0,MIN(_xlpm.MonthlyEnroll,_xlpm.Remaining))),0))</f>
        <v/>
      </c>
      <c r="P70" s="9" t="str">
        <f>IF($B70="","",IFERROR(_xlfn.LET(_xlpm.Site,$B70,_xlpm.ActDate,_xlfn.XLOOKUP(_xlpm.Site,tblSites[Site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70:INDEX($1:$1048576,ROW(),COLUMN()-1))),_xlpm.Remaining,MAX(0,_xlpm.MaxPts-_xlpm.PriorEnrolled),IF(OR(_xlpm.ActDate="",EOMONTH(P$5,0)&lt;_xlpm.StartDate,_xlpm.Remaining&lt;=0),0,MIN(_xlpm.MonthlyEnroll,_xlpm.Remaining))),0))</f>
        <v/>
      </c>
      <c r="Q70" s="9" t="str">
        <f>IF($B70="","",IFERROR(_xlfn.LET(_xlpm.Site,$B70,_xlpm.ActDate,_xlfn.XLOOKUP(_xlpm.Site,tblSites[Monthly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70:INDEX($1:$1048576,ROW(),COLUMN()-1))),_xlpm.Remaining,MAX(0,_xlpm.MaxPts-_xlpm.PriorEnrolled),IF(OR(_xlpm.ActDate="",EOMONTH(Q$5,0)&lt;_xlpm.StartDate,_xlpm.Remaining&lt;=0),0,MIN(_xlpm.MonthlyEnroll,_xlpm.Remaining))),0))</f>
        <v/>
      </c>
      <c r="R70" s="9" t="str">
        <f>IF($B70="","",IFERROR(_xlfn.LET(_xlpm.Site,$B70,_xlpm.ActDate,_xlfn.XLOOKUP(_xlpm.Site,tblSites[Site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70:INDEX($1:$1048576,ROW(),COLUMN()-1))),_xlpm.Remaining,MAX(0,_xlpm.MaxPts-_xlpm.PriorEnrolled),IF(OR(_xlpm.ActDate="",EOMONTH(R$5,0)&lt;_xlpm.StartDate,_xlpm.Remaining&lt;=0),0,MIN(_xlpm.MonthlyEnroll,_xlpm.Remaining))),0))</f>
        <v/>
      </c>
      <c r="S70" s="9" t="str">
        <f>IF($B70="","",IFERROR(_xlfn.LET(_xlpm.Site,$B70,_xlpm.ActDate,_xlfn.XLOOKUP(_xlpm.Site,tblSites[Max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70:INDEX($1:$1048576,ROW(),COLUMN()-1))),_xlpm.Remaining,MAX(0,_xlpm.MaxPts-_xlpm.PriorEnrolled),IF(OR(_xlpm.ActDate="",EOMONTH(S$5,0)&lt;_xlpm.StartDate,_xlpm.Remaining&lt;=0),0,MIN(_xlpm.MonthlyEnroll,_xlpm.Remaining))),0))</f>
        <v/>
      </c>
      <c r="T70" s="9" t="str">
        <f>IF($B70="","",IFERROR(_xlfn.LET(_xlpm.Site,$B70,_xlpm.ActDate,_xlfn.XLOOKUP(_xlpm.Site,tblSites[Current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70:INDEX($1:$1048576,ROW(),COLUMN()-1))),_xlpm.Remaining,MAX(0,_xlpm.MaxPts-_xlpm.PriorEnrolled),IF(OR(_xlpm.ActDate="",EOMONTH(T$5,0)&lt;_xlpm.StartDate,_xlpm.Remaining&lt;=0),0,MIN(_xlpm.MonthlyEnroll,_xlpm.Remaining))),0))</f>
        <v/>
      </c>
      <c r="U70" s="9" t="str">
        <f>IF($B70="","",IFERROR(_xlfn.LET(_xlpm.Site,$B70,_xlpm.ActDate,_xlfn.XLOOKUP(_xlpm.Site,tblSites[Include?],tblSites[Scenario?],""),_xlpm.ScreenDays,N('Study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70:INDEX($1:$1048576,ROW(),COLUMN()-1))),_xlpm.Remaining,MAX(0,_xlpm.MaxPts-_xlpm.PriorEnrolled),IF(OR(_xlpm.ActDate="",EOMONTH(U$5,0)&lt;_xlpm.StartDate,_xlpm.Remaining&lt;=0),0,MIN(_xlpm.MonthlyEnroll,_xlpm.Remaining))),0))</f>
        <v/>
      </c>
      <c r="V70" s="9" t="str">
        <f>IF($B70="","",IFERROR(_xlfn.LET(_xlpm.Site,$B70,_xlpm.ActDate,_xlfn.XLOOKUP(_xlpm.Site,tblSites[Scenario?],tblSites[Check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70:INDEX($1:$1048576,ROW(),COLUMN()-1))),_xlpm.Remaining,MAX(0,_xlpm.MaxPts-_xlpm.PriorEnrolled),IF(OR(_xlpm.ActDate="",EOMONTH(V$5,0)&lt;_xlpm.StartDate,_xlpm.Remaining&lt;=0),0,MIN(_xlpm.MonthlyEnroll,_xlpm.Remaining))),0))</f>
        <v/>
      </c>
      <c r="W70" s="9" t="str">
        <f>IF($B70="","",IFERROR(_xlfn.LET(_xlpm.Site,$B70,_xlpm.ActDate,_xlfn.XLOOKUP(_xlpm.Site,tblSites[Check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70:INDEX($1:$1048576,ROW(),COLUMN()-1))),_xlpm.Remaining,MAX(0,_xlpm.MaxPts-_xlpm.PriorEnrolled),IF(OR(_xlpm.ActDate="",EOMONTH(W$5,0)&lt;_xlpm.StartDate,_xlpm.Remaining&lt;=0),0,MIN(_xlpm.MonthlyEnroll,_xlpm.Remaining))),0))</f>
        <v/>
      </c>
      <c r="X70" s="9" t="str">
        <f>IF($B70="","",IFERROR(_xlfn.LET(_xlpm.Site,$B70,_xlpm.ActDate,_xlfn.XLOOKUP(_xlpm.Site,tblSites[Site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70:INDEX($1:$1048576,ROW(),COLUMN()-1))),_xlpm.Remaining,MAX(0,_xlpm.MaxPts-_xlpm.PriorEnrolled),IF(OR(_xlpm.ActDate="",EOMONTH(X$5,0)&lt;_xlpm.StartDate,_xlpm.Remaining&lt;=0),0,MIN(_xlpm.MonthlyEnroll,_xlpm.Remaining))),0))</f>
        <v/>
      </c>
      <c r="Y70" s="9" t="str">
        <f>IF($B70="","",IFERROR(_xlfn.LET(_xlpm.Site,$B70,_xlpm.ActDate,_xlfn.XLOOKUP(_xlpm.Site,#REF!,tblSites[Country],""),_xlpm.ScreenDays,N('Study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70:INDEX($1:$1048576,ROW(),COLUMN()-1))),_xlpm.Remaining,MAX(0,_xlpm.MaxPts-_xlpm.PriorEnrolled),IF(OR(_xlpm.ActDate="",EOMONTH(Y$5,0)&lt;_xlpm.StartDate,_xlpm.Remaining&lt;=0),0,MIN(_xlpm.MonthlyEnroll,_xlpm.Remaining))),0))</f>
        <v/>
      </c>
      <c r="Z70" s="9" t="str">
        <f>IF($B70="","",IFERROR(_xlfn.LET(_xlpm.Site,$B70,_xlpm.ActDate,_xlfn.XLOOKUP(_xlpm.Site,tblSites[Country],tblSites[Site],""),_xlpm.ScreenDays,N('Study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70:INDEX($1:$1048576,ROW(),COLUMN()-1))),_xlpm.Remaining,MAX(0,_xlpm.MaxPts-_xlpm.PriorEnrolled),IF(OR(_xlpm.ActDate="",EOMONTH(Z$5,0)&lt;_xlpm.StartDate,_xlpm.Remaining&lt;=0),0,MIN(_xlpm.MonthlyEnroll,_xlpm.Remaining))),0))</f>
        <v/>
      </c>
      <c r="AA70" s="9" t="str">
        <f>IF($B70="","",IFERROR(_xlfn.LET(_xlpm.Site,$B70,_xlpm.ActDate,_xlfn.XLOOKUP(_xlpm.Site,tblSites[Site],tblSites[Site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70:INDEX($1:$1048576,ROW(),COLUMN()-1))),_xlpm.Remaining,MAX(0,_xlpm.MaxPts-_xlpm.PriorEnrolled),IF(OR(_xlpm.ActDate="",EOMONTH(AA$5,0)&lt;_xlpm.StartDate,_xlpm.Remaining&lt;=0),0,MIN(_xlpm.MonthlyEnroll,_xlpm.Remaining))),0))</f>
        <v/>
      </c>
      <c r="AB70" s="9" t="str">
        <f>IF($B70="","",IFERROR(_xlfn.LET(_xlpm.Site,$B70,_xlpm.ActDate,_xlfn.XLOOKUP(_xlpm.Site,tblSites[Site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70:INDEX($1:$1048576,ROW(),COLUMN()-1))),_xlpm.Remaining,MAX(0,_xlpm.MaxPts-_xlpm.PriorEnrolled),IF(OR(_xlpm.ActDate="",EOMONTH(AB$5,0)&lt;_xlpm.StartDate,_xlpm.Remaining&lt;=0),0,MIN(_xlpm.MonthlyEnroll,_xlpm.Remaining))),0))</f>
        <v/>
      </c>
      <c r="AC70" s="9" t="str">
        <f>IF($B70="","",IFERROR(_xlfn.LET(_xlpm.Site,$B70,_xlpm.ActDate,_xlfn.XLOOKUP(_xlpm.Site,tblSites[Monthly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70:INDEX($1:$1048576,ROW(),COLUMN()-1))),_xlpm.Remaining,MAX(0,_xlpm.MaxPts-_xlpm.PriorEnrolled),IF(OR(_xlpm.ActDate="",EOMONTH(AC$5,0)&lt;_xlpm.StartDate,_xlpm.Remaining&lt;=0),0,MIN(_xlpm.MonthlyEnroll,_xlpm.Remaining))),0))</f>
        <v/>
      </c>
    </row>
    <row r="71" spans="3:29" x14ac:dyDescent="0.25">
      <c r="C71" s="9" cm="1">
        <f t="array" aca="1" ref="C71" ca="1">IF(C$5&lt;=TODAY(),0,IF($B71="","",IFERROR(_xlfn.LET(_xlpm.Site,$B71,_xlpm.SiteCol,INDIRECT("tblSites[Site]"),_xlpm.ActCol,INDIRECT("tblSites[Site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1" s="9" t="str">
        <f>IF($B71="","",IFERROR(_xlfn.LET(_xlpm.Site,$B71,_xlpm.ActDate,_xlfn.XLOOKUP(_xlpm.Site,tblSites[Site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71:INDEX($1:$1048576,ROW(),COLUMN()-1))),_xlpm.Remaining,MAX(0,_xlpm.MaxPts-_xlpm.PriorEnrolled),IF(OR(_xlpm.ActDate="",EOMONTH(D$5,0)&lt;_xlpm.StartDate,_xlpm.Remaining&lt;=0),0,MIN(_xlpm.MonthlyEnroll,_xlpm.Remaining))),0))</f>
        <v/>
      </c>
      <c r="E71" s="9" t="str">
        <f>IF($B71="","",IFERROR(_xlfn.LET(_xlpm.Site,$B71,_xlpm.ActDate,_xlfn.XLOOKUP(_xlpm.Site,tblSites[Monthly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71:INDEX($1:$1048576,ROW(),COLUMN()-1))),_xlpm.Remaining,MAX(0,_xlpm.MaxPts-_xlpm.PriorEnrolled),IF(OR(_xlpm.ActDate="",EOMONTH(E$5,0)&lt;_xlpm.StartDate,_xlpm.Remaining&lt;=0),0,MIN(_xlpm.MonthlyEnroll,_xlpm.Remaining))),0))</f>
        <v/>
      </c>
      <c r="F71" s="9" t="str">
        <f>IF($B71="","",IFERROR(_xlfn.LET(_xlpm.Site,$B71,_xlpm.ActDate,_xlfn.XLOOKUP(_xlpm.Site,tblSites[Site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71:INDEX($1:$1048576,ROW(),COLUMN()-1))),_xlpm.Remaining,MAX(0,_xlpm.MaxPts-_xlpm.PriorEnrolled),IF(OR(_xlpm.ActDate="",EOMONTH(F$5,0)&lt;_xlpm.StartDate,_xlpm.Remaining&lt;=0),0,MIN(_xlpm.MonthlyEnroll,_xlpm.Remaining))),0))</f>
        <v/>
      </c>
      <c r="G71" s="9" t="str">
        <f>IF($B71="","",IFERROR(_xlfn.LET(_xlpm.Site,$B71,_xlpm.ActDate,_xlfn.XLOOKUP(_xlpm.Site,tblSites[Max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71:INDEX($1:$1048576,ROW(),COLUMN()-1))),_xlpm.Remaining,MAX(0,_xlpm.MaxPts-_xlpm.PriorEnrolled),IF(OR(_xlpm.ActDate="",EOMONTH(G$5,0)&lt;_xlpm.StartDate,_xlpm.Remaining&lt;=0),0,MIN(_xlpm.MonthlyEnroll,_xlpm.Remaining))),0))</f>
        <v/>
      </c>
      <c r="H71" s="9" t="str">
        <f>IF($B71="","",IFERROR(_xlfn.LET(_xlpm.Site,$B71,_xlpm.ActDate,_xlfn.XLOOKUP(_xlpm.Site,tblSites[Current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71:INDEX($1:$1048576,ROW(),COLUMN()-1))),_xlpm.Remaining,MAX(0,_xlpm.MaxPts-_xlpm.PriorEnrolled),IF(OR(_xlpm.ActDate="",EOMONTH(H$5,0)&lt;_xlpm.StartDate,_xlpm.Remaining&lt;=0),0,MIN(_xlpm.MonthlyEnroll,_xlpm.Remaining))),0))</f>
        <v/>
      </c>
      <c r="I71" s="9" t="str">
        <f>IF($B71="","",IFERROR(_xlfn.LET(_xlpm.Site,$B71,_xlpm.ActDate,_xlfn.XLOOKUP(_xlpm.Site,tblSites[Include?],tblSites[Scenario?],""),_xlpm.ScreenDays,N('Study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71:INDEX($1:$1048576,ROW(),COLUMN()-1))),_xlpm.Remaining,MAX(0,_xlpm.MaxPts-_xlpm.PriorEnrolled),IF(OR(_xlpm.ActDate="",EOMONTH(I$5,0)&lt;_xlpm.StartDate,_xlpm.Remaining&lt;=0),0,MIN(_xlpm.MonthlyEnroll,_xlpm.Remaining))),0))</f>
        <v/>
      </c>
      <c r="J71" s="9" t="str">
        <f>IF($B71="","",IFERROR(_xlfn.LET(_xlpm.Site,$B71,_xlpm.ActDate,_xlfn.XLOOKUP(_xlpm.Site,tblSites[Scenario?],tblSites[Check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71:INDEX($1:$1048576,ROW(),COLUMN()-1))),_xlpm.Remaining,MAX(0,_xlpm.MaxPts-_xlpm.PriorEnrolled),IF(OR(_xlpm.ActDate="",EOMONTH(J$5,0)&lt;_xlpm.StartDate,_xlpm.Remaining&lt;=0),0,MIN(_xlpm.MonthlyEnroll,_xlpm.Remaining))),0))</f>
        <v/>
      </c>
      <c r="K71" s="9" t="str">
        <f>IF($B71="","",IFERROR(_xlfn.LET(_xlpm.Site,$B71,_xlpm.ActDate,_xlfn.XLOOKUP(_xlpm.Site,tblSites[Check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71:INDEX($1:$1048576,ROW(),COLUMN()-1))),_xlpm.Remaining,MAX(0,_xlpm.MaxPts-_xlpm.PriorEnrolled),IF(OR(_xlpm.ActDate="",EOMONTH(K$5,0)&lt;_xlpm.StartDate,_xlpm.Remaining&lt;=0),0,MIN(_xlpm.MonthlyEnroll,_xlpm.Remaining))),0))</f>
        <v/>
      </c>
      <c r="L71" s="9" t="str">
        <f>IF($B71="","",IFERROR(_xlfn.LET(_xlpm.Site,$B71,_xlpm.ActDate,_xlfn.XLOOKUP(_xlpm.Site,tblSites[Site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71:INDEX($1:$1048576,ROW(),COLUMN()-1))),_xlpm.Remaining,MAX(0,_xlpm.MaxPts-_xlpm.PriorEnrolled),IF(OR(_xlpm.ActDate="",EOMONTH(L$5,0)&lt;_xlpm.StartDate,_xlpm.Remaining&lt;=0),0,MIN(_xlpm.MonthlyEnroll,_xlpm.Remaining))),0))</f>
        <v/>
      </c>
      <c r="M71" s="9" t="str">
        <f>IF($B71="","",IFERROR(_xlfn.LET(_xlpm.Site,$B71,_xlpm.ActDate,_xlfn.XLOOKUP(_xlpm.Site,#REF!,tblSites[Country],""),_xlpm.ScreenDays,N('Study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71:INDEX($1:$1048576,ROW(),COLUMN()-1))),_xlpm.Remaining,MAX(0,_xlpm.MaxPts-_xlpm.PriorEnrolled),IF(OR(_xlpm.ActDate="",EOMONTH(M$5,0)&lt;_xlpm.StartDate,_xlpm.Remaining&lt;=0),0,MIN(_xlpm.MonthlyEnroll,_xlpm.Remaining))),0))</f>
        <v/>
      </c>
      <c r="N71" s="9" t="str">
        <f>IF($B71="","",IFERROR(_xlfn.LET(_xlpm.Site,$B71,_xlpm.ActDate,_xlfn.XLOOKUP(_xlpm.Site,tblSites[Country],tblSites[Site],""),_xlpm.ScreenDays,N('Study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71:INDEX($1:$1048576,ROW(),COLUMN()-1))),_xlpm.Remaining,MAX(0,_xlpm.MaxPts-_xlpm.PriorEnrolled),IF(OR(_xlpm.ActDate="",EOMONTH(N$5,0)&lt;_xlpm.StartDate,_xlpm.Remaining&lt;=0),0,MIN(_xlpm.MonthlyEnroll,_xlpm.Remaining))),0))</f>
        <v/>
      </c>
      <c r="O71" s="9" t="str">
        <f>IF($B71="","",IFERROR(_xlfn.LET(_xlpm.Site,$B71,_xlpm.ActDate,_xlfn.XLOOKUP(_xlpm.Site,tblSites[Site],tblSites[Site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71:INDEX($1:$1048576,ROW(),COLUMN()-1))),_xlpm.Remaining,MAX(0,_xlpm.MaxPts-_xlpm.PriorEnrolled),IF(OR(_xlpm.ActDate="",EOMONTH(O$5,0)&lt;_xlpm.StartDate,_xlpm.Remaining&lt;=0),0,MIN(_xlpm.MonthlyEnroll,_xlpm.Remaining))),0))</f>
        <v/>
      </c>
      <c r="P71" s="9" t="str">
        <f>IF($B71="","",IFERROR(_xlfn.LET(_xlpm.Site,$B71,_xlpm.ActDate,_xlfn.XLOOKUP(_xlpm.Site,tblSites[Site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71:INDEX($1:$1048576,ROW(),COLUMN()-1))),_xlpm.Remaining,MAX(0,_xlpm.MaxPts-_xlpm.PriorEnrolled),IF(OR(_xlpm.ActDate="",EOMONTH(P$5,0)&lt;_xlpm.StartDate,_xlpm.Remaining&lt;=0),0,MIN(_xlpm.MonthlyEnroll,_xlpm.Remaining))),0))</f>
        <v/>
      </c>
      <c r="Q71" s="9" t="str">
        <f>IF($B71="","",IFERROR(_xlfn.LET(_xlpm.Site,$B71,_xlpm.ActDate,_xlfn.XLOOKUP(_xlpm.Site,tblSites[Monthly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71:INDEX($1:$1048576,ROW(),COLUMN()-1))),_xlpm.Remaining,MAX(0,_xlpm.MaxPts-_xlpm.PriorEnrolled),IF(OR(_xlpm.ActDate="",EOMONTH(Q$5,0)&lt;_xlpm.StartDate,_xlpm.Remaining&lt;=0),0,MIN(_xlpm.MonthlyEnroll,_xlpm.Remaining))),0))</f>
        <v/>
      </c>
      <c r="R71" s="9" t="str">
        <f>IF($B71="","",IFERROR(_xlfn.LET(_xlpm.Site,$B71,_xlpm.ActDate,_xlfn.XLOOKUP(_xlpm.Site,tblSites[Site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71:INDEX($1:$1048576,ROW(),COLUMN()-1))),_xlpm.Remaining,MAX(0,_xlpm.MaxPts-_xlpm.PriorEnrolled),IF(OR(_xlpm.ActDate="",EOMONTH(R$5,0)&lt;_xlpm.StartDate,_xlpm.Remaining&lt;=0),0,MIN(_xlpm.MonthlyEnroll,_xlpm.Remaining))),0))</f>
        <v/>
      </c>
      <c r="S71" s="9" t="str">
        <f>IF($B71="","",IFERROR(_xlfn.LET(_xlpm.Site,$B71,_xlpm.ActDate,_xlfn.XLOOKUP(_xlpm.Site,tblSites[Max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71:INDEX($1:$1048576,ROW(),COLUMN()-1))),_xlpm.Remaining,MAX(0,_xlpm.MaxPts-_xlpm.PriorEnrolled),IF(OR(_xlpm.ActDate="",EOMONTH(S$5,0)&lt;_xlpm.StartDate,_xlpm.Remaining&lt;=0),0,MIN(_xlpm.MonthlyEnroll,_xlpm.Remaining))),0))</f>
        <v/>
      </c>
      <c r="T71" s="9" t="str">
        <f>IF($B71="","",IFERROR(_xlfn.LET(_xlpm.Site,$B71,_xlpm.ActDate,_xlfn.XLOOKUP(_xlpm.Site,tblSites[Current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71:INDEX($1:$1048576,ROW(),COLUMN()-1))),_xlpm.Remaining,MAX(0,_xlpm.MaxPts-_xlpm.PriorEnrolled),IF(OR(_xlpm.ActDate="",EOMONTH(T$5,0)&lt;_xlpm.StartDate,_xlpm.Remaining&lt;=0),0,MIN(_xlpm.MonthlyEnroll,_xlpm.Remaining))),0))</f>
        <v/>
      </c>
      <c r="U71" s="9" t="str">
        <f>IF($B71="","",IFERROR(_xlfn.LET(_xlpm.Site,$B71,_xlpm.ActDate,_xlfn.XLOOKUP(_xlpm.Site,tblSites[Include?],tblSites[Scenario?],""),_xlpm.ScreenDays,N('Study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71:INDEX($1:$1048576,ROW(),COLUMN()-1))),_xlpm.Remaining,MAX(0,_xlpm.MaxPts-_xlpm.PriorEnrolled),IF(OR(_xlpm.ActDate="",EOMONTH(U$5,0)&lt;_xlpm.StartDate,_xlpm.Remaining&lt;=0),0,MIN(_xlpm.MonthlyEnroll,_xlpm.Remaining))),0))</f>
        <v/>
      </c>
      <c r="V71" s="9" t="str">
        <f>IF($B71="","",IFERROR(_xlfn.LET(_xlpm.Site,$B71,_xlpm.ActDate,_xlfn.XLOOKUP(_xlpm.Site,tblSites[Scenario?],tblSites[Check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71:INDEX($1:$1048576,ROW(),COLUMN()-1))),_xlpm.Remaining,MAX(0,_xlpm.MaxPts-_xlpm.PriorEnrolled),IF(OR(_xlpm.ActDate="",EOMONTH(V$5,0)&lt;_xlpm.StartDate,_xlpm.Remaining&lt;=0),0,MIN(_xlpm.MonthlyEnroll,_xlpm.Remaining))),0))</f>
        <v/>
      </c>
      <c r="W71" s="9" t="str">
        <f>IF($B71="","",IFERROR(_xlfn.LET(_xlpm.Site,$B71,_xlpm.ActDate,_xlfn.XLOOKUP(_xlpm.Site,tblSites[Check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71:INDEX($1:$1048576,ROW(),COLUMN()-1))),_xlpm.Remaining,MAX(0,_xlpm.MaxPts-_xlpm.PriorEnrolled),IF(OR(_xlpm.ActDate="",EOMONTH(W$5,0)&lt;_xlpm.StartDate,_xlpm.Remaining&lt;=0),0,MIN(_xlpm.MonthlyEnroll,_xlpm.Remaining))),0))</f>
        <v/>
      </c>
      <c r="X71" s="9" t="str">
        <f>IF($B71="","",IFERROR(_xlfn.LET(_xlpm.Site,$B71,_xlpm.ActDate,_xlfn.XLOOKUP(_xlpm.Site,tblSites[Site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71:INDEX($1:$1048576,ROW(),COLUMN()-1))),_xlpm.Remaining,MAX(0,_xlpm.MaxPts-_xlpm.PriorEnrolled),IF(OR(_xlpm.ActDate="",EOMONTH(X$5,0)&lt;_xlpm.StartDate,_xlpm.Remaining&lt;=0),0,MIN(_xlpm.MonthlyEnroll,_xlpm.Remaining))),0))</f>
        <v/>
      </c>
      <c r="Y71" s="9" t="str">
        <f>IF($B71="","",IFERROR(_xlfn.LET(_xlpm.Site,$B71,_xlpm.ActDate,_xlfn.XLOOKUP(_xlpm.Site,#REF!,tblSites[Country],""),_xlpm.ScreenDays,N('Study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71:INDEX($1:$1048576,ROW(),COLUMN()-1))),_xlpm.Remaining,MAX(0,_xlpm.MaxPts-_xlpm.PriorEnrolled),IF(OR(_xlpm.ActDate="",EOMONTH(Y$5,0)&lt;_xlpm.StartDate,_xlpm.Remaining&lt;=0),0,MIN(_xlpm.MonthlyEnroll,_xlpm.Remaining))),0))</f>
        <v/>
      </c>
      <c r="Z71" s="9" t="str">
        <f>IF($B71="","",IFERROR(_xlfn.LET(_xlpm.Site,$B71,_xlpm.ActDate,_xlfn.XLOOKUP(_xlpm.Site,tblSites[Country],tblSites[Site],""),_xlpm.ScreenDays,N('Study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71:INDEX($1:$1048576,ROW(),COLUMN()-1))),_xlpm.Remaining,MAX(0,_xlpm.MaxPts-_xlpm.PriorEnrolled),IF(OR(_xlpm.ActDate="",EOMONTH(Z$5,0)&lt;_xlpm.StartDate,_xlpm.Remaining&lt;=0),0,MIN(_xlpm.MonthlyEnroll,_xlpm.Remaining))),0))</f>
        <v/>
      </c>
      <c r="AA71" s="9" t="str">
        <f>IF($B71="","",IFERROR(_xlfn.LET(_xlpm.Site,$B71,_xlpm.ActDate,_xlfn.XLOOKUP(_xlpm.Site,tblSites[Site],tblSites[Site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71:INDEX($1:$1048576,ROW(),COLUMN()-1))),_xlpm.Remaining,MAX(0,_xlpm.MaxPts-_xlpm.PriorEnrolled),IF(OR(_xlpm.ActDate="",EOMONTH(AA$5,0)&lt;_xlpm.StartDate,_xlpm.Remaining&lt;=0),0,MIN(_xlpm.MonthlyEnroll,_xlpm.Remaining))),0))</f>
        <v/>
      </c>
      <c r="AB71" s="9" t="str">
        <f>IF($B71="","",IFERROR(_xlfn.LET(_xlpm.Site,$B71,_xlpm.ActDate,_xlfn.XLOOKUP(_xlpm.Site,tblSites[Site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71:INDEX($1:$1048576,ROW(),COLUMN()-1))),_xlpm.Remaining,MAX(0,_xlpm.MaxPts-_xlpm.PriorEnrolled),IF(OR(_xlpm.ActDate="",EOMONTH(AB$5,0)&lt;_xlpm.StartDate,_xlpm.Remaining&lt;=0),0,MIN(_xlpm.MonthlyEnroll,_xlpm.Remaining))),0))</f>
        <v/>
      </c>
      <c r="AC71" s="9" t="str">
        <f>IF($B71="","",IFERROR(_xlfn.LET(_xlpm.Site,$B71,_xlpm.ActDate,_xlfn.XLOOKUP(_xlpm.Site,tblSites[Monthly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71:INDEX($1:$1048576,ROW(),COLUMN()-1))),_xlpm.Remaining,MAX(0,_xlpm.MaxPts-_xlpm.PriorEnrolled),IF(OR(_xlpm.ActDate="",EOMONTH(AC$5,0)&lt;_xlpm.StartDate,_xlpm.Remaining&lt;=0),0,MIN(_xlpm.MonthlyEnroll,_xlpm.Remaining))),0))</f>
        <v/>
      </c>
    </row>
    <row r="72" spans="3:29" x14ac:dyDescent="0.25">
      <c r="C72" s="9" cm="1">
        <f t="array" aca="1" ref="C72" ca="1">IF(C$5&lt;=TODAY(),0,IF($B72="","",IFERROR(_xlfn.LET(_xlpm.Site,$B72,_xlpm.SiteCol,INDIRECT("tblSites[Site]"),_xlpm.ActCol,INDIRECT("tblSites[Site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2" s="9" t="str">
        <f>IF($B72="","",IFERROR(_xlfn.LET(_xlpm.Site,$B72,_xlpm.ActDate,_xlfn.XLOOKUP(_xlpm.Site,tblSites[Site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72:INDEX($1:$1048576,ROW(),COLUMN()-1))),_xlpm.Remaining,MAX(0,_xlpm.MaxPts-_xlpm.PriorEnrolled),IF(OR(_xlpm.ActDate="",EOMONTH(D$5,0)&lt;_xlpm.StartDate,_xlpm.Remaining&lt;=0),0,MIN(_xlpm.MonthlyEnroll,_xlpm.Remaining))),0))</f>
        <v/>
      </c>
      <c r="E72" s="9" t="str">
        <f>IF($B72="","",IFERROR(_xlfn.LET(_xlpm.Site,$B72,_xlpm.ActDate,_xlfn.XLOOKUP(_xlpm.Site,tblSites[Monthly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72:INDEX($1:$1048576,ROW(),COLUMN()-1))),_xlpm.Remaining,MAX(0,_xlpm.MaxPts-_xlpm.PriorEnrolled),IF(OR(_xlpm.ActDate="",EOMONTH(E$5,0)&lt;_xlpm.StartDate,_xlpm.Remaining&lt;=0),0,MIN(_xlpm.MonthlyEnroll,_xlpm.Remaining))),0))</f>
        <v/>
      </c>
      <c r="F72" s="9" t="str">
        <f>IF($B72="","",IFERROR(_xlfn.LET(_xlpm.Site,$B72,_xlpm.ActDate,_xlfn.XLOOKUP(_xlpm.Site,tblSites[Site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72:INDEX($1:$1048576,ROW(),COLUMN()-1))),_xlpm.Remaining,MAX(0,_xlpm.MaxPts-_xlpm.PriorEnrolled),IF(OR(_xlpm.ActDate="",EOMONTH(F$5,0)&lt;_xlpm.StartDate,_xlpm.Remaining&lt;=0),0,MIN(_xlpm.MonthlyEnroll,_xlpm.Remaining))),0))</f>
        <v/>
      </c>
      <c r="G72" s="9" t="str">
        <f>IF($B72="","",IFERROR(_xlfn.LET(_xlpm.Site,$B72,_xlpm.ActDate,_xlfn.XLOOKUP(_xlpm.Site,tblSites[Max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72:INDEX($1:$1048576,ROW(),COLUMN()-1))),_xlpm.Remaining,MAX(0,_xlpm.MaxPts-_xlpm.PriorEnrolled),IF(OR(_xlpm.ActDate="",EOMONTH(G$5,0)&lt;_xlpm.StartDate,_xlpm.Remaining&lt;=0),0,MIN(_xlpm.MonthlyEnroll,_xlpm.Remaining))),0))</f>
        <v/>
      </c>
      <c r="H72" s="9" t="str">
        <f>IF($B72="","",IFERROR(_xlfn.LET(_xlpm.Site,$B72,_xlpm.ActDate,_xlfn.XLOOKUP(_xlpm.Site,tblSites[Current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72:INDEX($1:$1048576,ROW(),COLUMN()-1))),_xlpm.Remaining,MAX(0,_xlpm.MaxPts-_xlpm.PriorEnrolled),IF(OR(_xlpm.ActDate="",EOMONTH(H$5,0)&lt;_xlpm.StartDate,_xlpm.Remaining&lt;=0),0,MIN(_xlpm.MonthlyEnroll,_xlpm.Remaining))),0))</f>
        <v/>
      </c>
      <c r="I72" s="9" t="str">
        <f>IF($B72="","",IFERROR(_xlfn.LET(_xlpm.Site,$B72,_xlpm.ActDate,_xlfn.XLOOKUP(_xlpm.Site,tblSites[Include?],tblSites[Scenario?],""),_xlpm.ScreenDays,N('Study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72:INDEX($1:$1048576,ROW(),COLUMN()-1))),_xlpm.Remaining,MAX(0,_xlpm.MaxPts-_xlpm.PriorEnrolled),IF(OR(_xlpm.ActDate="",EOMONTH(I$5,0)&lt;_xlpm.StartDate,_xlpm.Remaining&lt;=0),0,MIN(_xlpm.MonthlyEnroll,_xlpm.Remaining))),0))</f>
        <v/>
      </c>
      <c r="J72" s="9" t="str">
        <f>IF($B72="","",IFERROR(_xlfn.LET(_xlpm.Site,$B72,_xlpm.ActDate,_xlfn.XLOOKUP(_xlpm.Site,tblSites[Scenario?],tblSites[Check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72:INDEX($1:$1048576,ROW(),COLUMN()-1))),_xlpm.Remaining,MAX(0,_xlpm.MaxPts-_xlpm.PriorEnrolled),IF(OR(_xlpm.ActDate="",EOMONTH(J$5,0)&lt;_xlpm.StartDate,_xlpm.Remaining&lt;=0),0,MIN(_xlpm.MonthlyEnroll,_xlpm.Remaining))),0))</f>
        <v/>
      </c>
      <c r="K72" s="9" t="str">
        <f>IF($B72="","",IFERROR(_xlfn.LET(_xlpm.Site,$B72,_xlpm.ActDate,_xlfn.XLOOKUP(_xlpm.Site,tblSites[Check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72:INDEX($1:$1048576,ROW(),COLUMN()-1))),_xlpm.Remaining,MAX(0,_xlpm.MaxPts-_xlpm.PriorEnrolled),IF(OR(_xlpm.ActDate="",EOMONTH(K$5,0)&lt;_xlpm.StartDate,_xlpm.Remaining&lt;=0),0,MIN(_xlpm.MonthlyEnroll,_xlpm.Remaining))),0))</f>
        <v/>
      </c>
      <c r="L72" s="9" t="str">
        <f>IF($B72="","",IFERROR(_xlfn.LET(_xlpm.Site,$B72,_xlpm.ActDate,_xlfn.XLOOKUP(_xlpm.Site,tblSites[Site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72:INDEX($1:$1048576,ROW(),COLUMN()-1))),_xlpm.Remaining,MAX(0,_xlpm.MaxPts-_xlpm.PriorEnrolled),IF(OR(_xlpm.ActDate="",EOMONTH(L$5,0)&lt;_xlpm.StartDate,_xlpm.Remaining&lt;=0),0,MIN(_xlpm.MonthlyEnroll,_xlpm.Remaining))),0))</f>
        <v/>
      </c>
      <c r="M72" s="9" t="str">
        <f>IF($B72="","",IFERROR(_xlfn.LET(_xlpm.Site,$B72,_xlpm.ActDate,_xlfn.XLOOKUP(_xlpm.Site,#REF!,tblSites[Country],""),_xlpm.ScreenDays,N('Study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72:INDEX($1:$1048576,ROW(),COLUMN()-1))),_xlpm.Remaining,MAX(0,_xlpm.MaxPts-_xlpm.PriorEnrolled),IF(OR(_xlpm.ActDate="",EOMONTH(M$5,0)&lt;_xlpm.StartDate,_xlpm.Remaining&lt;=0),0,MIN(_xlpm.MonthlyEnroll,_xlpm.Remaining))),0))</f>
        <v/>
      </c>
      <c r="N72" s="9" t="str">
        <f>IF($B72="","",IFERROR(_xlfn.LET(_xlpm.Site,$B72,_xlpm.ActDate,_xlfn.XLOOKUP(_xlpm.Site,tblSites[Country],tblSites[Site],""),_xlpm.ScreenDays,N('Study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72:INDEX($1:$1048576,ROW(),COLUMN()-1))),_xlpm.Remaining,MAX(0,_xlpm.MaxPts-_xlpm.PriorEnrolled),IF(OR(_xlpm.ActDate="",EOMONTH(N$5,0)&lt;_xlpm.StartDate,_xlpm.Remaining&lt;=0),0,MIN(_xlpm.MonthlyEnroll,_xlpm.Remaining))),0))</f>
        <v/>
      </c>
      <c r="O72" s="9" t="str">
        <f>IF($B72="","",IFERROR(_xlfn.LET(_xlpm.Site,$B72,_xlpm.ActDate,_xlfn.XLOOKUP(_xlpm.Site,tblSites[Site],tblSites[Site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72:INDEX($1:$1048576,ROW(),COLUMN()-1))),_xlpm.Remaining,MAX(0,_xlpm.MaxPts-_xlpm.PriorEnrolled),IF(OR(_xlpm.ActDate="",EOMONTH(O$5,0)&lt;_xlpm.StartDate,_xlpm.Remaining&lt;=0),0,MIN(_xlpm.MonthlyEnroll,_xlpm.Remaining))),0))</f>
        <v/>
      </c>
      <c r="P72" s="9" t="str">
        <f>IF($B72="","",IFERROR(_xlfn.LET(_xlpm.Site,$B72,_xlpm.ActDate,_xlfn.XLOOKUP(_xlpm.Site,tblSites[Site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72:INDEX($1:$1048576,ROW(),COLUMN()-1))),_xlpm.Remaining,MAX(0,_xlpm.MaxPts-_xlpm.PriorEnrolled),IF(OR(_xlpm.ActDate="",EOMONTH(P$5,0)&lt;_xlpm.StartDate,_xlpm.Remaining&lt;=0),0,MIN(_xlpm.MonthlyEnroll,_xlpm.Remaining))),0))</f>
        <v/>
      </c>
      <c r="Q72" s="9" t="str">
        <f>IF($B72="","",IFERROR(_xlfn.LET(_xlpm.Site,$B72,_xlpm.ActDate,_xlfn.XLOOKUP(_xlpm.Site,tblSites[Monthly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72:INDEX($1:$1048576,ROW(),COLUMN()-1))),_xlpm.Remaining,MAX(0,_xlpm.MaxPts-_xlpm.PriorEnrolled),IF(OR(_xlpm.ActDate="",EOMONTH(Q$5,0)&lt;_xlpm.StartDate,_xlpm.Remaining&lt;=0),0,MIN(_xlpm.MonthlyEnroll,_xlpm.Remaining))),0))</f>
        <v/>
      </c>
      <c r="R72" s="9" t="str">
        <f>IF($B72="","",IFERROR(_xlfn.LET(_xlpm.Site,$B72,_xlpm.ActDate,_xlfn.XLOOKUP(_xlpm.Site,tblSites[Site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72:INDEX($1:$1048576,ROW(),COLUMN()-1))),_xlpm.Remaining,MAX(0,_xlpm.MaxPts-_xlpm.PriorEnrolled),IF(OR(_xlpm.ActDate="",EOMONTH(R$5,0)&lt;_xlpm.StartDate,_xlpm.Remaining&lt;=0),0,MIN(_xlpm.MonthlyEnroll,_xlpm.Remaining))),0))</f>
        <v/>
      </c>
      <c r="S72" s="9" t="str">
        <f>IF($B72="","",IFERROR(_xlfn.LET(_xlpm.Site,$B72,_xlpm.ActDate,_xlfn.XLOOKUP(_xlpm.Site,tblSites[Max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72:INDEX($1:$1048576,ROW(),COLUMN()-1))),_xlpm.Remaining,MAX(0,_xlpm.MaxPts-_xlpm.PriorEnrolled),IF(OR(_xlpm.ActDate="",EOMONTH(S$5,0)&lt;_xlpm.StartDate,_xlpm.Remaining&lt;=0),0,MIN(_xlpm.MonthlyEnroll,_xlpm.Remaining))),0))</f>
        <v/>
      </c>
      <c r="T72" s="9" t="str">
        <f>IF($B72="","",IFERROR(_xlfn.LET(_xlpm.Site,$B72,_xlpm.ActDate,_xlfn.XLOOKUP(_xlpm.Site,tblSites[Current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72:INDEX($1:$1048576,ROW(),COLUMN()-1))),_xlpm.Remaining,MAX(0,_xlpm.MaxPts-_xlpm.PriorEnrolled),IF(OR(_xlpm.ActDate="",EOMONTH(T$5,0)&lt;_xlpm.StartDate,_xlpm.Remaining&lt;=0),0,MIN(_xlpm.MonthlyEnroll,_xlpm.Remaining))),0))</f>
        <v/>
      </c>
      <c r="U72" s="9" t="str">
        <f>IF($B72="","",IFERROR(_xlfn.LET(_xlpm.Site,$B72,_xlpm.ActDate,_xlfn.XLOOKUP(_xlpm.Site,tblSites[Include?],tblSites[Scenario?],""),_xlpm.ScreenDays,N('Study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72:INDEX($1:$1048576,ROW(),COLUMN()-1))),_xlpm.Remaining,MAX(0,_xlpm.MaxPts-_xlpm.PriorEnrolled),IF(OR(_xlpm.ActDate="",EOMONTH(U$5,0)&lt;_xlpm.StartDate,_xlpm.Remaining&lt;=0),0,MIN(_xlpm.MonthlyEnroll,_xlpm.Remaining))),0))</f>
        <v/>
      </c>
      <c r="V72" s="9" t="str">
        <f>IF($B72="","",IFERROR(_xlfn.LET(_xlpm.Site,$B72,_xlpm.ActDate,_xlfn.XLOOKUP(_xlpm.Site,tblSites[Scenario?],tblSites[Check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72:INDEX($1:$1048576,ROW(),COLUMN()-1))),_xlpm.Remaining,MAX(0,_xlpm.MaxPts-_xlpm.PriorEnrolled),IF(OR(_xlpm.ActDate="",EOMONTH(V$5,0)&lt;_xlpm.StartDate,_xlpm.Remaining&lt;=0),0,MIN(_xlpm.MonthlyEnroll,_xlpm.Remaining))),0))</f>
        <v/>
      </c>
      <c r="W72" s="9" t="str">
        <f>IF($B72="","",IFERROR(_xlfn.LET(_xlpm.Site,$B72,_xlpm.ActDate,_xlfn.XLOOKUP(_xlpm.Site,tblSites[Check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72:INDEX($1:$1048576,ROW(),COLUMN()-1))),_xlpm.Remaining,MAX(0,_xlpm.MaxPts-_xlpm.PriorEnrolled),IF(OR(_xlpm.ActDate="",EOMONTH(W$5,0)&lt;_xlpm.StartDate,_xlpm.Remaining&lt;=0),0,MIN(_xlpm.MonthlyEnroll,_xlpm.Remaining))),0))</f>
        <v/>
      </c>
      <c r="X72" s="9" t="str">
        <f>IF($B72="","",IFERROR(_xlfn.LET(_xlpm.Site,$B72,_xlpm.ActDate,_xlfn.XLOOKUP(_xlpm.Site,tblSites[Site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72:INDEX($1:$1048576,ROW(),COLUMN()-1))),_xlpm.Remaining,MAX(0,_xlpm.MaxPts-_xlpm.PriorEnrolled),IF(OR(_xlpm.ActDate="",EOMONTH(X$5,0)&lt;_xlpm.StartDate,_xlpm.Remaining&lt;=0),0,MIN(_xlpm.MonthlyEnroll,_xlpm.Remaining))),0))</f>
        <v/>
      </c>
      <c r="Y72" s="9" t="str">
        <f>IF($B72="","",IFERROR(_xlfn.LET(_xlpm.Site,$B72,_xlpm.ActDate,_xlfn.XLOOKUP(_xlpm.Site,#REF!,tblSites[Country],""),_xlpm.ScreenDays,N('Study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72:INDEX($1:$1048576,ROW(),COLUMN()-1))),_xlpm.Remaining,MAX(0,_xlpm.MaxPts-_xlpm.PriorEnrolled),IF(OR(_xlpm.ActDate="",EOMONTH(Y$5,0)&lt;_xlpm.StartDate,_xlpm.Remaining&lt;=0),0,MIN(_xlpm.MonthlyEnroll,_xlpm.Remaining))),0))</f>
        <v/>
      </c>
      <c r="Z72" s="9" t="str">
        <f>IF($B72="","",IFERROR(_xlfn.LET(_xlpm.Site,$B72,_xlpm.ActDate,_xlfn.XLOOKUP(_xlpm.Site,tblSites[Country],tblSites[Site],""),_xlpm.ScreenDays,N('Study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72:INDEX($1:$1048576,ROW(),COLUMN()-1))),_xlpm.Remaining,MAX(0,_xlpm.MaxPts-_xlpm.PriorEnrolled),IF(OR(_xlpm.ActDate="",EOMONTH(Z$5,0)&lt;_xlpm.StartDate,_xlpm.Remaining&lt;=0),0,MIN(_xlpm.MonthlyEnroll,_xlpm.Remaining))),0))</f>
        <v/>
      </c>
      <c r="AA72" s="9" t="str">
        <f>IF($B72="","",IFERROR(_xlfn.LET(_xlpm.Site,$B72,_xlpm.ActDate,_xlfn.XLOOKUP(_xlpm.Site,tblSites[Site],tblSites[Site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72:INDEX($1:$1048576,ROW(),COLUMN()-1))),_xlpm.Remaining,MAX(0,_xlpm.MaxPts-_xlpm.PriorEnrolled),IF(OR(_xlpm.ActDate="",EOMONTH(AA$5,0)&lt;_xlpm.StartDate,_xlpm.Remaining&lt;=0),0,MIN(_xlpm.MonthlyEnroll,_xlpm.Remaining))),0))</f>
        <v/>
      </c>
      <c r="AB72" s="9" t="str">
        <f>IF($B72="","",IFERROR(_xlfn.LET(_xlpm.Site,$B72,_xlpm.ActDate,_xlfn.XLOOKUP(_xlpm.Site,tblSites[Site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72:INDEX($1:$1048576,ROW(),COLUMN()-1))),_xlpm.Remaining,MAX(0,_xlpm.MaxPts-_xlpm.PriorEnrolled),IF(OR(_xlpm.ActDate="",EOMONTH(AB$5,0)&lt;_xlpm.StartDate,_xlpm.Remaining&lt;=0),0,MIN(_xlpm.MonthlyEnroll,_xlpm.Remaining))),0))</f>
        <v/>
      </c>
      <c r="AC72" s="9" t="str">
        <f>IF($B72="","",IFERROR(_xlfn.LET(_xlpm.Site,$B72,_xlpm.ActDate,_xlfn.XLOOKUP(_xlpm.Site,tblSites[Monthly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72:INDEX($1:$1048576,ROW(),COLUMN()-1))),_xlpm.Remaining,MAX(0,_xlpm.MaxPts-_xlpm.PriorEnrolled),IF(OR(_xlpm.ActDate="",EOMONTH(AC$5,0)&lt;_xlpm.StartDate,_xlpm.Remaining&lt;=0),0,MIN(_xlpm.MonthlyEnroll,_xlpm.Remaining))),0))</f>
        <v/>
      </c>
    </row>
    <row r="73" spans="3:29" x14ac:dyDescent="0.25">
      <c r="C73" s="9" cm="1">
        <f t="array" aca="1" ref="C73" ca="1">IF(C$5&lt;=TODAY(),0,IF($B73="","",IFERROR(_xlfn.LET(_xlpm.Site,$B73,_xlpm.SiteCol,INDIRECT("tblSites[Site]"),_xlpm.ActCol,INDIRECT("tblSites[Site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3" s="9" t="str">
        <f>IF($B73="","",IFERROR(_xlfn.LET(_xlpm.Site,$B73,_xlpm.ActDate,_xlfn.XLOOKUP(_xlpm.Site,tblSites[Site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73:INDEX($1:$1048576,ROW(),COLUMN()-1))),_xlpm.Remaining,MAX(0,_xlpm.MaxPts-_xlpm.PriorEnrolled),IF(OR(_xlpm.ActDate="",EOMONTH(D$5,0)&lt;_xlpm.StartDate,_xlpm.Remaining&lt;=0),0,MIN(_xlpm.MonthlyEnroll,_xlpm.Remaining))),0))</f>
        <v/>
      </c>
      <c r="E73" s="9" t="str">
        <f>IF($B73="","",IFERROR(_xlfn.LET(_xlpm.Site,$B73,_xlpm.ActDate,_xlfn.XLOOKUP(_xlpm.Site,tblSites[Monthly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73:INDEX($1:$1048576,ROW(),COLUMN()-1))),_xlpm.Remaining,MAX(0,_xlpm.MaxPts-_xlpm.PriorEnrolled),IF(OR(_xlpm.ActDate="",EOMONTH(E$5,0)&lt;_xlpm.StartDate,_xlpm.Remaining&lt;=0),0,MIN(_xlpm.MonthlyEnroll,_xlpm.Remaining))),0))</f>
        <v/>
      </c>
      <c r="F73" s="9" t="str">
        <f>IF($B73="","",IFERROR(_xlfn.LET(_xlpm.Site,$B73,_xlpm.ActDate,_xlfn.XLOOKUP(_xlpm.Site,tblSites[Site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73:INDEX($1:$1048576,ROW(),COLUMN()-1))),_xlpm.Remaining,MAX(0,_xlpm.MaxPts-_xlpm.PriorEnrolled),IF(OR(_xlpm.ActDate="",EOMONTH(F$5,0)&lt;_xlpm.StartDate,_xlpm.Remaining&lt;=0),0,MIN(_xlpm.MonthlyEnroll,_xlpm.Remaining))),0))</f>
        <v/>
      </c>
      <c r="G73" s="9" t="str">
        <f>IF($B73="","",IFERROR(_xlfn.LET(_xlpm.Site,$B73,_xlpm.ActDate,_xlfn.XLOOKUP(_xlpm.Site,tblSites[Max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73:INDEX($1:$1048576,ROW(),COLUMN()-1))),_xlpm.Remaining,MAX(0,_xlpm.MaxPts-_xlpm.PriorEnrolled),IF(OR(_xlpm.ActDate="",EOMONTH(G$5,0)&lt;_xlpm.StartDate,_xlpm.Remaining&lt;=0),0,MIN(_xlpm.MonthlyEnroll,_xlpm.Remaining))),0))</f>
        <v/>
      </c>
      <c r="H73" s="9" t="str">
        <f>IF($B73="","",IFERROR(_xlfn.LET(_xlpm.Site,$B73,_xlpm.ActDate,_xlfn.XLOOKUP(_xlpm.Site,tblSites[Current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73:INDEX($1:$1048576,ROW(),COLUMN()-1))),_xlpm.Remaining,MAX(0,_xlpm.MaxPts-_xlpm.PriorEnrolled),IF(OR(_xlpm.ActDate="",EOMONTH(H$5,0)&lt;_xlpm.StartDate,_xlpm.Remaining&lt;=0),0,MIN(_xlpm.MonthlyEnroll,_xlpm.Remaining))),0))</f>
        <v/>
      </c>
      <c r="I73" s="9" t="str">
        <f>IF($B73="","",IFERROR(_xlfn.LET(_xlpm.Site,$B73,_xlpm.ActDate,_xlfn.XLOOKUP(_xlpm.Site,tblSites[Include?],tblSites[Scenario?],""),_xlpm.ScreenDays,N('Study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73:INDEX($1:$1048576,ROW(),COLUMN()-1))),_xlpm.Remaining,MAX(0,_xlpm.MaxPts-_xlpm.PriorEnrolled),IF(OR(_xlpm.ActDate="",EOMONTH(I$5,0)&lt;_xlpm.StartDate,_xlpm.Remaining&lt;=0),0,MIN(_xlpm.MonthlyEnroll,_xlpm.Remaining))),0))</f>
        <v/>
      </c>
      <c r="J73" s="9" t="str">
        <f>IF($B73="","",IFERROR(_xlfn.LET(_xlpm.Site,$B73,_xlpm.ActDate,_xlfn.XLOOKUP(_xlpm.Site,tblSites[Scenario?],tblSites[Check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73:INDEX($1:$1048576,ROW(),COLUMN()-1))),_xlpm.Remaining,MAX(0,_xlpm.MaxPts-_xlpm.PriorEnrolled),IF(OR(_xlpm.ActDate="",EOMONTH(J$5,0)&lt;_xlpm.StartDate,_xlpm.Remaining&lt;=0),0,MIN(_xlpm.MonthlyEnroll,_xlpm.Remaining))),0))</f>
        <v/>
      </c>
      <c r="K73" s="9" t="str">
        <f>IF($B73="","",IFERROR(_xlfn.LET(_xlpm.Site,$B73,_xlpm.ActDate,_xlfn.XLOOKUP(_xlpm.Site,tblSites[Check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73:INDEX($1:$1048576,ROW(),COLUMN()-1))),_xlpm.Remaining,MAX(0,_xlpm.MaxPts-_xlpm.PriorEnrolled),IF(OR(_xlpm.ActDate="",EOMONTH(K$5,0)&lt;_xlpm.StartDate,_xlpm.Remaining&lt;=0),0,MIN(_xlpm.MonthlyEnroll,_xlpm.Remaining))),0))</f>
        <v/>
      </c>
      <c r="L73" s="9" t="str">
        <f>IF($B73="","",IFERROR(_xlfn.LET(_xlpm.Site,$B73,_xlpm.ActDate,_xlfn.XLOOKUP(_xlpm.Site,tblSites[Site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73:INDEX($1:$1048576,ROW(),COLUMN()-1))),_xlpm.Remaining,MAX(0,_xlpm.MaxPts-_xlpm.PriorEnrolled),IF(OR(_xlpm.ActDate="",EOMONTH(L$5,0)&lt;_xlpm.StartDate,_xlpm.Remaining&lt;=0),0,MIN(_xlpm.MonthlyEnroll,_xlpm.Remaining))),0))</f>
        <v/>
      </c>
      <c r="M73" s="9" t="str">
        <f>IF($B73="","",IFERROR(_xlfn.LET(_xlpm.Site,$B73,_xlpm.ActDate,_xlfn.XLOOKUP(_xlpm.Site,#REF!,tblSites[Country],""),_xlpm.ScreenDays,N('Study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73:INDEX($1:$1048576,ROW(),COLUMN()-1))),_xlpm.Remaining,MAX(0,_xlpm.MaxPts-_xlpm.PriorEnrolled),IF(OR(_xlpm.ActDate="",EOMONTH(M$5,0)&lt;_xlpm.StartDate,_xlpm.Remaining&lt;=0),0,MIN(_xlpm.MonthlyEnroll,_xlpm.Remaining))),0))</f>
        <v/>
      </c>
      <c r="N73" s="9" t="str">
        <f>IF($B73="","",IFERROR(_xlfn.LET(_xlpm.Site,$B73,_xlpm.ActDate,_xlfn.XLOOKUP(_xlpm.Site,tblSites[Country],tblSites[Site],""),_xlpm.ScreenDays,N('Study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73:INDEX($1:$1048576,ROW(),COLUMN()-1))),_xlpm.Remaining,MAX(0,_xlpm.MaxPts-_xlpm.PriorEnrolled),IF(OR(_xlpm.ActDate="",EOMONTH(N$5,0)&lt;_xlpm.StartDate,_xlpm.Remaining&lt;=0),0,MIN(_xlpm.MonthlyEnroll,_xlpm.Remaining))),0))</f>
        <v/>
      </c>
      <c r="O73" s="9" t="str">
        <f>IF($B73="","",IFERROR(_xlfn.LET(_xlpm.Site,$B73,_xlpm.ActDate,_xlfn.XLOOKUP(_xlpm.Site,tblSites[Site],tblSites[Site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73:INDEX($1:$1048576,ROW(),COLUMN()-1))),_xlpm.Remaining,MAX(0,_xlpm.MaxPts-_xlpm.PriorEnrolled),IF(OR(_xlpm.ActDate="",EOMONTH(O$5,0)&lt;_xlpm.StartDate,_xlpm.Remaining&lt;=0),0,MIN(_xlpm.MonthlyEnroll,_xlpm.Remaining))),0))</f>
        <v/>
      </c>
      <c r="P73" s="9" t="str">
        <f>IF($B73="","",IFERROR(_xlfn.LET(_xlpm.Site,$B73,_xlpm.ActDate,_xlfn.XLOOKUP(_xlpm.Site,tblSites[Site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73:INDEX($1:$1048576,ROW(),COLUMN()-1))),_xlpm.Remaining,MAX(0,_xlpm.MaxPts-_xlpm.PriorEnrolled),IF(OR(_xlpm.ActDate="",EOMONTH(P$5,0)&lt;_xlpm.StartDate,_xlpm.Remaining&lt;=0),0,MIN(_xlpm.MonthlyEnroll,_xlpm.Remaining))),0))</f>
        <v/>
      </c>
      <c r="Q73" s="9" t="str">
        <f>IF($B73="","",IFERROR(_xlfn.LET(_xlpm.Site,$B73,_xlpm.ActDate,_xlfn.XLOOKUP(_xlpm.Site,tblSites[Monthly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73:INDEX($1:$1048576,ROW(),COLUMN()-1))),_xlpm.Remaining,MAX(0,_xlpm.MaxPts-_xlpm.PriorEnrolled),IF(OR(_xlpm.ActDate="",EOMONTH(Q$5,0)&lt;_xlpm.StartDate,_xlpm.Remaining&lt;=0),0,MIN(_xlpm.MonthlyEnroll,_xlpm.Remaining))),0))</f>
        <v/>
      </c>
      <c r="R73" s="9" t="str">
        <f>IF($B73="","",IFERROR(_xlfn.LET(_xlpm.Site,$B73,_xlpm.ActDate,_xlfn.XLOOKUP(_xlpm.Site,tblSites[Site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73:INDEX($1:$1048576,ROW(),COLUMN()-1))),_xlpm.Remaining,MAX(0,_xlpm.MaxPts-_xlpm.PriorEnrolled),IF(OR(_xlpm.ActDate="",EOMONTH(R$5,0)&lt;_xlpm.StartDate,_xlpm.Remaining&lt;=0),0,MIN(_xlpm.MonthlyEnroll,_xlpm.Remaining))),0))</f>
        <v/>
      </c>
      <c r="S73" s="9" t="str">
        <f>IF($B73="","",IFERROR(_xlfn.LET(_xlpm.Site,$B73,_xlpm.ActDate,_xlfn.XLOOKUP(_xlpm.Site,tblSites[Max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73:INDEX($1:$1048576,ROW(),COLUMN()-1))),_xlpm.Remaining,MAX(0,_xlpm.MaxPts-_xlpm.PriorEnrolled),IF(OR(_xlpm.ActDate="",EOMONTH(S$5,0)&lt;_xlpm.StartDate,_xlpm.Remaining&lt;=0),0,MIN(_xlpm.MonthlyEnroll,_xlpm.Remaining))),0))</f>
        <v/>
      </c>
      <c r="T73" s="9" t="str">
        <f>IF($B73="","",IFERROR(_xlfn.LET(_xlpm.Site,$B73,_xlpm.ActDate,_xlfn.XLOOKUP(_xlpm.Site,tblSites[Current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73:INDEX($1:$1048576,ROW(),COLUMN()-1))),_xlpm.Remaining,MAX(0,_xlpm.MaxPts-_xlpm.PriorEnrolled),IF(OR(_xlpm.ActDate="",EOMONTH(T$5,0)&lt;_xlpm.StartDate,_xlpm.Remaining&lt;=0),0,MIN(_xlpm.MonthlyEnroll,_xlpm.Remaining))),0))</f>
        <v/>
      </c>
      <c r="U73" s="9" t="str">
        <f>IF($B73="","",IFERROR(_xlfn.LET(_xlpm.Site,$B73,_xlpm.ActDate,_xlfn.XLOOKUP(_xlpm.Site,tblSites[Include?],tblSites[Scenario?],""),_xlpm.ScreenDays,N('Study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73:INDEX($1:$1048576,ROW(),COLUMN()-1))),_xlpm.Remaining,MAX(0,_xlpm.MaxPts-_xlpm.PriorEnrolled),IF(OR(_xlpm.ActDate="",EOMONTH(U$5,0)&lt;_xlpm.StartDate,_xlpm.Remaining&lt;=0),0,MIN(_xlpm.MonthlyEnroll,_xlpm.Remaining))),0))</f>
        <v/>
      </c>
      <c r="V73" s="9" t="str">
        <f>IF($B73="","",IFERROR(_xlfn.LET(_xlpm.Site,$B73,_xlpm.ActDate,_xlfn.XLOOKUP(_xlpm.Site,tblSites[Scenario?],tblSites[Check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73:INDEX($1:$1048576,ROW(),COLUMN()-1))),_xlpm.Remaining,MAX(0,_xlpm.MaxPts-_xlpm.PriorEnrolled),IF(OR(_xlpm.ActDate="",EOMONTH(V$5,0)&lt;_xlpm.StartDate,_xlpm.Remaining&lt;=0),0,MIN(_xlpm.MonthlyEnroll,_xlpm.Remaining))),0))</f>
        <v/>
      </c>
      <c r="W73" s="9" t="str">
        <f>IF($B73="","",IFERROR(_xlfn.LET(_xlpm.Site,$B73,_xlpm.ActDate,_xlfn.XLOOKUP(_xlpm.Site,tblSites[Check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73:INDEX($1:$1048576,ROW(),COLUMN()-1))),_xlpm.Remaining,MAX(0,_xlpm.MaxPts-_xlpm.PriorEnrolled),IF(OR(_xlpm.ActDate="",EOMONTH(W$5,0)&lt;_xlpm.StartDate,_xlpm.Remaining&lt;=0),0,MIN(_xlpm.MonthlyEnroll,_xlpm.Remaining))),0))</f>
        <v/>
      </c>
      <c r="X73" s="9" t="str">
        <f>IF($B73="","",IFERROR(_xlfn.LET(_xlpm.Site,$B73,_xlpm.ActDate,_xlfn.XLOOKUP(_xlpm.Site,tblSites[Site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73:INDEX($1:$1048576,ROW(),COLUMN()-1))),_xlpm.Remaining,MAX(0,_xlpm.MaxPts-_xlpm.PriorEnrolled),IF(OR(_xlpm.ActDate="",EOMONTH(X$5,0)&lt;_xlpm.StartDate,_xlpm.Remaining&lt;=0),0,MIN(_xlpm.MonthlyEnroll,_xlpm.Remaining))),0))</f>
        <v/>
      </c>
      <c r="Y73" s="9" t="str">
        <f>IF($B73="","",IFERROR(_xlfn.LET(_xlpm.Site,$B73,_xlpm.ActDate,_xlfn.XLOOKUP(_xlpm.Site,#REF!,tblSites[Country],""),_xlpm.ScreenDays,N('Study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73:INDEX($1:$1048576,ROW(),COLUMN()-1))),_xlpm.Remaining,MAX(0,_xlpm.MaxPts-_xlpm.PriorEnrolled),IF(OR(_xlpm.ActDate="",EOMONTH(Y$5,0)&lt;_xlpm.StartDate,_xlpm.Remaining&lt;=0),0,MIN(_xlpm.MonthlyEnroll,_xlpm.Remaining))),0))</f>
        <v/>
      </c>
      <c r="Z73" s="9" t="str">
        <f>IF($B73="","",IFERROR(_xlfn.LET(_xlpm.Site,$B73,_xlpm.ActDate,_xlfn.XLOOKUP(_xlpm.Site,tblSites[Country],tblSites[Site],""),_xlpm.ScreenDays,N('Study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73:INDEX($1:$1048576,ROW(),COLUMN()-1))),_xlpm.Remaining,MAX(0,_xlpm.MaxPts-_xlpm.PriorEnrolled),IF(OR(_xlpm.ActDate="",EOMONTH(Z$5,0)&lt;_xlpm.StartDate,_xlpm.Remaining&lt;=0),0,MIN(_xlpm.MonthlyEnroll,_xlpm.Remaining))),0))</f>
        <v/>
      </c>
      <c r="AA73" s="9" t="str">
        <f>IF($B73="","",IFERROR(_xlfn.LET(_xlpm.Site,$B73,_xlpm.ActDate,_xlfn.XLOOKUP(_xlpm.Site,tblSites[Site],tblSites[Site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73:INDEX($1:$1048576,ROW(),COLUMN()-1))),_xlpm.Remaining,MAX(0,_xlpm.MaxPts-_xlpm.PriorEnrolled),IF(OR(_xlpm.ActDate="",EOMONTH(AA$5,0)&lt;_xlpm.StartDate,_xlpm.Remaining&lt;=0),0,MIN(_xlpm.MonthlyEnroll,_xlpm.Remaining))),0))</f>
        <v/>
      </c>
      <c r="AB73" s="9" t="str">
        <f>IF($B73="","",IFERROR(_xlfn.LET(_xlpm.Site,$B73,_xlpm.ActDate,_xlfn.XLOOKUP(_xlpm.Site,tblSites[Site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73:INDEX($1:$1048576,ROW(),COLUMN()-1))),_xlpm.Remaining,MAX(0,_xlpm.MaxPts-_xlpm.PriorEnrolled),IF(OR(_xlpm.ActDate="",EOMONTH(AB$5,0)&lt;_xlpm.StartDate,_xlpm.Remaining&lt;=0),0,MIN(_xlpm.MonthlyEnroll,_xlpm.Remaining))),0))</f>
        <v/>
      </c>
      <c r="AC73" s="9" t="str">
        <f>IF($B73="","",IFERROR(_xlfn.LET(_xlpm.Site,$B73,_xlpm.ActDate,_xlfn.XLOOKUP(_xlpm.Site,tblSites[Monthly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73:INDEX($1:$1048576,ROW(),COLUMN()-1))),_xlpm.Remaining,MAX(0,_xlpm.MaxPts-_xlpm.PriorEnrolled),IF(OR(_xlpm.ActDate="",EOMONTH(AC$5,0)&lt;_xlpm.StartDate,_xlpm.Remaining&lt;=0),0,MIN(_xlpm.MonthlyEnroll,_xlpm.Remaining))),0))</f>
        <v/>
      </c>
    </row>
    <row r="74" spans="3:29" x14ac:dyDescent="0.25">
      <c r="C74" s="9" cm="1">
        <f t="array" aca="1" ref="C74" ca="1">IF(C$5&lt;=TODAY(),0,IF($B74="","",IFERROR(_xlfn.LET(_xlpm.Site,$B74,_xlpm.SiteCol,INDIRECT("tblSites[Site]"),_xlpm.ActCol,INDIRECT("tblSites[Site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4" s="9" t="str">
        <f>IF($B74="","",IFERROR(_xlfn.LET(_xlpm.Site,$B74,_xlpm.ActDate,_xlfn.XLOOKUP(_xlpm.Site,tblSites[Site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74:INDEX($1:$1048576,ROW(),COLUMN()-1))),_xlpm.Remaining,MAX(0,_xlpm.MaxPts-_xlpm.PriorEnrolled),IF(OR(_xlpm.ActDate="",EOMONTH(D$5,0)&lt;_xlpm.StartDate,_xlpm.Remaining&lt;=0),0,MIN(_xlpm.MonthlyEnroll,_xlpm.Remaining))),0))</f>
        <v/>
      </c>
      <c r="E74" s="9" t="str">
        <f>IF($B74="","",IFERROR(_xlfn.LET(_xlpm.Site,$B74,_xlpm.ActDate,_xlfn.XLOOKUP(_xlpm.Site,tblSites[Monthly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74:INDEX($1:$1048576,ROW(),COLUMN()-1))),_xlpm.Remaining,MAX(0,_xlpm.MaxPts-_xlpm.PriorEnrolled),IF(OR(_xlpm.ActDate="",EOMONTH(E$5,0)&lt;_xlpm.StartDate,_xlpm.Remaining&lt;=0),0,MIN(_xlpm.MonthlyEnroll,_xlpm.Remaining))),0))</f>
        <v/>
      </c>
      <c r="F74" s="9" t="str">
        <f>IF($B74="","",IFERROR(_xlfn.LET(_xlpm.Site,$B74,_xlpm.ActDate,_xlfn.XLOOKUP(_xlpm.Site,tblSites[Site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74:INDEX($1:$1048576,ROW(),COLUMN()-1))),_xlpm.Remaining,MAX(0,_xlpm.MaxPts-_xlpm.PriorEnrolled),IF(OR(_xlpm.ActDate="",EOMONTH(F$5,0)&lt;_xlpm.StartDate,_xlpm.Remaining&lt;=0),0,MIN(_xlpm.MonthlyEnroll,_xlpm.Remaining))),0))</f>
        <v/>
      </c>
      <c r="G74" s="9" t="str">
        <f>IF($B74="","",IFERROR(_xlfn.LET(_xlpm.Site,$B74,_xlpm.ActDate,_xlfn.XLOOKUP(_xlpm.Site,tblSites[Max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74:INDEX($1:$1048576,ROW(),COLUMN()-1))),_xlpm.Remaining,MAX(0,_xlpm.MaxPts-_xlpm.PriorEnrolled),IF(OR(_xlpm.ActDate="",EOMONTH(G$5,0)&lt;_xlpm.StartDate,_xlpm.Remaining&lt;=0),0,MIN(_xlpm.MonthlyEnroll,_xlpm.Remaining))),0))</f>
        <v/>
      </c>
      <c r="H74" s="9" t="str">
        <f>IF($B74="","",IFERROR(_xlfn.LET(_xlpm.Site,$B74,_xlpm.ActDate,_xlfn.XLOOKUP(_xlpm.Site,tblSites[Current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74:INDEX($1:$1048576,ROW(),COLUMN()-1))),_xlpm.Remaining,MAX(0,_xlpm.MaxPts-_xlpm.PriorEnrolled),IF(OR(_xlpm.ActDate="",EOMONTH(H$5,0)&lt;_xlpm.StartDate,_xlpm.Remaining&lt;=0),0,MIN(_xlpm.MonthlyEnroll,_xlpm.Remaining))),0))</f>
        <v/>
      </c>
      <c r="I74" s="9" t="str">
        <f>IF($B74="","",IFERROR(_xlfn.LET(_xlpm.Site,$B74,_xlpm.ActDate,_xlfn.XLOOKUP(_xlpm.Site,tblSites[Include?],tblSites[Scenario?],""),_xlpm.ScreenDays,N('Study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74:INDEX($1:$1048576,ROW(),COLUMN()-1))),_xlpm.Remaining,MAX(0,_xlpm.MaxPts-_xlpm.PriorEnrolled),IF(OR(_xlpm.ActDate="",EOMONTH(I$5,0)&lt;_xlpm.StartDate,_xlpm.Remaining&lt;=0),0,MIN(_xlpm.MonthlyEnroll,_xlpm.Remaining))),0))</f>
        <v/>
      </c>
      <c r="J74" s="9" t="str">
        <f>IF($B74="","",IFERROR(_xlfn.LET(_xlpm.Site,$B74,_xlpm.ActDate,_xlfn.XLOOKUP(_xlpm.Site,tblSites[Scenario?],tblSites[Check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74:INDEX($1:$1048576,ROW(),COLUMN()-1))),_xlpm.Remaining,MAX(0,_xlpm.MaxPts-_xlpm.PriorEnrolled),IF(OR(_xlpm.ActDate="",EOMONTH(J$5,0)&lt;_xlpm.StartDate,_xlpm.Remaining&lt;=0),0,MIN(_xlpm.MonthlyEnroll,_xlpm.Remaining))),0))</f>
        <v/>
      </c>
      <c r="K74" s="9" t="str">
        <f>IF($B74="","",IFERROR(_xlfn.LET(_xlpm.Site,$B74,_xlpm.ActDate,_xlfn.XLOOKUP(_xlpm.Site,tblSites[Check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74:INDEX($1:$1048576,ROW(),COLUMN()-1))),_xlpm.Remaining,MAX(0,_xlpm.MaxPts-_xlpm.PriorEnrolled),IF(OR(_xlpm.ActDate="",EOMONTH(K$5,0)&lt;_xlpm.StartDate,_xlpm.Remaining&lt;=0),0,MIN(_xlpm.MonthlyEnroll,_xlpm.Remaining))),0))</f>
        <v/>
      </c>
      <c r="L74" s="9" t="str">
        <f>IF($B74="","",IFERROR(_xlfn.LET(_xlpm.Site,$B74,_xlpm.ActDate,_xlfn.XLOOKUP(_xlpm.Site,tblSites[Site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74:INDEX($1:$1048576,ROW(),COLUMN()-1))),_xlpm.Remaining,MAX(0,_xlpm.MaxPts-_xlpm.PriorEnrolled),IF(OR(_xlpm.ActDate="",EOMONTH(L$5,0)&lt;_xlpm.StartDate,_xlpm.Remaining&lt;=0),0,MIN(_xlpm.MonthlyEnroll,_xlpm.Remaining))),0))</f>
        <v/>
      </c>
      <c r="M74" s="9" t="str">
        <f>IF($B74="","",IFERROR(_xlfn.LET(_xlpm.Site,$B74,_xlpm.ActDate,_xlfn.XLOOKUP(_xlpm.Site,#REF!,tblSites[Country],""),_xlpm.ScreenDays,N('Study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74:INDEX($1:$1048576,ROW(),COLUMN()-1))),_xlpm.Remaining,MAX(0,_xlpm.MaxPts-_xlpm.PriorEnrolled),IF(OR(_xlpm.ActDate="",EOMONTH(M$5,0)&lt;_xlpm.StartDate,_xlpm.Remaining&lt;=0),0,MIN(_xlpm.MonthlyEnroll,_xlpm.Remaining))),0))</f>
        <v/>
      </c>
      <c r="N74" s="9" t="str">
        <f>IF($B74="","",IFERROR(_xlfn.LET(_xlpm.Site,$B74,_xlpm.ActDate,_xlfn.XLOOKUP(_xlpm.Site,tblSites[Country],tblSites[Site],""),_xlpm.ScreenDays,N('Study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74:INDEX($1:$1048576,ROW(),COLUMN()-1))),_xlpm.Remaining,MAX(0,_xlpm.MaxPts-_xlpm.PriorEnrolled),IF(OR(_xlpm.ActDate="",EOMONTH(N$5,0)&lt;_xlpm.StartDate,_xlpm.Remaining&lt;=0),0,MIN(_xlpm.MonthlyEnroll,_xlpm.Remaining))),0))</f>
        <v/>
      </c>
      <c r="O74" s="9" t="str">
        <f>IF($B74="","",IFERROR(_xlfn.LET(_xlpm.Site,$B74,_xlpm.ActDate,_xlfn.XLOOKUP(_xlpm.Site,tblSites[Site],tblSites[Site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74:INDEX($1:$1048576,ROW(),COLUMN()-1))),_xlpm.Remaining,MAX(0,_xlpm.MaxPts-_xlpm.PriorEnrolled),IF(OR(_xlpm.ActDate="",EOMONTH(O$5,0)&lt;_xlpm.StartDate,_xlpm.Remaining&lt;=0),0,MIN(_xlpm.MonthlyEnroll,_xlpm.Remaining))),0))</f>
        <v/>
      </c>
      <c r="P74" s="9" t="str">
        <f>IF($B74="","",IFERROR(_xlfn.LET(_xlpm.Site,$B74,_xlpm.ActDate,_xlfn.XLOOKUP(_xlpm.Site,tblSites[Site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74:INDEX($1:$1048576,ROW(),COLUMN()-1))),_xlpm.Remaining,MAX(0,_xlpm.MaxPts-_xlpm.PriorEnrolled),IF(OR(_xlpm.ActDate="",EOMONTH(P$5,0)&lt;_xlpm.StartDate,_xlpm.Remaining&lt;=0),0,MIN(_xlpm.MonthlyEnroll,_xlpm.Remaining))),0))</f>
        <v/>
      </c>
      <c r="Q74" s="9" t="str">
        <f>IF($B74="","",IFERROR(_xlfn.LET(_xlpm.Site,$B74,_xlpm.ActDate,_xlfn.XLOOKUP(_xlpm.Site,tblSites[Monthly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74:INDEX($1:$1048576,ROW(),COLUMN()-1))),_xlpm.Remaining,MAX(0,_xlpm.MaxPts-_xlpm.PriorEnrolled),IF(OR(_xlpm.ActDate="",EOMONTH(Q$5,0)&lt;_xlpm.StartDate,_xlpm.Remaining&lt;=0),0,MIN(_xlpm.MonthlyEnroll,_xlpm.Remaining))),0))</f>
        <v/>
      </c>
      <c r="R74" s="9" t="str">
        <f>IF($B74="","",IFERROR(_xlfn.LET(_xlpm.Site,$B74,_xlpm.ActDate,_xlfn.XLOOKUP(_xlpm.Site,tblSites[Site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74:INDEX($1:$1048576,ROW(),COLUMN()-1))),_xlpm.Remaining,MAX(0,_xlpm.MaxPts-_xlpm.PriorEnrolled),IF(OR(_xlpm.ActDate="",EOMONTH(R$5,0)&lt;_xlpm.StartDate,_xlpm.Remaining&lt;=0),0,MIN(_xlpm.MonthlyEnroll,_xlpm.Remaining))),0))</f>
        <v/>
      </c>
      <c r="S74" s="9" t="str">
        <f>IF($B74="","",IFERROR(_xlfn.LET(_xlpm.Site,$B74,_xlpm.ActDate,_xlfn.XLOOKUP(_xlpm.Site,tblSites[Max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74:INDEX($1:$1048576,ROW(),COLUMN()-1))),_xlpm.Remaining,MAX(0,_xlpm.MaxPts-_xlpm.PriorEnrolled),IF(OR(_xlpm.ActDate="",EOMONTH(S$5,0)&lt;_xlpm.StartDate,_xlpm.Remaining&lt;=0),0,MIN(_xlpm.MonthlyEnroll,_xlpm.Remaining))),0))</f>
        <v/>
      </c>
      <c r="T74" s="9" t="str">
        <f>IF($B74="","",IFERROR(_xlfn.LET(_xlpm.Site,$B74,_xlpm.ActDate,_xlfn.XLOOKUP(_xlpm.Site,tblSites[Current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74:INDEX($1:$1048576,ROW(),COLUMN()-1))),_xlpm.Remaining,MAX(0,_xlpm.MaxPts-_xlpm.PriorEnrolled),IF(OR(_xlpm.ActDate="",EOMONTH(T$5,0)&lt;_xlpm.StartDate,_xlpm.Remaining&lt;=0),0,MIN(_xlpm.MonthlyEnroll,_xlpm.Remaining))),0))</f>
        <v/>
      </c>
      <c r="U74" s="9" t="str">
        <f>IF($B74="","",IFERROR(_xlfn.LET(_xlpm.Site,$B74,_xlpm.ActDate,_xlfn.XLOOKUP(_xlpm.Site,tblSites[Include?],tblSites[Scenario?],""),_xlpm.ScreenDays,N('Study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74:INDEX($1:$1048576,ROW(),COLUMN()-1))),_xlpm.Remaining,MAX(0,_xlpm.MaxPts-_xlpm.PriorEnrolled),IF(OR(_xlpm.ActDate="",EOMONTH(U$5,0)&lt;_xlpm.StartDate,_xlpm.Remaining&lt;=0),0,MIN(_xlpm.MonthlyEnroll,_xlpm.Remaining))),0))</f>
        <v/>
      </c>
      <c r="V74" s="9" t="str">
        <f>IF($B74="","",IFERROR(_xlfn.LET(_xlpm.Site,$B74,_xlpm.ActDate,_xlfn.XLOOKUP(_xlpm.Site,tblSites[Scenario?],tblSites[Check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74:INDEX($1:$1048576,ROW(),COLUMN()-1))),_xlpm.Remaining,MAX(0,_xlpm.MaxPts-_xlpm.PriorEnrolled),IF(OR(_xlpm.ActDate="",EOMONTH(V$5,0)&lt;_xlpm.StartDate,_xlpm.Remaining&lt;=0),0,MIN(_xlpm.MonthlyEnroll,_xlpm.Remaining))),0))</f>
        <v/>
      </c>
      <c r="W74" s="9" t="str">
        <f>IF($B74="","",IFERROR(_xlfn.LET(_xlpm.Site,$B74,_xlpm.ActDate,_xlfn.XLOOKUP(_xlpm.Site,tblSites[Check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74:INDEX($1:$1048576,ROW(),COLUMN()-1))),_xlpm.Remaining,MAX(0,_xlpm.MaxPts-_xlpm.PriorEnrolled),IF(OR(_xlpm.ActDate="",EOMONTH(W$5,0)&lt;_xlpm.StartDate,_xlpm.Remaining&lt;=0),0,MIN(_xlpm.MonthlyEnroll,_xlpm.Remaining))),0))</f>
        <v/>
      </c>
      <c r="X74" s="9" t="str">
        <f>IF($B74="","",IFERROR(_xlfn.LET(_xlpm.Site,$B74,_xlpm.ActDate,_xlfn.XLOOKUP(_xlpm.Site,tblSites[Site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74:INDEX($1:$1048576,ROW(),COLUMN()-1))),_xlpm.Remaining,MAX(0,_xlpm.MaxPts-_xlpm.PriorEnrolled),IF(OR(_xlpm.ActDate="",EOMONTH(X$5,0)&lt;_xlpm.StartDate,_xlpm.Remaining&lt;=0),0,MIN(_xlpm.MonthlyEnroll,_xlpm.Remaining))),0))</f>
        <v/>
      </c>
      <c r="Y74" s="9" t="str">
        <f>IF($B74="","",IFERROR(_xlfn.LET(_xlpm.Site,$B74,_xlpm.ActDate,_xlfn.XLOOKUP(_xlpm.Site,#REF!,tblSites[Country],""),_xlpm.ScreenDays,N('Study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74:INDEX($1:$1048576,ROW(),COLUMN()-1))),_xlpm.Remaining,MAX(0,_xlpm.MaxPts-_xlpm.PriorEnrolled),IF(OR(_xlpm.ActDate="",EOMONTH(Y$5,0)&lt;_xlpm.StartDate,_xlpm.Remaining&lt;=0),0,MIN(_xlpm.MonthlyEnroll,_xlpm.Remaining))),0))</f>
        <v/>
      </c>
      <c r="Z74" s="9" t="str">
        <f>IF($B74="","",IFERROR(_xlfn.LET(_xlpm.Site,$B74,_xlpm.ActDate,_xlfn.XLOOKUP(_xlpm.Site,tblSites[Country],tblSites[Site],""),_xlpm.ScreenDays,N('Study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74:INDEX($1:$1048576,ROW(),COLUMN()-1))),_xlpm.Remaining,MAX(0,_xlpm.MaxPts-_xlpm.PriorEnrolled),IF(OR(_xlpm.ActDate="",EOMONTH(Z$5,0)&lt;_xlpm.StartDate,_xlpm.Remaining&lt;=0),0,MIN(_xlpm.MonthlyEnroll,_xlpm.Remaining))),0))</f>
        <v/>
      </c>
      <c r="AA74" s="9" t="str">
        <f>IF($B74="","",IFERROR(_xlfn.LET(_xlpm.Site,$B74,_xlpm.ActDate,_xlfn.XLOOKUP(_xlpm.Site,tblSites[Site],tblSites[Site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74:INDEX($1:$1048576,ROW(),COLUMN()-1))),_xlpm.Remaining,MAX(0,_xlpm.MaxPts-_xlpm.PriorEnrolled),IF(OR(_xlpm.ActDate="",EOMONTH(AA$5,0)&lt;_xlpm.StartDate,_xlpm.Remaining&lt;=0),0,MIN(_xlpm.MonthlyEnroll,_xlpm.Remaining))),0))</f>
        <v/>
      </c>
      <c r="AB74" s="9" t="str">
        <f>IF($B74="","",IFERROR(_xlfn.LET(_xlpm.Site,$B74,_xlpm.ActDate,_xlfn.XLOOKUP(_xlpm.Site,tblSites[Site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74:INDEX($1:$1048576,ROW(),COLUMN()-1))),_xlpm.Remaining,MAX(0,_xlpm.MaxPts-_xlpm.PriorEnrolled),IF(OR(_xlpm.ActDate="",EOMONTH(AB$5,0)&lt;_xlpm.StartDate,_xlpm.Remaining&lt;=0),0,MIN(_xlpm.MonthlyEnroll,_xlpm.Remaining))),0))</f>
        <v/>
      </c>
      <c r="AC74" s="9" t="str">
        <f>IF($B74="","",IFERROR(_xlfn.LET(_xlpm.Site,$B74,_xlpm.ActDate,_xlfn.XLOOKUP(_xlpm.Site,tblSites[Monthly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74:INDEX($1:$1048576,ROW(),COLUMN()-1))),_xlpm.Remaining,MAX(0,_xlpm.MaxPts-_xlpm.PriorEnrolled),IF(OR(_xlpm.ActDate="",EOMONTH(AC$5,0)&lt;_xlpm.StartDate,_xlpm.Remaining&lt;=0),0,MIN(_xlpm.MonthlyEnroll,_xlpm.Remaining))),0))</f>
        <v/>
      </c>
    </row>
    <row r="75" spans="3:29" x14ac:dyDescent="0.25">
      <c r="C75" s="9" cm="1">
        <f t="array" aca="1" ref="C75" ca="1">IF(C$5&lt;=TODAY(),0,IF($B75="","",IFERROR(_xlfn.LET(_xlpm.Site,$B75,_xlpm.SiteCol,INDIRECT("tblSites[Site]"),_xlpm.ActCol,INDIRECT("tblSites[Site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5" s="9" t="str">
        <f>IF($B75="","",IFERROR(_xlfn.LET(_xlpm.Site,$B75,_xlpm.ActDate,_xlfn.XLOOKUP(_xlpm.Site,tblSites[Site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75:INDEX($1:$1048576,ROW(),COLUMN()-1))),_xlpm.Remaining,MAX(0,_xlpm.MaxPts-_xlpm.PriorEnrolled),IF(OR(_xlpm.ActDate="",EOMONTH(D$5,0)&lt;_xlpm.StartDate,_xlpm.Remaining&lt;=0),0,MIN(_xlpm.MonthlyEnroll,_xlpm.Remaining))),0))</f>
        <v/>
      </c>
      <c r="E75" s="9" t="str">
        <f>IF($B75="","",IFERROR(_xlfn.LET(_xlpm.Site,$B75,_xlpm.ActDate,_xlfn.XLOOKUP(_xlpm.Site,tblSites[Monthly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75:INDEX($1:$1048576,ROW(),COLUMN()-1))),_xlpm.Remaining,MAX(0,_xlpm.MaxPts-_xlpm.PriorEnrolled),IF(OR(_xlpm.ActDate="",EOMONTH(E$5,0)&lt;_xlpm.StartDate,_xlpm.Remaining&lt;=0),0,MIN(_xlpm.MonthlyEnroll,_xlpm.Remaining))),0))</f>
        <v/>
      </c>
      <c r="F75" s="9" t="str">
        <f>IF($B75="","",IFERROR(_xlfn.LET(_xlpm.Site,$B75,_xlpm.ActDate,_xlfn.XLOOKUP(_xlpm.Site,tblSites[Site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75:INDEX($1:$1048576,ROW(),COLUMN()-1))),_xlpm.Remaining,MAX(0,_xlpm.MaxPts-_xlpm.PriorEnrolled),IF(OR(_xlpm.ActDate="",EOMONTH(F$5,0)&lt;_xlpm.StartDate,_xlpm.Remaining&lt;=0),0,MIN(_xlpm.MonthlyEnroll,_xlpm.Remaining))),0))</f>
        <v/>
      </c>
      <c r="G75" s="9" t="str">
        <f>IF($B75="","",IFERROR(_xlfn.LET(_xlpm.Site,$B75,_xlpm.ActDate,_xlfn.XLOOKUP(_xlpm.Site,tblSites[Max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75:INDEX($1:$1048576,ROW(),COLUMN()-1))),_xlpm.Remaining,MAX(0,_xlpm.MaxPts-_xlpm.PriorEnrolled),IF(OR(_xlpm.ActDate="",EOMONTH(G$5,0)&lt;_xlpm.StartDate,_xlpm.Remaining&lt;=0),0,MIN(_xlpm.MonthlyEnroll,_xlpm.Remaining))),0))</f>
        <v/>
      </c>
      <c r="H75" s="9" t="str">
        <f>IF($B75="","",IFERROR(_xlfn.LET(_xlpm.Site,$B75,_xlpm.ActDate,_xlfn.XLOOKUP(_xlpm.Site,tblSites[Current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75:INDEX($1:$1048576,ROW(),COLUMN()-1))),_xlpm.Remaining,MAX(0,_xlpm.MaxPts-_xlpm.PriorEnrolled),IF(OR(_xlpm.ActDate="",EOMONTH(H$5,0)&lt;_xlpm.StartDate,_xlpm.Remaining&lt;=0),0,MIN(_xlpm.MonthlyEnroll,_xlpm.Remaining))),0))</f>
        <v/>
      </c>
      <c r="I75" s="9" t="str">
        <f>IF($B75="","",IFERROR(_xlfn.LET(_xlpm.Site,$B75,_xlpm.ActDate,_xlfn.XLOOKUP(_xlpm.Site,tblSites[Include?],tblSites[Scenario?],""),_xlpm.ScreenDays,N('Study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75:INDEX($1:$1048576,ROW(),COLUMN()-1))),_xlpm.Remaining,MAX(0,_xlpm.MaxPts-_xlpm.PriorEnrolled),IF(OR(_xlpm.ActDate="",EOMONTH(I$5,0)&lt;_xlpm.StartDate,_xlpm.Remaining&lt;=0),0,MIN(_xlpm.MonthlyEnroll,_xlpm.Remaining))),0))</f>
        <v/>
      </c>
      <c r="J75" s="9" t="str">
        <f>IF($B75="","",IFERROR(_xlfn.LET(_xlpm.Site,$B75,_xlpm.ActDate,_xlfn.XLOOKUP(_xlpm.Site,tblSites[Scenario?],tblSites[Check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75:INDEX($1:$1048576,ROW(),COLUMN()-1))),_xlpm.Remaining,MAX(0,_xlpm.MaxPts-_xlpm.PriorEnrolled),IF(OR(_xlpm.ActDate="",EOMONTH(J$5,0)&lt;_xlpm.StartDate,_xlpm.Remaining&lt;=0),0,MIN(_xlpm.MonthlyEnroll,_xlpm.Remaining))),0))</f>
        <v/>
      </c>
      <c r="K75" s="9" t="str">
        <f>IF($B75="","",IFERROR(_xlfn.LET(_xlpm.Site,$B75,_xlpm.ActDate,_xlfn.XLOOKUP(_xlpm.Site,tblSites[Check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75:INDEX($1:$1048576,ROW(),COLUMN()-1))),_xlpm.Remaining,MAX(0,_xlpm.MaxPts-_xlpm.PriorEnrolled),IF(OR(_xlpm.ActDate="",EOMONTH(K$5,0)&lt;_xlpm.StartDate,_xlpm.Remaining&lt;=0),0,MIN(_xlpm.MonthlyEnroll,_xlpm.Remaining))),0))</f>
        <v/>
      </c>
      <c r="L75" s="9" t="str">
        <f>IF($B75="","",IFERROR(_xlfn.LET(_xlpm.Site,$B75,_xlpm.ActDate,_xlfn.XLOOKUP(_xlpm.Site,tblSites[Site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75:INDEX($1:$1048576,ROW(),COLUMN()-1))),_xlpm.Remaining,MAX(0,_xlpm.MaxPts-_xlpm.PriorEnrolled),IF(OR(_xlpm.ActDate="",EOMONTH(L$5,0)&lt;_xlpm.StartDate,_xlpm.Remaining&lt;=0),0,MIN(_xlpm.MonthlyEnroll,_xlpm.Remaining))),0))</f>
        <v/>
      </c>
      <c r="M75" s="9" t="str">
        <f>IF($B75="","",IFERROR(_xlfn.LET(_xlpm.Site,$B75,_xlpm.ActDate,_xlfn.XLOOKUP(_xlpm.Site,#REF!,tblSites[Country],""),_xlpm.ScreenDays,N('Study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75:INDEX($1:$1048576,ROW(),COLUMN()-1))),_xlpm.Remaining,MAX(0,_xlpm.MaxPts-_xlpm.PriorEnrolled),IF(OR(_xlpm.ActDate="",EOMONTH(M$5,0)&lt;_xlpm.StartDate,_xlpm.Remaining&lt;=0),0,MIN(_xlpm.MonthlyEnroll,_xlpm.Remaining))),0))</f>
        <v/>
      </c>
      <c r="N75" s="9" t="str">
        <f>IF($B75="","",IFERROR(_xlfn.LET(_xlpm.Site,$B75,_xlpm.ActDate,_xlfn.XLOOKUP(_xlpm.Site,tblSites[Country],tblSites[Site],""),_xlpm.ScreenDays,N('Study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75:INDEX($1:$1048576,ROW(),COLUMN()-1))),_xlpm.Remaining,MAX(0,_xlpm.MaxPts-_xlpm.PriorEnrolled),IF(OR(_xlpm.ActDate="",EOMONTH(N$5,0)&lt;_xlpm.StartDate,_xlpm.Remaining&lt;=0),0,MIN(_xlpm.MonthlyEnroll,_xlpm.Remaining))),0))</f>
        <v/>
      </c>
      <c r="O75" s="9" t="str">
        <f>IF($B75="","",IFERROR(_xlfn.LET(_xlpm.Site,$B75,_xlpm.ActDate,_xlfn.XLOOKUP(_xlpm.Site,tblSites[Site],tblSites[Site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75:INDEX($1:$1048576,ROW(),COLUMN()-1))),_xlpm.Remaining,MAX(0,_xlpm.MaxPts-_xlpm.PriorEnrolled),IF(OR(_xlpm.ActDate="",EOMONTH(O$5,0)&lt;_xlpm.StartDate,_xlpm.Remaining&lt;=0),0,MIN(_xlpm.MonthlyEnroll,_xlpm.Remaining))),0))</f>
        <v/>
      </c>
      <c r="P75" s="9" t="str">
        <f>IF($B75="","",IFERROR(_xlfn.LET(_xlpm.Site,$B75,_xlpm.ActDate,_xlfn.XLOOKUP(_xlpm.Site,tblSites[Site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75:INDEX($1:$1048576,ROW(),COLUMN()-1))),_xlpm.Remaining,MAX(0,_xlpm.MaxPts-_xlpm.PriorEnrolled),IF(OR(_xlpm.ActDate="",EOMONTH(P$5,0)&lt;_xlpm.StartDate,_xlpm.Remaining&lt;=0),0,MIN(_xlpm.MonthlyEnroll,_xlpm.Remaining))),0))</f>
        <v/>
      </c>
      <c r="Q75" s="9" t="str">
        <f>IF($B75="","",IFERROR(_xlfn.LET(_xlpm.Site,$B75,_xlpm.ActDate,_xlfn.XLOOKUP(_xlpm.Site,tblSites[Monthly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75:INDEX($1:$1048576,ROW(),COLUMN()-1))),_xlpm.Remaining,MAX(0,_xlpm.MaxPts-_xlpm.PriorEnrolled),IF(OR(_xlpm.ActDate="",EOMONTH(Q$5,0)&lt;_xlpm.StartDate,_xlpm.Remaining&lt;=0),0,MIN(_xlpm.MonthlyEnroll,_xlpm.Remaining))),0))</f>
        <v/>
      </c>
      <c r="R75" s="9" t="str">
        <f>IF($B75="","",IFERROR(_xlfn.LET(_xlpm.Site,$B75,_xlpm.ActDate,_xlfn.XLOOKUP(_xlpm.Site,tblSites[Site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75:INDEX($1:$1048576,ROW(),COLUMN()-1))),_xlpm.Remaining,MAX(0,_xlpm.MaxPts-_xlpm.PriorEnrolled),IF(OR(_xlpm.ActDate="",EOMONTH(R$5,0)&lt;_xlpm.StartDate,_xlpm.Remaining&lt;=0),0,MIN(_xlpm.MonthlyEnroll,_xlpm.Remaining))),0))</f>
        <v/>
      </c>
      <c r="S75" s="9" t="str">
        <f>IF($B75="","",IFERROR(_xlfn.LET(_xlpm.Site,$B75,_xlpm.ActDate,_xlfn.XLOOKUP(_xlpm.Site,tblSites[Max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75:INDEX($1:$1048576,ROW(),COLUMN()-1))),_xlpm.Remaining,MAX(0,_xlpm.MaxPts-_xlpm.PriorEnrolled),IF(OR(_xlpm.ActDate="",EOMONTH(S$5,0)&lt;_xlpm.StartDate,_xlpm.Remaining&lt;=0),0,MIN(_xlpm.MonthlyEnroll,_xlpm.Remaining))),0))</f>
        <v/>
      </c>
      <c r="T75" s="9" t="str">
        <f>IF($B75="","",IFERROR(_xlfn.LET(_xlpm.Site,$B75,_xlpm.ActDate,_xlfn.XLOOKUP(_xlpm.Site,tblSites[Current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75:INDEX($1:$1048576,ROW(),COLUMN()-1))),_xlpm.Remaining,MAX(0,_xlpm.MaxPts-_xlpm.PriorEnrolled),IF(OR(_xlpm.ActDate="",EOMONTH(T$5,0)&lt;_xlpm.StartDate,_xlpm.Remaining&lt;=0),0,MIN(_xlpm.MonthlyEnroll,_xlpm.Remaining))),0))</f>
        <v/>
      </c>
      <c r="U75" s="9" t="str">
        <f>IF($B75="","",IFERROR(_xlfn.LET(_xlpm.Site,$B75,_xlpm.ActDate,_xlfn.XLOOKUP(_xlpm.Site,tblSites[Include?],tblSites[Scenario?],""),_xlpm.ScreenDays,N('Study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75:INDEX($1:$1048576,ROW(),COLUMN()-1))),_xlpm.Remaining,MAX(0,_xlpm.MaxPts-_xlpm.PriorEnrolled),IF(OR(_xlpm.ActDate="",EOMONTH(U$5,0)&lt;_xlpm.StartDate,_xlpm.Remaining&lt;=0),0,MIN(_xlpm.MonthlyEnroll,_xlpm.Remaining))),0))</f>
        <v/>
      </c>
      <c r="V75" s="9" t="str">
        <f>IF($B75="","",IFERROR(_xlfn.LET(_xlpm.Site,$B75,_xlpm.ActDate,_xlfn.XLOOKUP(_xlpm.Site,tblSites[Scenario?],tblSites[Check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75:INDEX($1:$1048576,ROW(),COLUMN()-1))),_xlpm.Remaining,MAX(0,_xlpm.MaxPts-_xlpm.PriorEnrolled),IF(OR(_xlpm.ActDate="",EOMONTH(V$5,0)&lt;_xlpm.StartDate,_xlpm.Remaining&lt;=0),0,MIN(_xlpm.MonthlyEnroll,_xlpm.Remaining))),0))</f>
        <v/>
      </c>
      <c r="W75" s="9" t="str">
        <f>IF($B75="","",IFERROR(_xlfn.LET(_xlpm.Site,$B75,_xlpm.ActDate,_xlfn.XLOOKUP(_xlpm.Site,tblSites[Check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75:INDEX($1:$1048576,ROW(),COLUMN()-1))),_xlpm.Remaining,MAX(0,_xlpm.MaxPts-_xlpm.PriorEnrolled),IF(OR(_xlpm.ActDate="",EOMONTH(W$5,0)&lt;_xlpm.StartDate,_xlpm.Remaining&lt;=0),0,MIN(_xlpm.MonthlyEnroll,_xlpm.Remaining))),0))</f>
        <v/>
      </c>
      <c r="X75" s="9" t="str">
        <f>IF($B75="","",IFERROR(_xlfn.LET(_xlpm.Site,$B75,_xlpm.ActDate,_xlfn.XLOOKUP(_xlpm.Site,tblSites[Site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75:INDEX($1:$1048576,ROW(),COLUMN()-1))),_xlpm.Remaining,MAX(0,_xlpm.MaxPts-_xlpm.PriorEnrolled),IF(OR(_xlpm.ActDate="",EOMONTH(X$5,0)&lt;_xlpm.StartDate,_xlpm.Remaining&lt;=0),0,MIN(_xlpm.MonthlyEnroll,_xlpm.Remaining))),0))</f>
        <v/>
      </c>
      <c r="Y75" s="9" t="str">
        <f>IF($B75="","",IFERROR(_xlfn.LET(_xlpm.Site,$B75,_xlpm.ActDate,_xlfn.XLOOKUP(_xlpm.Site,#REF!,tblSites[Country],""),_xlpm.ScreenDays,N('Study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75:INDEX($1:$1048576,ROW(),COLUMN()-1))),_xlpm.Remaining,MAX(0,_xlpm.MaxPts-_xlpm.PriorEnrolled),IF(OR(_xlpm.ActDate="",EOMONTH(Y$5,0)&lt;_xlpm.StartDate,_xlpm.Remaining&lt;=0),0,MIN(_xlpm.MonthlyEnroll,_xlpm.Remaining))),0))</f>
        <v/>
      </c>
      <c r="Z75" s="9" t="str">
        <f>IF($B75="","",IFERROR(_xlfn.LET(_xlpm.Site,$B75,_xlpm.ActDate,_xlfn.XLOOKUP(_xlpm.Site,tblSites[Country],tblSites[Site],""),_xlpm.ScreenDays,N('Study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75:INDEX($1:$1048576,ROW(),COLUMN()-1))),_xlpm.Remaining,MAX(0,_xlpm.MaxPts-_xlpm.PriorEnrolled),IF(OR(_xlpm.ActDate="",EOMONTH(Z$5,0)&lt;_xlpm.StartDate,_xlpm.Remaining&lt;=0),0,MIN(_xlpm.MonthlyEnroll,_xlpm.Remaining))),0))</f>
        <v/>
      </c>
      <c r="AA75" s="9" t="str">
        <f>IF($B75="","",IFERROR(_xlfn.LET(_xlpm.Site,$B75,_xlpm.ActDate,_xlfn.XLOOKUP(_xlpm.Site,tblSites[Site],tblSites[Site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75:INDEX($1:$1048576,ROW(),COLUMN()-1))),_xlpm.Remaining,MAX(0,_xlpm.MaxPts-_xlpm.PriorEnrolled),IF(OR(_xlpm.ActDate="",EOMONTH(AA$5,0)&lt;_xlpm.StartDate,_xlpm.Remaining&lt;=0),0,MIN(_xlpm.MonthlyEnroll,_xlpm.Remaining))),0))</f>
        <v/>
      </c>
      <c r="AB75" s="9" t="str">
        <f>IF($B75="","",IFERROR(_xlfn.LET(_xlpm.Site,$B75,_xlpm.ActDate,_xlfn.XLOOKUP(_xlpm.Site,tblSites[Site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75:INDEX($1:$1048576,ROW(),COLUMN()-1))),_xlpm.Remaining,MAX(0,_xlpm.MaxPts-_xlpm.PriorEnrolled),IF(OR(_xlpm.ActDate="",EOMONTH(AB$5,0)&lt;_xlpm.StartDate,_xlpm.Remaining&lt;=0),0,MIN(_xlpm.MonthlyEnroll,_xlpm.Remaining))),0))</f>
        <v/>
      </c>
      <c r="AC75" s="9" t="str">
        <f>IF($B75="","",IFERROR(_xlfn.LET(_xlpm.Site,$B75,_xlpm.ActDate,_xlfn.XLOOKUP(_xlpm.Site,tblSites[Monthly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75:INDEX($1:$1048576,ROW(),COLUMN()-1))),_xlpm.Remaining,MAX(0,_xlpm.MaxPts-_xlpm.PriorEnrolled),IF(OR(_xlpm.ActDate="",EOMONTH(AC$5,0)&lt;_xlpm.StartDate,_xlpm.Remaining&lt;=0),0,MIN(_xlpm.MonthlyEnroll,_xlpm.Remaining))),0))</f>
        <v/>
      </c>
    </row>
    <row r="76" spans="3:29" x14ac:dyDescent="0.25">
      <c r="C76" s="9" cm="1">
        <f t="array" aca="1" ref="C76" ca="1">IF(C$5&lt;=TODAY(),0,IF($B76="","",IFERROR(_xlfn.LET(_xlpm.Site,$B76,_xlpm.SiteCol,INDIRECT("tblSites[Site]"),_xlpm.ActCol,INDIRECT("tblSites[Site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6" s="9" t="str">
        <f>IF($B76="","",IFERROR(_xlfn.LET(_xlpm.Site,$B76,_xlpm.ActDate,_xlfn.XLOOKUP(_xlpm.Site,tblSites[Site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76:INDEX($1:$1048576,ROW(),COLUMN()-1))),_xlpm.Remaining,MAX(0,_xlpm.MaxPts-_xlpm.PriorEnrolled),IF(OR(_xlpm.ActDate="",EOMONTH(D$5,0)&lt;_xlpm.StartDate,_xlpm.Remaining&lt;=0),0,MIN(_xlpm.MonthlyEnroll,_xlpm.Remaining))),0))</f>
        <v/>
      </c>
      <c r="E76" s="9" t="str">
        <f>IF($B76="","",IFERROR(_xlfn.LET(_xlpm.Site,$B76,_xlpm.ActDate,_xlfn.XLOOKUP(_xlpm.Site,tblSites[Monthly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76:INDEX($1:$1048576,ROW(),COLUMN()-1))),_xlpm.Remaining,MAX(0,_xlpm.MaxPts-_xlpm.PriorEnrolled),IF(OR(_xlpm.ActDate="",EOMONTH(E$5,0)&lt;_xlpm.StartDate,_xlpm.Remaining&lt;=0),0,MIN(_xlpm.MonthlyEnroll,_xlpm.Remaining))),0))</f>
        <v/>
      </c>
      <c r="F76" s="9" t="str">
        <f>IF($B76="","",IFERROR(_xlfn.LET(_xlpm.Site,$B76,_xlpm.ActDate,_xlfn.XLOOKUP(_xlpm.Site,tblSites[Site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76:INDEX($1:$1048576,ROW(),COLUMN()-1))),_xlpm.Remaining,MAX(0,_xlpm.MaxPts-_xlpm.PriorEnrolled),IF(OR(_xlpm.ActDate="",EOMONTH(F$5,0)&lt;_xlpm.StartDate,_xlpm.Remaining&lt;=0),0,MIN(_xlpm.MonthlyEnroll,_xlpm.Remaining))),0))</f>
        <v/>
      </c>
      <c r="G76" s="9" t="str">
        <f>IF($B76="","",IFERROR(_xlfn.LET(_xlpm.Site,$B76,_xlpm.ActDate,_xlfn.XLOOKUP(_xlpm.Site,tblSites[Max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76:INDEX($1:$1048576,ROW(),COLUMN()-1))),_xlpm.Remaining,MAX(0,_xlpm.MaxPts-_xlpm.PriorEnrolled),IF(OR(_xlpm.ActDate="",EOMONTH(G$5,0)&lt;_xlpm.StartDate,_xlpm.Remaining&lt;=0),0,MIN(_xlpm.MonthlyEnroll,_xlpm.Remaining))),0))</f>
        <v/>
      </c>
      <c r="H76" s="9" t="str">
        <f>IF($B76="","",IFERROR(_xlfn.LET(_xlpm.Site,$B76,_xlpm.ActDate,_xlfn.XLOOKUP(_xlpm.Site,tblSites[Current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76:INDEX($1:$1048576,ROW(),COLUMN()-1))),_xlpm.Remaining,MAX(0,_xlpm.MaxPts-_xlpm.PriorEnrolled),IF(OR(_xlpm.ActDate="",EOMONTH(H$5,0)&lt;_xlpm.StartDate,_xlpm.Remaining&lt;=0),0,MIN(_xlpm.MonthlyEnroll,_xlpm.Remaining))),0))</f>
        <v/>
      </c>
      <c r="I76" s="9" t="str">
        <f>IF($B76="","",IFERROR(_xlfn.LET(_xlpm.Site,$B76,_xlpm.ActDate,_xlfn.XLOOKUP(_xlpm.Site,tblSites[Include?],tblSites[Scenario?],""),_xlpm.ScreenDays,N('Study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76:INDEX($1:$1048576,ROW(),COLUMN()-1))),_xlpm.Remaining,MAX(0,_xlpm.MaxPts-_xlpm.PriorEnrolled),IF(OR(_xlpm.ActDate="",EOMONTH(I$5,0)&lt;_xlpm.StartDate,_xlpm.Remaining&lt;=0),0,MIN(_xlpm.MonthlyEnroll,_xlpm.Remaining))),0))</f>
        <v/>
      </c>
      <c r="J76" s="9" t="str">
        <f>IF($B76="","",IFERROR(_xlfn.LET(_xlpm.Site,$B76,_xlpm.ActDate,_xlfn.XLOOKUP(_xlpm.Site,tblSites[Scenario?],tblSites[Check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76:INDEX($1:$1048576,ROW(),COLUMN()-1))),_xlpm.Remaining,MAX(0,_xlpm.MaxPts-_xlpm.PriorEnrolled),IF(OR(_xlpm.ActDate="",EOMONTH(J$5,0)&lt;_xlpm.StartDate,_xlpm.Remaining&lt;=0),0,MIN(_xlpm.MonthlyEnroll,_xlpm.Remaining))),0))</f>
        <v/>
      </c>
      <c r="K76" s="9" t="str">
        <f>IF($B76="","",IFERROR(_xlfn.LET(_xlpm.Site,$B76,_xlpm.ActDate,_xlfn.XLOOKUP(_xlpm.Site,tblSites[Check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76:INDEX($1:$1048576,ROW(),COLUMN()-1))),_xlpm.Remaining,MAX(0,_xlpm.MaxPts-_xlpm.PriorEnrolled),IF(OR(_xlpm.ActDate="",EOMONTH(K$5,0)&lt;_xlpm.StartDate,_xlpm.Remaining&lt;=0),0,MIN(_xlpm.MonthlyEnroll,_xlpm.Remaining))),0))</f>
        <v/>
      </c>
      <c r="L76" s="9" t="str">
        <f>IF($B76="","",IFERROR(_xlfn.LET(_xlpm.Site,$B76,_xlpm.ActDate,_xlfn.XLOOKUP(_xlpm.Site,tblSites[Site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76:INDEX($1:$1048576,ROW(),COLUMN()-1))),_xlpm.Remaining,MAX(0,_xlpm.MaxPts-_xlpm.PriorEnrolled),IF(OR(_xlpm.ActDate="",EOMONTH(L$5,0)&lt;_xlpm.StartDate,_xlpm.Remaining&lt;=0),0,MIN(_xlpm.MonthlyEnroll,_xlpm.Remaining))),0))</f>
        <v/>
      </c>
      <c r="M76" s="9" t="str">
        <f>IF($B76="","",IFERROR(_xlfn.LET(_xlpm.Site,$B76,_xlpm.ActDate,_xlfn.XLOOKUP(_xlpm.Site,#REF!,tblSites[Country],""),_xlpm.ScreenDays,N('Study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76:INDEX($1:$1048576,ROW(),COLUMN()-1))),_xlpm.Remaining,MAX(0,_xlpm.MaxPts-_xlpm.PriorEnrolled),IF(OR(_xlpm.ActDate="",EOMONTH(M$5,0)&lt;_xlpm.StartDate,_xlpm.Remaining&lt;=0),0,MIN(_xlpm.MonthlyEnroll,_xlpm.Remaining))),0))</f>
        <v/>
      </c>
      <c r="N76" s="9" t="str">
        <f>IF($B76="","",IFERROR(_xlfn.LET(_xlpm.Site,$B76,_xlpm.ActDate,_xlfn.XLOOKUP(_xlpm.Site,tblSites[Country],tblSites[Site],""),_xlpm.ScreenDays,N('Study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76:INDEX($1:$1048576,ROW(),COLUMN()-1))),_xlpm.Remaining,MAX(0,_xlpm.MaxPts-_xlpm.PriorEnrolled),IF(OR(_xlpm.ActDate="",EOMONTH(N$5,0)&lt;_xlpm.StartDate,_xlpm.Remaining&lt;=0),0,MIN(_xlpm.MonthlyEnroll,_xlpm.Remaining))),0))</f>
        <v/>
      </c>
      <c r="O76" s="9" t="str">
        <f>IF($B76="","",IFERROR(_xlfn.LET(_xlpm.Site,$B76,_xlpm.ActDate,_xlfn.XLOOKUP(_xlpm.Site,tblSites[Site],tblSites[Site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76:INDEX($1:$1048576,ROW(),COLUMN()-1))),_xlpm.Remaining,MAX(0,_xlpm.MaxPts-_xlpm.PriorEnrolled),IF(OR(_xlpm.ActDate="",EOMONTH(O$5,0)&lt;_xlpm.StartDate,_xlpm.Remaining&lt;=0),0,MIN(_xlpm.MonthlyEnroll,_xlpm.Remaining))),0))</f>
        <v/>
      </c>
      <c r="P76" s="9" t="str">
        <f>IF($B76="","",IFERROR(_xlfn.LET(_xlpm.Site,$B76,_xlpm.ActDate,_xlfn.XLOOKUP(_xlpm.Site,tblSites[Site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76:INDEX($1:$1048576,ROW(),COLUMN()-1))),_xlpm.Remaining,MAX(0,_xlpm.MaxPts-_xlpm.PriorEnrolled),IF(OR(_xlpm.ActDate="",EOMONTH(P$5,0)&lt;_xlpm.StartDate,_xlpm.Remaining&lt;=0),0,MIN(_xlpm.MonthlyEnroll,_xlpm.Remaining))),0))</f>
        <v/>
      </c>
      <c r="Q76" s="9" t="str">
        <f>IF($B76="","",IFERROR(_xlfn.LET(_xlpm.Site,$B76,_xlpm.ActDate,_xlfn.XLOOKUP(_xlpm.Site,tblSites[Monthly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76:INDEX($1:$1048576,ROW(),COLUMN()-1))),_xlpm.Remaining,MAX(0,_xlpm.MaxPts-_xlpm.PriorEnrolled),IF(OR(_xlpm.ActDate="",EOMONTH(Q$5,0)&lt;_xlpm.StartDate,_xlpm.Remaining&lt;=0),0,MIN(_xlpm.MonthlyEnroll,_xlpm.Remaining))),0))</f>
        <v/>
      </c>
      <c r="R76" s="9" t="str">
        <f>IF($B76="","",IFERROR(_xlfn.LET(_xlpm.Site,$B76,_xlpm.ActDate,_xlfn.XLOOKUP(_xlpm.Site,tblSites[Site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76:INDEX($1:$1048576,ROW(),COLUMN()-1))),_xlpm.Remaining,MAX(0,_xlpm.MaxPts-_xlpm.PriorEnrolled),IF(OR(_xlpm.ActDate="",EOMONTH(R$5,0)&lt;_xlpm.StartDate,_xlpm.Remaining&lt;=0),0,MIN(_xlpm.MonthlyEnroll,_xlpm.Remaining))),0))</f>
        <v/>
      </c>
      <c r="S76" s="9" t="str">
        <f>IF($B76="","",IFERROR(_xlfn.LET(_xlpm.Site,$B76,_xlpm.ActDate,_xlfn.XLOOKUP(_xlpm.Site,tblSites[Max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76:INDEX($1:$1048576,ROW(),COLUMN()-1))),_xlpm.Remaining,MAX(0,_xlpm.MaxPts-_xlpm.PriorEnrolled),IF(OR(_xlpm.ActDate="",EOMONTH(S$5,0)&lt;_xlpm.StartDate,_xlpm.Remaining&lt;=0),0,MIN(_xlpm.MonthlyEnroll,_xlpm.Remaining))),0))</f>
        <v/>
      </c>
      <c r="T76" s="9" t="str">
        <f>IF($B76="","",IFERROR(_xlfn.LET(_xlpm.Site,$B76,_xlpm.ActDate,_xlfn.XLOOKUP(_xlpm.Site,tblSites[Current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76:INDEX($1:$1048576,ROW(),COLUMN()-1))),_xlpm.Remaining,MAX(0,_xlpm.MaxPts-_xlpm.PriorEnrolled),IF(OR(_xlpm.ActDate="",EOMONTH(T$5,0)&lt;_xlpm.StartDate,_xlpm.Remaining&lt;=0),0,MIN(_xlpm.MonthlyEnroll,_xlpm.Remaining))),0))</f>
        <v/>
      </c>
      <c r="U76" s="9" t="str">
        <f>IF($B76="","",IFERROR(_xlfn.LET(_xlpm.Site,$B76,_xlpm.ActDate,_xlfn.XLOOKUP(_xlpm.Site,tblSites[Include?],tblSites[Scenario?],""),_xlpm.ScreenDays,N('Study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76:INDEX($1:$1048576,ROW(),COLUMN()-1))),_xlpm.Remaining,MAX(0,_xlpm.MaxPts-_xlpm.PriorEnrolled),IF(OR(_xlpm.ActDate="",EOMONTH(U$5,0)&lt;_xlpm.StartDate,_xlpm.Remaining&lt;=0),0,MIN(_xlpm.MonthlyEnroll,_xlpm.Remaining))),0))</f>
        <v/>
      </c>
      <c r="V76" s="9" t="str">
        <f>IF($B76="","",IFERROR(_xlfn.LET(_xlpm.Site,$B76,_xlpm.ActDate,_xlfn.XLOOKUP(_xlpm.Site,tblSites[Scenario?],tblSites[Check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76:INDEX($1:$1048576,ROW(),COLUMN()-1))),_xlpm.Remaining,MAX(0,_xlpm.MaxPts-_xlpm.PriorEnrolled),IF(OR(_xlpm.ActDate="",EOMONTH(V$5,0)&lt;_xlpm.StartDate,_xlpm.Remaining&lt;=0),0,MIN(_xlpm.MonthlyEnroll,_xlpm.Remaining))),0))</f>
        <v/>
      </c>
      <c r="W76" s="9" t="str">
        <f>IF($B76="","",IFERROR(_xlfn.LET(_xlpm.Site,$B76,_xlpm.ActDate,_xlfn.XLOOKUP(_xlpm.Site,tblSites[Check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76:INDEX($1:$1048576,ROW(),COLUMN()-1))),_xlpm.Remaining,MAX(0,_xlpm.MaxPts-_xlpm.PriorEnrolled),IF(OR(_xlpm.ActDate="",EOMONTH(W$5,0)&lt;_xlpm.StartDate,_xlpm.Remaining&lt;=0),0,MIN(_xlpm.MonthlyEnroll,_xlpm.Remaining))),0))</f>
        <v/>
      </c>
      <c r="X76" s="9" t="str">
        <f>IF($B76="","",IFERROR(_xlfn.LET(_xlpm.Site,$B76,_xlpm.ActDate,_xlfn.XLOOKUP(_xlpm.Site,tblSites[Site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76:INDEX($1:$1048576,ROW(),COLUMN()-1))),_xlpm.Remaining,MAX(0,_xlpm.MaxPts-_xlpm.PriorEnrolled),IF(OR(_xlpm.ActDate="",EOMONTH(X$5,0)&lt;_xlpm.StartDate,_xlpm.Remaining&lt;=0),0,MIN(_xlpm.MonthlyEnroll,_xlpm.Remaining))),0))</f>
        <v/>
      </c>
      <c r="Y76" s="9" t="str">
        <f>IF($B76="","",IFERROR(_xlfn.LET(_xlpm.Site,$B76,_xlpm.ActDate,_xlfn.XLOOKUP(_xlpm.Site,#REF!,tblSites[Country],""),_xlpm.ScreenDays,N('Study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76:INDEX($1:$1048576,ROW(),COLUMN()-1))),_xlpm.Remaining,MAX(0,_xlpm.MaxPts-_xlpm.PriorEnrolled),IF(OR(_xlpm.ActDate="",EOMONTH(Y$5,0)&lt;_xlpm.StartDate,_xlpm.Remaining&lt;=0),0,MIN(_xlpm.MonthlyEnroll,_xlpm.Remaining))),0))</f>
        <v/>
      </c>
      <c r="Z76" s="9" t="str">
        <f>IF($B76="","",IFERROR(_xlfn.LET(_xlpm.Site,$B76,_xlpm.ActDate,_xlfn.XLOOKUP(_xlpm.Site,tblSites[Country],tblSites[Site],""),_xlpm.ScreenDays,N('Study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76:INDEX($1:$1048576,ROW(),COLUMN()-1))),_xlpm.Remaining,MAX(0,_xlpm.MaxPts-_xlpm.PriorEnrolled),IF(OR(_xlpm.ActDate="",EOMONTH(Z$5,0)&lt;_xlpm.StartDate,_xlpm.Remaining&lt;=0),0,MIN(_xlpm.MonthlyEnroll,_xlpm.Remaining))),0))</f>
        <v/>
      </c>
      <c r="AA76" s="9" t="str">
        <f>IF($B76="","",IFERROR(_xlfn.LET(_xlpm.Site,$B76,_xlpm.ActDate,_xlfn.XLOOKUP(_xlpm.Site,tblSites[Site],tblSites[Site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76:INDEX($1:$1048576,ROW(),COLUMN()-1))),_xlpm.Remaining,MAX(0,_xlpm.MaxPts-_xlpm.PriorEnrolled),IF(OR(_xlpm.ActDate="",EOMONTH(AA$5,0)&lt;_xlpm.StartDate,_xlpm.Remaining&lt;=0),0,MIN(_xlpm.MonthlyEnroll,_xlpm.Remaining))),0))</f>
        <v/>
      </c>
      <c r="AB76" s="9" t="str">
        <f>IF($B76="","",IFERROR(_xlfn.LET(_xlpm.Site,$B76,_xlpm.ActDate,_xlfn.XLOOKUP(_xlpm.Site,tblSites[Site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76:INDEX($1:$1048576,ROW(),COLUMN()-1))),_xlpm.Remaining,MAX(0,_xlpm.MaxPts-_xlpm.PriorEnrolled),IF(OR(_xlpm.ActDate="",EOMONTH(AB$5,0)&lt;_xlpm.StartDate,_xlpm.Remaining&lt;=0),0,MIN(_xlpm.MonthlyEnroll,_xlpm.Remaining))),0))</f>
        <v/>
      </c>
      <c r="AC76" s="9" t="str">
        <f>IF($B76="","",IFERROR(_xlfn.LET(_xlpm.Site,$B76,_xlpm.ActDate,_xlfn.XLOOKUP(_xlpm.Site,tblSites[Monthly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76:INDEX($1:$1048576,ROW(),COLUMN()-1))),_xlpm.Remaining,MAX(0,_xlpm.MaxPts-_xlpm.PriorEnrolled),IF(OR(_xlpm.ActDate="",EOMONTH(AC$5,0)&lt;_xlpm.StartDate,_xlpm.Remaining&lt;=0),0,MIN(_xlpm.MonthlyEnroll,_xlpm.Remaining))),0))</f>
        <v/>
      </c>
    </row>
    <row r="77" spans="3:29" x14ac:dyDescent="0.25">
      <c r="C77" s="9" cm="1">
        <f t="array" aca="1" ref="C77" ca="1">IF(C$5&lt;=TODAY(),0,IF($B77="","",IFERROR(_xlfn.LET(_xlpm.Site,$B77,_xlpm.SiteCol,INDIRECT("tblSites[Site]"),_xlpm.ActCol,INDIRECT("tblSites[Site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7" s="9" t="str">
        <f>IF($B77="","",IFERROR(_xlfn.LET(_xlpm.Site,$B77,_xlpm.ActDate,_xlfn.XLOOKUP(_xlpm.Site,tblSites[Site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77:INDEX($1:$1048576,ROW(),COLUMN()-1))),_xlpm.Remaining,MAX(0,_xlpm.MaxPts-_xlpm.PriorEnrolled),IF(OR(_xlpm.ActDate="",EOMONTH(D$5,0)&lt;_xlpm.StartDate,_xlpm.Remaining&lt;=0),0,MIN(_xlpm.MonthlyEnroll,_xlpm.Remaining))),0))</f>
        <v/>
      </c>
      <c r="E77" s="9" t="str">
        <f>IF($B77="","",IFERROR(_xlfn.LET(_xlpm.Site,$B77,_xlpm.ActDate,_xlfn.XLOOKUP(_xlpm.Site,tblSites[Monthly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77:INDEX($1:$1048576,ROW(),COLUMN()-1))),_xlpm.Remaining,MAX(0,_xlpm.MaxPts-_xlpm.PriorEnrolled),IF(OR(_xlpm.ActDate="",EOMONTH(E$5,0)&lt;_xlpm.StartDate,_xlpm.Remaining&lt;=0),0,MIN(_xlpm.MonthlyEnroll,_xlpm.Remaining))),0))</f>
        <v/>
      </c>
      <c r="F77" s="9" t="str">
        <f>IF($B77="","",IFERROR(_xlfn.LET(_xlpm.Site,$B77,_xlpm.ActDate,_xlfn.XLOOKUP(_xlpm.Site,tblSites[Site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77:INDEX($1:$1048576,ROW(),COLUMN()-1))),_xlpm.Remaining,MAX(0,_xlpm.MaxPts-_xlpm.PriorEnrolled),IF(OR(_xlpm.ActDate="",EOMONTH(F$5,0)&lt;_xlpm.StartDate,_xlpm.Remaining&lt;=0),0,MIN(_xlpm.MonthlyEnroll,_xlpm.Remaining))),0))</f>
        <v/>
      </c>
      <c r="G77" s="9" t="str">
        <f>IF($B77="","",IFERROR(_xlfn.LET(_xlpm.Site,$B77,_xlpm.ActDate,_xlfn.XLOOKUP(_xlpm.Site,tblSites[Max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77:INDEX($1:$1048576,ROW(),COLUMN()-1))),_xlpm.Remaining,MAX(0,_xlpm.MaxPts-_xlpm.PriorEnrolled),IF(OR(_xlpm.ActDate="",EOMONTH(G$5,0)&lt;_xlpm.StartDate,_xlpm.Remaining&lt;=0),0,MIN(_xlpm.MonthlyEnroll,_xlpm.Remaining))),0))</f>
        <v/>
      </c>
      <c r="H77" s="9" t="str">
        <f>IF($B77="","",IFERROR(_xlfn.LET(_xlpm.Site,$B77,_xlpm.ActDate,_xlfn.XLOOKUP(_xlpm.Site,tblSites[Current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77:INDEX($1:$1048576,ROW(),COLUMN()-1))),_xlpm.Remaining,MAX(0,_xlpm.MaxPts-_xlpm.PriorEnrolled),IF(OR(_xlpm.ActDate="",EOMONTH(H$5,0)&lt;_xlpm.StartDate,_xlpm.Remaining&lt;=0),0,MIN(_xlpm.MonthlyEnroll,_xlpm.Remaining))),0))</f>
        <v/>
      </c>
      <c r="I77" s="9" t="str">
        <f>IF($B77="","",IFERROR(_xlfn.LET(_xlpm.Site,$B77,_xlpm.ActDate,_xlfn.XLOOKUP(_xlpm.Site,tblSites[Include?],tblSites[Scenario?],""),_xlpm.ScreenDays,N('Study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77:INDEX($1:$1048576,ROW(),COLUMN()-1))),_xlpm.Remaining,MAX(0,_xlpm.MaxPts-_xlpm.PriorEnrolled),IF(OR(_xlpm.ActDate="",EOMONTH(I$5,0)&lt;_xlpm.StartDate,_xlpm.Remaining&lt;=0),0,MIN(_xlpm.MonthlyEnroll,_xlpm.Remaining))),0))</f>
        <v/>
      </c>
      <c r="J77" s="9" t="str">
        <f>IF($B77="","",IFERROR(_xlfn.LET(_xlpm.Site,$B77,_xlpm.ActDate,_xlfn.XLOOKUP(_xlpm.Site,tblSites[Scenario?],tblSites[Check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77:INDEX($1:$1048576,ROW(),COLUMN()-1))),_xlpm.Remaining,MAX(0,_xlpm.MaxPts-_xlpm.PriorEnrolled),IF(OR(_xlpm.ActDate="",EOMONTH(J$5,0)&lt;_xlpm.StartDate,_xlpm.Remaining&lt;=0),0,MIN(_xlpm.MonthlyEnroll,_xlpm.Remaining))),0))</f>
        <v/>
      </c>
      <c r="K77" s="9" t="str">
        <f>IF($B77="","",IFERROR(_xlfn.LET(_xlpm.Site,$B77,_xlpm.ActDate,_xlfn.XLOOKUP(_xlpm.Site,tblSites[Check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77:INDEX($1:$1048576,ROW(),COLUMN()-1))),_xlpm.Remaining,MAX(0,_xlpm.MaxPts-_xlpm.PriorEnrolled),IF(OR(_xlpm.ActDate="",EOMONTH(K$5,0)&lt;_xlpm.StartDate,_xlpm.Remaining&lt;=0),0,MIN(_xlpm.MonthlyEnroll,_xlpm.Remaining))),0))</f>
        <v/>
      </c>
      <c r="L77" s="9" t="str">
        <f>IF($B77="","",IFERROR(_xlfn.LET(_xlpm.Site,$B77,_xlpm.ActDate,_xlfn.XLOOKUP(_xlpm.Site,tblSites[Site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77:INDEX($1:$1048576,ROW(),COLUMN()-1))),_xlpm.Remaining,MAX(0,_xlpm.MaxPts-_xlpm.PriorEnrolled),IF(OR(_xlpm.ActDate="",EOMONTH(L$5,0)&lt;_xlpm.StartDate,_xlpm.Remaining&lt;=0),0,MIN(_xlpm.MonthlyEnroll,_xlpm.Remaining))),0))</f>
        <v/>
      </c>
      <c r="M77" s="9" t="str">
        <f>IF($B77="","",IFERROR(_xlfn.LET(_xlpm.Site,$B77,_xlpm.ActDate,_xlfn.XLOOKUP(_xlpm.Site,#REF!,tblSites[Country],""),_xlpm.ScreenDays,N('Study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77:INDEX($1:$1048576,ROW(),COLUMN()-1))),_xlpm.Remaining,MAX(0,_xlpm.MaxPts-_xlpm.PriorEnrolled),IF(OR(_xlpm.ActDate="",EOMONTH(M$5,0)&lt;_xlpm.StartDate,_xlpm.Remaining&lt;=0),0,MIN(_xlpm.MonthlyEnroll,_xlpm.Remaining))),0))</f>
        <v/>
      </c>
      <c r="N77" s="9" t="str">
        <f>IF($B77="","",IFERROR(_xlfn.LET(_xlpm.Site,$B77,_xlpm.ActDate,_xlfn.XLOOKUP(_xlpm.Site,tblSites[Country],tblSites[Site],""),_xlpm.ScreenDays,N('Study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77:INDEX($1:$1048576,ROW(),COLUMN()-1))),_xlpm.Remaining,MAX(0,_xlpm.MaxPts-_xlpm.PriorEnrolled),IF(OR(_xlpm.ActDate="",EOMONTH(N$5,0)&lt;_xlpm.StartDate,_xlpm.Remaining&lt;=0),0,MIN(_xlpm.MonthlyEnroll,_xlpm.Remaining))),0))</f>
        <v/>
      </c>
      <c r="O77" s="9" t="str">
        <f>IF($B77="","",IFERROR(_xlfn.LET(_xlpm.Site,$B77,_xlpm.ActDate,_xlfn.XLOOKUP(_xlpm.Site,tblSites[Site],tblSites[Site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77:INDEX($1:$1048576,ROW(),COLUMN()-1))),_xlpm.Remaining,MAX(0,_xlpm.MaxPts-_xlpm.PriorEnrolled),IF(OR(_xlpm.ActDate="",EOMONTH(O$5,0)&lt;_xlpm.StartDate,_xlpm.Remaining&lt;=0),0,MIN(_xlpm.MonthlyEnroll,_xlpm.Remaining))),0))</f>
        <v/>
      </c>
      <c r="P77" s="9" t="str">
        <f>IF($B77="","",IFERROR(_xlfn.LET(_xlpm.Site,$B77,_xlpm.ActDate,_xlfn.XLOOKUP(_xlpm.Site,tblSites[Site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77:INDEX($1:$1048576,ROW(),COLUMN()-1))),_xlpm.Remaining,MAX(0,_xlpm.MaxPts-_xlpm.PriorEnrolled),IF(OR(_xlpm.ActDate="",EOMONTH(P$5,0)&lt;_xlpm.StartDate,_xlpm.Remaining&lt;=0),0,MIN(_xlpm.MonthlyEnroll,_xlpm.Remaining))),0))</f>
        <v/>
      </c>
      <c r="Q77" s="9" t="str">
        <f>IF($B77="","",IFERROR(_xlfn.LET(_xlpm.Site,$B77,_xlpm.ActDate,_xlfn.XLOOKUP(_xlpm.Site,tblSites[Monthly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77:INDEX($1:$1048576,ROW(),COLUMN()-1))),_xlpm.Remaining,MAX(0,_xlpm.MaxPts-_xlpm.PriorEnrolled),IF(OR(_xlpm.ActDate="",EOMONTH(Q$5,0)&lt;_xlpm.StartDate,_xlpm.Remaining&lt;=0),0,MIN(_xlpm.MonthlyEnroll,_xlpm.Remaining))),0))</f>
        <v/>
      </c>
      <c r="R77" s="9" t="str">
        <f>IF($B77="","",IFERROR(_xlfn.LET(_xlpm.Site,$B77,_xlpm.ActDate,_xlfn.XLOOKUP(_xlpm.Site,tblSites[Site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77:INDEX($1:$1048576,ROW(),COLUMN()-1))),_xlpm.Remaining,MAX(0,_xlpm.MaxPts-_xlpm.PriorEnrolled),IF(OR(_xlpm.ActDate="",EOMONTH(R$5,0)&lt;_xlpm.StartDate,_xlpm.Remaining&lt;=0),0,MIN(_xlpm.MonthlyEnroll,_xlpm.Remaining))),0))</f>
        <v/>
      </c>
      <c r="S77" s="9" t="str">
        <f>IF($B77="","",IFERROR(_xlfn.LET(_xlpm.Site,$B77,_xlpm.ActDate,_xlfn.XLOOKUP(_xlpm.Site,tblSites[Max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77:INDEX($1:$1048576,ROW(),COLUMN()-1))),_xlpm.Remaining,MAX(0,_xlpm.MaxPts-_xlpm.PriorEnrolled),IF(OR(_xlpm.ActDate="",EOMONTH(S$5,0)&lt;_xlpm.StartDate,_xlpm.Remaining&lt;=0),0,MIN(_xlpm.MonthlyEnroll,_xlpm.Remaining))),0))</f>
        <v/>
      </c>
      <c r="T77" s="9" t="str">
        <f>IF($B77="","",IFERROR(_xlfn.LET(_xlpm.Site,$B77,_xlpm.ActDate,_xlfn.XLOOKUP(_xlpm.Site,tblSites[Current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77:INDEX($1:$1048576,ROW(),COLUMN()-1))),_xlpm.Remaining,MAX(0,_xlpm.MaxPts-_xlpm.PriorEnrolled),IF(OR(_xlpm.ActDate="",EOMONTH(T$5,0)&lt;_xlpm.StartDate,_xlpm.Remaining&lt;=0),0,MIN(_xlpm.MonthlyEnroll,_xlpm.Remaining))),0))</f>
        <v/>
      </c>
      <c r="U77" s="9" t="str">
        <f>IF($B77="","",IFERROR(_xlfn.LET(_xlpm.Site,$B77,_xlpm.ActDate,_xlfn.XLOOKUP(_xlpm.Site,tblSites[Include?],tblSites[Scenario?],""),_xlpm.ScreenDays,N('Study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77:INDEX($1:$1048576,ROW(),COLUMN()-1))),_xlpm.Remaining,MAX(0,_xlpm.MaxPts-_xlpm.PriorEnrolled),IF(OR(_xlpm.ActDate="",EOMONTH(U$5,0)&lt;_xlpm.StartDate,_xlpm.Remaining&lt;=0),0,MIN(_xlpm.MonthlyEnroll,_xlpm.Remaining))),0))</f>
        <v/>
      </c>
      <c r="V77" s="9" t="str">
        <f>IF($B77="","",IFERROR(_xlfn.LET(_xlpm.Site,$B77,_xlpm.ActDate,_xlfn.XLOOKUP(_xlpm.Site,tblSites[Scenario?],tblSites[Check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77:INDEX($1:$1048576,ROW(),COLUMN()-1))),_xlpm.Remaining,MAX(0,_xlpm.MaxPts-_xlpm.PriorEnrolled),IF(OR(_xlpm.ActDate="",EOMONTH(V$5,0)&lt;_xlpm.StartDate,_xlpm.Remaining&lt;=0),0,MIN(_xlpm.MonthlyEnroll,_xlpm.Remaining))),0))</f>
        <v/>
      </c>
      <c r="W77" s="9" t="str">
        <f>IF($B77="","",IFERROR(_xlfn.LET(_xlpm.Site,$B77,_xlpm.ActDate,_xlfn.XLOOKUP(_xlpm.Site,tblSites[Check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77:INDEX($1:$1048576,ROW(),COLUMN()-1))),_xlpm.Remaining,MAX(0,_xlpm.MaxPts-_xlpm.PriorEnrolled),IF(OR(_xlpm.ActDate="",EOMONTH(W$5,0)&lt;_xlpm.StartDate,_xlpm.Remaining&lt;=0),0,MIN(_xlpm.MonthlyEnroll,_xlpm.Remaining))),0))</f>
        <v/>
      </c>
      <c r="X77" s="9" t="str">
        <f>IF($B77="","",IFERROR(_xlfn.LET(_xlpm.Site,$B77,_xlpm.ActDate,_xlfn.XLOOKUP(_xlpm.Site,tblSites[Site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77:INDEX($1:$1048576,ROW(),COLUMN()-1))),_xlpm.Remaining,MAX(0,_xlpm.MaxPts-_xlpm.PriorEnrolled),IF(OR(_xlpm.ActDate="",EOMONTH(X$5,0)&lt;_xlpm.StartDate,_xlpm.Remaining&lt;=0),0,MIN(_xlpm.MonthlyEnroll,_xlpm.Remaining))),0))</f>
        <v/>
      </c>
      <c r="Y77" s="9" t="str">
        <f>IF($B77="","",IFERROR(_xlfn.LET(_xlpm.Site,$B77,_xlpm.ActDate,_xlfn.XLOOKUP(_xlpm.Site,#REF!,tblSites[Country],""),_xlpm.ScreenDays,N('Study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77:INDEX($1:$1048576,ROW(),COLUMN()-1))),_xlpm.Remaining,MAX(0,_xlpm.MaxPts-_xlpm.PriorEnrolled),IF(OR(_xlpm.ActDate="",EOMONTH(Y$5,0)&lt;_xlpm.StartDate,_xlpm.Remaining&lt;=0),0,MIN(_xlpm.MonthlyEnroll,_xlpm.Remaining))),0))</f>
        <v/>
      </c>
      <c r="Z77" s="9" t="str">
        <f>IF($B77="","",IFERROR(_xlfn.LET(_xlpm.Site,$B77,_xlpm.ActDate,_xlfn.XLOOKUP(_xlpm.Site,tblSites[Country],tblSites[Site],""),_xlpm.ScreenDays,N('Study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77:INDEX($1:$1048576,ROW(),COLUMN()-1))),_xlpm.Remaining,MAX(0,_xlpm.MaxPts-_xlpm.PriorEnrolled),IF(OR(_xlpm.ActDate="",EOMONTH(Z$5,0)&lt;_xlpm.StartDate,_xlpm.Remaining&lt;=0),0,MIN(_xlpm.MonthlyEnroll,_xlpm.Remaining))),0))</f>
        <v/>
      </c>
      <c r="AA77" s="9" t="str">
        <f>IF($B77="","",IFERROR(_xlfn.LET(_xlpm.Site,$B77,_xlpm.ActDate,_xlfn.XLOOKUP(_xlpm.Site,tblSites[Site],tblSites[Site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77:INDEX($1:$1048576,ROW(),COLUMN()-1))),_xlpm.Remaining,MAX(0,_xlpm.MaxPts-_xlpm.PriorEnrolled),IF(OR(_xlpm.ActDate="",EOMONTH(AA$5,0)&lt;_xlpm.StartDate,_xlpm.Remaining&lt;=0),0,MIN(_xlpm.MonthlyEnroll,_xlpm.Remaining))),0))</f>
        <v/>
      </c>
      <c r="AB77" s="9" t="str">
        <f>IF($B77="","",IFERROR(_xlfn.LET(_xlpm.Site,$B77,_xlpm.ActDate,_xlfn.XLOOKUP(_xlpm.Site,tblSites[Site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77:INDEX($1:$1048576,ROW(),COLUMN()-1))),_xlpm.Remaining,MAX(0,_xlpm.MaxPts-_xlpm.PriorEnrolled),IF(OR(_xlpm.ActDate="",EOMONTH(AB$5,0)&lt;_xlpm.StartDate,_xlpm.Remaining&lt;=0),0,MIN(_xlpm.MonthlyEnroll,_xlpm.Remaining))),0))</f>
        <v/>
      </c>
      <c r="AC77" s="9" t="str">
        <f>IF($B77="","",IFERROR(_xlfn.LET(_xlpm.Site,$B77,_xlpm.ActDate,_xlfn.XLOOKUP(_xlpm.Site,tblSites[Monthly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77:INDEX($1:$1048576,ROW(),COLUMN()-1))),_xlpm.Remaining,MAX(0,_xlpm.MaxPts-_xlpm.PriorEnrolled),IF(OR(_xlpm.ActDate="",EOMONTH(AC$5,0)&lt;_xlpm.StartDate,_xlpm.Remaining&lt;=0),0,MIN(_xlpm.MonthlyEnroll,_xlpm.Remaining))),0))</f>
        <v/>
      </c>
    </row>
    <row r="78" spans="3:29" x14ac:dyDescent="0.25">
      <c r="C78" s="9" cm="1">
        <f t="array" aca="1" ref="C78" ca="1">IF(C$5&lt;=TODAY(),0,IF($B78="","",IFERROR(_xlfn.LET(_xlpm.Site,$B78,_xlpm.SiteCol,INDIRECT("tblSites[Site]"),_xlpm.ActCol,INDIRECT("tblSites[Site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8" s="9" t="str">
        <f>IF($B78="","",IFERROR(_xlfn.LET(_xlpm.Site,$B78,_xlpm.ActDate,_xlfn.XLOOKUP(_xlpm.Site,tblSites[Site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78:INDEX($1:$1048576,ROW(),COLUMN()-1))),_xlpm.Remaining,MAX(0,_xlpm.MaxPts-_xlpm.PriorEnrolled),IF(OR(_xlpm.ActDate="",EOMONTH(D$5,0)&lt;_xlpm.StartDate,_xlpm.Remaining&lt;=0),0,MIN(_xlpm.MonthlyEnroll,_xlpm.Remaining))),0))</f>
        <v/>
      </c>
      <c r="E78" s="9" t="str">
        <f>IF($B78="","",IFERROR(_xlfn.LET(_xlpm.Site,$B78,_xlpm.ActDate,_xlfn.XLOOKUP(_xlpm.Site,tblSites[Monthly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78:INDEX($1:$1048576,ROW(),COLUMN()-1))),_xlpm.Remaining,MAX(0,_xlpm.MaxPts-_xlpm.PriorEnrolled),IF(OR(_xlpm.ActDate="",EOMONTH(E$5,0)&lt;_xlpm.StartDate,_xlpm.Remaining&lt;=0),0,MIN(_xlpm.MonthlyEnroll,_xlpm.Remaining))),0))</f>
        <v/>
      </c>
      <c r="F78" s="9" t="str">
        <f>IF($B78="","",IFERROR(_xlfn.LET(_xlpm.Site,$B78,_xlpm.ActDate,_xlfn.XLOOKUP(_xlpm.Site,tblSites[Site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78:INDEX($1:$1048576,ROW(),COLUMN()-1))),_xlpm.Remaining,MAX(0,_xlpm.MaxPts-_xlpm.PriorEnrolled),IF(OR(_xlpm.ActDate="",EOMONTH(F$5,0)&lt;_xlpm.StartDate,_xlpm.Remaining&lt;=0),0,MIN(_xlpm.MonthlyEnroll,_xlpm.Remaining))),0))</f>
        <v/>
      </c>
      <c r="G78" s="9" t="str">
        <f>IF($B78="","",IFERROR(_xlfn.LET(_xlpm.Site,$B78,_xlpm.ActDate,_xlfn.XLOOKUP(_xlpm.Site,tblSites[Max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78:INDEX($1:$1048576,ROW(),COLUMN()-1))),_xlpm.Remaining,MAX(0,_xlpm.MaxPts-_xlpm.PriorEnrolled),IF(OR(_xlpm.ActDate="",EOMONTH(G$5,0)&lt;_xlpm.StartDate,_xlpm.Remaining&lt;=0),0,MIN(_xlpm.MonthlyEnroll,_xlpm.Remaining))),0))</f>
        <v/>
      </c>
      <c r="H78" s="9" t="str">
        <f>IF($B78="","",IFERROR(_xlfn.LET(_xlpm.Site,$B78,_xlpm.ActDate,_xlfn.XLOOKUP(_xlpm.Site,tblSites[Current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78:INDEX($1:$1048576,ROW(),COLUMN()-1))),_xlpm.Remaining,MAX(0,_xlpm.MaxPts-_xlpm.PriorEnrolled),IF(OR(_xlpm.ActDate="",EOMONTH(H$5,0)&lt;_xlpm.StartDate,_xlpm.Remaining&lt;=0),0,MIN(_xlpm.MonthlyEnroll,_xlpm.Remaining))),0))</f>
        <v/>
      </c>
      <c r="I78" s="9" t="str">
        <f>IF($B78="","",IFERROR(_xlfn.LET(_xlpm.Site,$B78,_xlpm.ActDate,_xlfn.XLOOKUP(_xlpm.Site,tblSites[Include?],tblSites[Scenario?],""),_xlpm.ScreenDays,N('Study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78:INDEX($1:$1048576,ROW(),COLUMN()-1))),_xlpm.Remaining,MAX(0,_xlpm.MaxPts-_xlpm.PriorEnrolled),IF(OR(_xlpm.ActDate="",EOMONTH(I$5,0)&lt;_xlpm.StartDate,_xlpm.Remaining&lt;=0),0,MIN(_xlpm.MonthlyEnroll,_xlpm.Remaining))),0))</f>
        <v/>
      </c>
      <c r="J78" s="9" t="str">
        <f>IF($B78="","",IFERROR(_xlfn.LET(_xlpm.Site,$B78,_xlpm.ActDate,_xlfn.XLOOKUP(_xlpm.Site,tblSites[Scenario?],tblSites[Check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78:INDEX($1:$1048576,ROW(),COLUMN()-1))),_xlpm.Remaining,MAX(0,_xlpm.MaxPts-_xlpm.PriorEnrolled),IF(OR(_xlpm.ActDate="",EOMONTH(J$5,0)&lt;_xlpm.StartDate,_xlpm.Remaining&lt;=0),0,MIN(_xlpm.MonthlyEnroll,_xlpm.Remaining))),0))</f>
        <v/>
      </c>
      <c r="K78" s="9" t="str">
        <f>IF($B78="","",IFERROR(_xlfn.LET(_xlpm.Site,$B78,_xlpm.ActDate,_xlfn.XLOOKUP(_xlpm.Site,tblSites[Check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78:INDEX($1:$1048576,ROW(),COLUMN()-1))),_xlpm.Remaining,MAX(0,_xlpm.MaxPts-_xlpm.PriorEnrolled),IF(OR(_xlpm.ActDate="",EOMONTH(K$5,0)&lt;_xlpm.StartDate,_xlpm.Remaining&lt;=0),0,MIN(_xlpm.MonthlyEnroll,_xlpm.Remaining))),0))</f>
        <v/>
      </c>
      <c r="L78" s="9" t="str">
        <f>IF($B78="","",IFERROR(_xlfn.LET(_xlpm.Site,$B78,_xlpm.ActDate,_xlfn.XLOOKUP(_xlpm.Site,tblSites[Site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78:INDEX($1:$1048576,ROW(),COLUMN()-1))),_xlpm.Remaining,MAX(0,_xlpm.MaxPts-_xlpm.PriorEnrolled),IF(OR(_xlpm.ActDate="",EOMONTH(L$5,0)&lt;_xlpm.StartDate,_xlpm.Remaining&lt;=0),0,MIN(_xlpm.MonthlyEnroll,_xlpm.Remaining))),0))</f>
        <v/>
      </c>
      <c r="M78" s="9" t="str">
        <f>IF($B78="","",IFERROR(_xlfn.LET(_xlpm.Site,$B78,_xlpm.ActDate,_xlfn.XLOOKUP(_xlpm.Site,#REF!,tblSites[Country],""),_xlpm.ScreenDays,N('Study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78:INDEX($1:$1048576,ROW(),COLUMN()-1))),_xlpm.Remaining,MAX(0,_xlpm.MaxPts-_xlpm.PriorEnrolled),IF(OR(_xlpm.ActDate="",EOMONTH(M$5,0)&lt;_xlpm.StartDate,_xlpm.Remaining&lt;=0),0,MIN(_xlpm.MonthlyEnroll,_xlpm.Remaining))),0))</f>
        <v/>
      </c>
      <c r="N78" s="9" t="str">
        <f>IF($B78="","",IFERROR(_xlfn.LET(_xlpm.Site,$B78,_xlpm.ActDate,_xlfn.XLOOKUP(_xlpm.Site,tblSites[Country],tblSites[Site],""),_xlpm.ScreenDays,N('Study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78:INDEX($1:$1048576,ROW(),COLUMN()-1))),_xlpm.Remaining,MAX(0,_xlpm.MaxPts-_xlpm.PriorEnrolled),IF(OR(_xlpm.ActDate="",EOMONTH(N$5,0)&lt;_xlpm.StartDate,_xlpm.Remaining&lt;=0),0,MIN(_xlpm.MonthlyEnroll,_xlpm.Remaining))),0))</f>
        <v/>
      </c>
      <c r="O78" s="9" t="str">
        <f>IF($B78="","",IFERROR(_xlfn.LET(_xlpm.Site,$B78,_xlpm.ActDate,_xlfn.XLOOKUP(_xlpm.Site,tblSites[Site],tblSites[Site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78:INDEX($1:$1048576,ROW(),COLUMN()-1))),_xlpm.Remaining,MAX(0,_xlpm.MaxPts-_xlpm.PriorEnrolled),IF(OR(_xlpm.ActDate="",EOMONTH(O$5,0)&lt;_xlpm.StartDate,_xlpm.Remaining&lt;=0),0,MIN(_xlpm.MonthlyEnroll,_xlpm.Remaining))),0))</f>
        <v/>
      </c>
      <c r="P78" s="9" t="str">
        <f>IF($B78="","",IFERROR(_xlfn.LET(_xlpm.Site,$B78,_xlpm.ActDate,_xlfn.XLOOKUP(_xlpm.Site,tblSites[Site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78:INDEX($1:$1048576,ROW(),COLUMN()-1))),_xlpm.Remaining,MAX(0,_xlpm.MaxPts-_xlpm.PriorEnrolled),IF(OR(_xlpm.ActDate="",EOMONTH(P$5,0)&lt;_xlpm.StartDate,_xlpm.Remaining&lt;=0),0,MIN(_xlpm.MonthlyEnroll,_xlpm.Remaining))),0))</f>
        <v/>
      </c>
      <c r="Q78" s="9" t="str">
        <f>IF($B78="","",IFERROR(_xlfn.LET(_xlpm.Site,$B78,_xlpm.ActDate,_xlfn.XLOOKUP(_xlpm.Site,tblSites[Monthly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78:INDEX($1:$1048576,ROW(),COLUMN()-1))),_xlpm.Remaining,MAX(0,_xlpm.MaxPts-_xlpm.PriorEnrolled),IF(OR(_xlpm.ActDate="",EOMONTH(Q$5,0)&lt;_xlpm.StartDate,_xlpm.Remaining&lt;=0),0,MIN(_xlpm.MonthlyEnroll,_xlpm.Remaining))),0))</f>
        <v/>
      </c>
      <c r="R78" s="9" t="str">
        <f>IF($B78="","",IFERROR(_xlfn.LET(_xlpm.Site,$B78,_xlpm.ActDate,_xlfn.XLOOKUP(_xlpm.Site,tblSites[Site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78:INDEX($1:$1048576,ROW(),COLUMN()-1))),_xlpm.Remaining,MAX(0,_xlpm.MaxPts-_xlpm.PriorEnrolled),IF(OR(_xlpm.ActDate="",EOMONTH(R$5,0)&lt;_xlpm.StartDate,_xlpm.Remaining&lt;=0),0,MIN(_xlpm.MonthlyEnroll,_xlpm.Remaining))),0))</f>
        <v/>
      </c>
      <c r="S78" s="9" t="str">
        <f>IF($B78="","",IFERROR(_xlfn.LET(_xlpm.Site,$B78,_xlpm.ActDate,_xlfn.XLOOKUP(_xlpm.Site,tblSites[Max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78:INDEX($1:$1048576,ROW(),COLUMN()-1))),_xlpm.Remaining,MAX(0,_xlpm.MaxPts-_xlpm.PriorEnrolled),IF(OR(_xlpm.ActDate="",EOMONTH(S$5,0)&lt;_xlpm.StartDate,_xlpm.Remaining&lt;=0),0,MIN(_xlpm.MonthlyEnroll,_xlpm.Remaining))),0))</f>
        <v/>
      </c>
      <c r="T78" s="9" t="str">
        <f>IF($B78="","",IFERROR(_xlfn.LET(_xlpm.Site,$B78,_xlpm.ActDate,_xlfn.XLOOKUP(_xlpm.Site,tblSites[Current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78:INDEX($1:$1048576,ROW(),COLUMN()-1))),_xlpm.Remaining,MAX(0,_xlpm.MaxPts-_xlpm.PriorEnrolled),IF(OR(_xlpm.ActDate="",EOMONTH(T$5,0)&lt;_xlpm.StartDate,_xlpm.Remaining&lt;=0),0,MIN(_xlpm.MonthlyEnroll,_xlpm.Remaining))),0))</f>
        <v/>
      </c>
      <c r="U78" s="9" t="str">
        <f>IF($B78="","",IFERROR(_xlfn.LET(_xlpm.Site,$B78,_xlpm.ActDate,_xlfn.XLOOKUP(_xlpm.Site,tblSites[Include?],tblSites[Scenario?],""),_xlpm.ScreenDays,N('Study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78:INDEX($1:$1048576,ROW(),COLUMN()-1))),_xlpm.Remaining,MAX(0,_xlpm.MaxPts-_xlpm.PriorEnrolled),IF(OR(_xlpm.ActDate="",EOMONTH(U$5,0)&lt;_xlpm.StartDate,_xlpm.Remaining&lt;=0),0,MIN(_xlpm.MonthlyEnroll,_xlpm.Remaining))),0))</f>
        <v/>
      </c>
      <c r="V78" s="9" t="str">
        <f>IF($B78="","",IFERROR(_xlfn.LET(_xlpm.Site,$B78,_xlpm.ActDate,_xlfn.XLOOKUP(_xlpm.Site,tblSites[Scenario?],tblSites[Check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78:INDEX($1:$1048576,ROW(),COLUMN()-1))),_xlpm.Remaining,MAX(0,_xlpm.MaxPts-_xlpm.PriorEnrolled),IF(OR(_xlpm.ActDate="",EOMONTH(V$5,0)&lt;_xlpm.StartDate,_xlpm.Remaining&lt;=0),0,MIN(_xlpm.MonthlyEnroll,_xlpm.Remaining))),0))</f>
        <v/>
      </c>
      <c r="W78" s="9" t="str">
        <f>IF($B78="","",IFERROR(_xlfn.LET(_xlpm.Site,$B78,_xlpm.ActDate,_xlfn.XLOOKUP(_xlpm.Site,tblSites[Check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78:INDEX($1:$1048576,ROW(),COLUMN()-1))),_xlpm.Remaining,MAX(0,_xlpm.MaxPts-_xlpm.PriorEnrolled),IF(OR(_xlpm.ActDate="",EOMONTH(W$5,0)&lt;_xlpm.StartDate,_xlpm.Remaining&lt;=0),0,MIN(_xlpm.MonthlyEnroll,_xlpm.Remaining))),0))</f>
        <v/>
      </c>
      <c r="X78" s="9" t="str">
        <f>IF($B78="","",IFERROR(_xlfn.LET(_xlpm.Site,$B78,_xlpm.ActDate,_xlfn.XLOOKUP(_xlpm.Site,tblSites[Site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78:INDEX($1:$1048576,ROW(),COLUMN()-1))),_xlpm.Remaining,MAX(0,_xlpm.MaxPts-_xlpm.PriorEnrolled),IF(OR(_xlpm.ActDate="",EOMONTH(X$5,0)&lt;_xlpm.StartDate,_xlpm.Remaining&lt;=0),0,MIN(_xlpm.MonthlyEnroll,_xlpm.Remaining))),0))</f>
        <v/>
      </c>
      <c r="Y78" s="9" t="str">
        <f>IF($B78="","",IFERROR(_xlfn.LET(_xlpm.Site,$B78,_xlpm.ActDate,_xlfn.XLOOKUP(_xlpm.Site,#REF!,tblSites[Country],""),_xlpm.ScreenDays,N('Study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78:INDEX($1:$1048576,ROW(),COLUMN()-1))),_xlpm.Remaining,MAX(0,_xlpm.MaxPts-_xlpm.PriorEnrolled),IF(OR(_xlpm.ActDate="",EOMONTH(Y$5,0)&lt;_xlpm.StartDate,_xlpm.Remaining&lt;=0),0,MIN(_xlpm.MonthlyEnroll,_xlpm.Remaining))),0))</f>
        <v/>
      </c>
      <c r="Z78" s="9" t="str">
        <f>IF($B78="","",IFERROR(_xlfn.LET(_xlpm.Site,$B78,_xlpm.ActDate,_xlfn.XLOOKUP(_xlpm.Site,tblSites[Country],tblSites[Site],""),_xlpm.ScreenDays,N('Study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78:INDEX($1:$1048576,ROW(),COLUMN()-1))),_xlpm.Remaining,MAX(0,_xlpm.MaxPts-_xlpm.PriorEnrolled),IF(OR(_xlpm.ActDate="",EOMONTH(Z$5,0)&lt;_xlpm.StartDate,_xlpm.Remaining&lt;=0),0,MIN(_xlpm.MonthlyEnroll,_xlpm.Remaining))),0))</f>
        <v/>
      </c>
      <c r="AA78" s="9" t="str">
        <f>IF($B78="","",IFERROR(_xlfn.LET(_xlpm.Site,$B78,_xlpm.ActDate,_xlfn.XLOOKUP(_xlpm.Site,tblSites[Site],tblSites[Site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78:INDEX($1:$1048576,ROW(),COLUMN()-1))),_xlpm.Remaining,MAX(0,_xlpm.MaxPts-_xlpm.PriorEnrolled),IF(OR(_xlpm.ActDate="",EOMONTH(AA$5,0)&lt;_xlpm.StartDate,_xlpm.Remaining&lt;=0),0,MIN(_xlpm.MonthlyEnroll,_xlpm.Remaining))),0))</f>
        <v/>
      </c>
      <c r="AB78" s="9" t="str">
        <f>IF($B78="","",IFERROR(_xlfn.LET(_xlpm.Site,$B78,_xlpm.ActDate,_xlfn.XLOOKUP(_xlpm.Site,tblSites[Site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78:INDEX($1:$1048576,ROW(),COLUMN()-1))),_xlpm.Remaining,MAX(0,_xlpm.MaxPts-_xlpm.PriorEnrolled),IF(OR(_xlpm.ActDate="",EOMONTH(AB$5,0)&lt;_xlpm.StartDate,_xlpm.Remaining&lt;=0),0,MIN(_xlpm.MonthlyEnroll,_xlpm.Remaining))),0))</f>
        <v/>
      </c>
      <c r="AC78" s="9" t="str">
        <f>IF($B78="","",IFERROR(_xlfn.LET(_xlpm.Site,$B78,_xlpm.ActDate,_xlfn.XLOOKUP(_xlpm.Site,tblSites[Monthly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78:INDEX($1:$1048576,ROW(),COLUMN()-1))),_xlpm.Remaining,MAX(0,_xlpm.MaxPts-_xlpm.PriorEnrolled),IF(OR(_xlpm.ActDate="",EOMONTH(AC$5,0)&lt;_xlpm.StartDate,_xlpm.Remaining&lt;=0),0,MIN(_xlpm.MonthlyEnroll,_xlpm.Remaining))),0))</f>
        <v/>
      </c>
    </row>
    <row r="79" spans="3:29" x14ac:dyDescent="0.25">
      <c r="C79" s="9" cm="1">
        <f t="array" aca="1" ref="C79" ca="1">IF(C$5&lt;=TODAY(),0,IF($B79="","",IFERROR(_xlfn.LET(_xlpm.Site,$B79,_xlpm.SiteCol,INDIRECT("tblSites[Site]"),_xlpm.ActCol,INDIRECT("tblSites[Site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79" s="9" t="str">
        <f>IF($B79="","",IFERROR(_xlfn.LET(_xlpm.Site,$B79,_xlpm.ActDate,_xlfn.XLOOKUP(_xlpm.Site,tblSites[Site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79:INDEX($1:$1048576,ROW(),COLUMN()-1))),_xlpm.Remaining,MAX(0,_xlpm.MaxPts-_xlpm.PriorEnrolled),IF(OR(_xlpm.ActDate="",EOMONTH(D$5,0)&lt;_xlpm.StartDate,_xlpm.Remaining&lt;=0),0,MIN(_xlpm.MonthlyEnroll,_xlpm.Remaining))),0))</f>
        <v/>
      </c>
      <c r="E79" s="9" t="str">
        <f>IF($B79="","",IFERROR(_xlfn.LET(_xlpm.Site,$B79,_xlpm.ActDate,_xlfn.XLOOKUP(_xlpm.Site,tblSites[Monthly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79:INDEX($1:$1048576,ROW(),COLUMN()-1))),_xlpm.Remaining,MAX(0,_xlpm.MaxPts-_xlpm.PriorEnrolled),IF(OR(_xlpm.ActDate="",EOMONTH(E$5,0)&lt;_xlpm.StartDate,_xlpm.Remaining&lt;=0),0,MIN(_xlpm.MonthlyEnroll,_xlpm.Remaining))),0))</f>
        <v/>
      </c>
      <c r="F79" s="9" t="str">
        <f>IF($B79="","",IFERROR(_xlfn.LET(_xlpm.Site,$B79,_xlpm.ActDate,_xlfn.XLOOKUP(_xlpm.Site,tblSites[Site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79:INDEX($1:$1048576,ROW(),COLUMN()-1))),_xlpm.Remaining,MAX(0,_xlpm.MaxPts-_xlpm.PriorEnrolled),IF(OR(_xlpm.ActDate="",EOMONTH(F$5,0)&lt;_xlpm.StartDate,_xlpm.Remaining&lt;=0),0,MIN(_xlpm.MonthlyEnroll,_xlpm.Remaining))),0))</f>
        <v/>
      </c>
      <c r="G79" s="9" t="str">
        <f>IF($B79="","",IFERROR(_xlfn.LET(_xlpm.Site,$B79,_xlpm.ActDate,_xlfn.XLOOKUP(_xlpm.Site,tblSites[Max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79:INDEX($1:$1048576,ROW(),COLUMN()-1))),_xlpm.Remaining,MAX(0,_xlpm.MaxPts-_xlpm.PriorEnrolled),IF(OR(_xlpm.ActDate="",EOMONTH(G$5,0)&lt;_xlpm.StartDate,_xlpm.Remaining&lt;=0),0,MIN(_xlpm.MonthlyEnroll,_xlpm.Remaining))),0))</f>
        <v/>
      </c>
      <c r="H79" s="9" t="str">
        <f>IF($B79="","",IFERROR(_xlfn.LET(_xlpm.Site,$B79,_xlpm.ActDate,_xlfn.XLOOKUP(_xlpm.Site,tblSites[Current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79:INDEX($1:$1048576,ROW(),COLUMN()-1))),_xlpm.Remaining,MAX(0,_xlpm.MaxPts-_xlpm.PriorEnrolled),IF(OR(_xlpm.ActDate="",EOMONTH(H$5,0)&lt;_xlpm.StartDate,_xlpm.Remaining&lt;=0),0,MIN(_xlpm.MonthlyEnroll,_xlpm.Remaining))),0))</f>
        <v/>
      </c>
      <c r="I79" s="9" t="str">
        <f>IF($B79="","",IFERROR(_xlfn.LET(_xlpm.Site,$B79,_xlpm.ActDate,_xlfn.XLOOKUP(_xlpm.Site,tblSites[Include?],tblSites[Scenario?],""),_xlpm.ScreenDays,N('Study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79:INDEX($1:$1048576,ROW(),COLUMN()-1))),_xlpm.Remaining,MAX(0,_xlpm.MaxPts-_xlpm.PriorEnrolled),IF(OR(_xlpm.ActDate="",EOMONTH(I$5,0)&lt;_xlpm.StartDate,_xlpm.Remaining&lt;=0),0,MIN(_xlpm.MonthlyEnroll,_xlpm.Remaining))),0))</f>
        <v/>
      </c>
      <c r="J79" s="9" t="str">
        <f>IF($B79="","",IFERROR(_xlfn.LET(_xlpm.Site,$B79,_xlpm.ActDate,_xlfn.XLOOKUP(_xlpm.Site,tblSites[Scenario?],tblSites[Check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79:INDEX($1:$1048576,ROW(),COLUMN()-1))),_xlpm.Remaining,MAX(0,_xlpm.MaxPts-_xlpm.PriorEnrolled),IF(OR(_xlpm.ActDate="",EOMONTH(J$5,0)&lt;_xlpm.StartDate,_xlpm.Remaining&lt;=0),0,MIN(_xlpm.MonthlyEnroll,_xlpm.Remaining))),0))</f>
        <v/>
      </c>
      <c r="K79" s="9" t="str">
        <f>IF($B79="","",IFERROR(_xlfn.LET(_xlpm.Site,$B79,_xlpm.ActDate,_xlfn.XLOOKUP(_xlpm.Site,tblSites[Check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79:INDEX($1:$1048576,ROW(),COLUMN()-1))),_xlpm.Remaining,MAX(0,_xlpm.MaxPts-_xlpm.PriorEnrolled),IF(OR(_xlpm.ActDate="",EOMONTH(K$5,0)&lt;_xlpm.StartDate,_xlpm.Remaining&lt;=0),0,MIN(_xlpm.MonthlyEnroll,_xlpm.Remaining))),0))</f>
        <v/>
      </c>
      <c r="L79" s="9" t="str">
        <f>IF($B79="","",IFERROR(_xlfn.LET(_xlpm.Site,$B79,_xlpm.ActDate,_xlfn.XLOOKUP(_xlpm.Site,tblSites[Site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79:INDEX($1:$1048576,ROW(),COLUMN()-1))),_xlpm.Remaining,MAX(0,_xlpm.MaxPts-_xlpm.PriorEnrolled),IF(OR(_xlpm.ActDate="",EOMONTH(L$5,0)&lt;_xlpm.StartDate,_xlpm.Remaining&lt;=0),0,MIN(_xlpm.MonthlyEnroll,_xlpm.Remaining))),0))</f>
        <v/>
      </c>
      <c r="M79" s="9" t="str">
        <f>IF($B79="","",IFERROR(_xlfn.LET(_xlpm.Site,$B79,_xlpm.ActDate,_xlfn.XLOOKUP(_xlpm.Site,#REF!,tblSites[Country],""),_xlpm.ScreenDays,N('Study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79:INDEX($1:$1048576,ROW(),COLUMN()-1))),_xlpm.Remaining,MAX(0,_xlpm.MaxPts-_xlpm.PriorEnrolled),IF(OR(_xlpm.ActDate="",EOMONTH(M$5,0)&lt;_xlpm.StartDate,_xlpm.Remaining&lt;=0),0,MIN(_xlpm.MonthlyEnroll,_xlpm.Remaining))),0))</f>
        <v/>
      </c>
      <c r="N79" s="9" t="str">
        <f>IF($B79="","",IFERROR(_xlfn.LET(_xlpm.Site,$B79,_xlpm.ActDate,_xlfn.XLOOKUP(_xlpm.Site,tblSites[Country],tblSites[Site],""),_xlpm.ScreenDays,N('Study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79:INDEX($1:$1048576,ROW(),COLUMN()-1))),_xlpm.Remaining,MAX(0,_xlpm.MaxPts-_xlpm.PriorEnrolled),IF(OR(_xlpm.ActDate="",EOMONTH(N$5,0)&lt;_xlpm.StartDate,_xlpm.Remaining&lt;=0),0,MIN(_xlpm.MonthlyEnroll,_xlpm.Remaining))),0))</f>
        <v/>
      </c>
      <c r="O79" s="9" t="str">
        <f>IF($B79="","",IFERROR(_xlfn.LET(_xlpm.Site,$B79,_xlpm.ActDate,_xlfn.XLOOKUP(_xlpm.Site,tblSites[Site],tblSites[Site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79:INDEX($1:$1048576,ROW(),COLUMN()-1))),_xlpm.Remaining,MAX(0,_xlpm.MaxPts-_xlpm.PriorEnrolled),IF(OR(_xlpm.ActDate="",EOMONTH(O$5,0)&lt;_xlpm.StartDate,_xlpm.Remaining&lt;=0),0,MIN(_xlpm.MonthlyEnroll,_xlpm.Remaining))),0))</f>
        <v/>
      </c>
      <c r="P79" s="9" t="str">
        <f>IF($B79="","",IFERROR(_xlfn.LET(_xlpm.Site,$B79,_xlpm.ActDate,_xlfn.XLOOKUP(_xlpm.Site,tblSites[Site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79:INDEX($1:$1048576,ROW(),COLUMN()-1))),_xlpm.Remaining,MAX(0,_xlpm.MaxPts-_xlpm.PriorEnrolled),IF(OR(_xlpm.ActDate="",EOMONTH(P$5,0)&lt;_xlpm.StartDate,_xlpm.Remaining&lt;=0),0,MIN(_xlpm.MonthlyEnroll,_xlpm.Remaining))),0))</f>
        <v/>
      </c>
      <c r="Q79" s="9" t="str">
        <f>IF($B79="","",IFERROR(_xlfn.LET(_xlpm.Site,$B79,_xlpm.ActDate,_xlfn.XLOOKUP(_xlpm.Site,tblSites[Monthly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79:INDEX($1:$1048576,ROW(),COLUMN()-1))),_xlpm.Remaining,MAX(0,_xlpm.MaxPts-_xlpm.PriorEnrolled),IF(OR(_xlpm.ActDate="",EOMONTH(Q$5,0)&lt;_xlpm.StartDate,_xlpm.Remaining&lt;=0),0,MIN(_xlpm.MonthlyEnroll,_xlpm.Remaining))),0))</f>
        <v/>
      </c>
      <c r="R79" s="9" t="str">
        <f>IF($B79="","",IFERROR(_xlfn.LET(_xlpm.Site,$B79,_xlpm.ActDate,_xlfn.XLOOKUP(_xlpm.Site,tblSites[Site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79:INDEX($1:$1048576,ROW(),COLUMN()-1))),_xlpm.Remaining,MAX(0,_xlpm.MaxPts-_xlpm.PriorEnrolled),IF(OR(_xlpm.ActDate="",EOMONTH(R$5,0)&lt;_xlpm.StartDate,_xlpm.Remaining&lt;=0),0,MIN(_xlpm.MonthlyEnroll,_xlpm.Remaining))),0))</f>
        <v/>
      </c>
      <c r="S79" s="9" t="str">
        <f>IF($B79="","",IFERROR(_xlfn.LET(_xlpm.Site,$B79,_xlpm.ActDate,_xlfn.XLOOKUP(_xlpm.Site,tblSites[Max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79:INDEX($1:$1048576,ROW(),COLUMN()-1))),_xlpm.Remaining,MAX(0,_xlpm.MaxPts-_xlpm.PriorEnrolled),IF(OR(_xlpm.ActDate="",EOMONTH(S$5,0)&lt;_xlpm.StartDate,_xlpm.Remaining&lt;=0),0,MIN(_xlpm.MonthlyEnroll,_xlpm.Remaining))),0))</f>
        <v/>
      </c>
      <c r="T79" s="9" t="str">
        <f>IF($B79="","",IFERROR(_xlfn.LET(_xlpm.Site,$B79,_xlpm.ActDate,_xlfn.XLOOKUP(_xlpm.Site,tblSites[Current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79:INDEX($1:$1048576,ROW(),COLUMN()-1))),_xlpm.Remaining,MAX(0,_xlpm.MaxPts-_xlpm.PriorEnrolled),IF(OR(_xlpm.ActDate="",EOMONTH(T$5,0)&lt;_xlpm.StartDate,_xlpm.Remaining&lt;=0),0,MIN(_xlpm.MonthlyEnroll,_xlpm.Remaining))),0))</f>
        <v/>
      </c>
      <c r="U79" s="9" t="str">
        <f>IF($B79="","",IFERROR(_xlfn.LET(_xlpm.Site,$B79,_xlpm.ActDate,_xlfn.XLOOKUP(_xlpm.Site,tblSites[Include?],tblSites[Scenario?],""),_xlpm.ScreenDays,N('Study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79:INDEX($1:$1048576,ROW(),COLUMN()-1))),_xlpm.Remaining,MAX(0,_xlpm.MaxPts-_xlpm.PriorEnrolled),IF(OR(_xlpm.ActDate="",EOMONTH(U$5,0)&lt;_xlpm.StartDate,_xlpm.Remaining&lt;=0),0,MIN(_xlpm.MonthlyEnroll,_xlpm.Remaining))),0))</f>
        <v/>
      </c>
      <c r="V79" s="9" t="str">
        <f>IF($B79="","",IFERROR(_xlfn.LET(_xlpm.Site,$B79,_xlpm.ActDate,_xlfn.XLOOKUP(_xlpm.Site,tblSites[Scenario?],tblSites[Check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79:INDEX($1:$1048576,ROW(),COLUMN()-1))),_xlpm.Remaining,MAX(0,_xlpm.MaxPts-_xlpm.PriorEnrolled),IF(OR(_xlpm.ActDate="",EOMONTH(V$5,0)&lt;_xlpm.StartDate,_xlpm.Remaining&lt;=0),0,MIN(_xlpm.MonthlyEnroll,_xlpm.Remaining))),0))</f>
        <v/>
      </c>
      <c r="W79" s="9" t="str">
        <f>IF($B79="","",IFERROR(_xlfn.LET(_xlpm.Site,$B79,_xlpm.ActDate,_xlfn.XLOOKUP(_xlpm.Site,tblSites[Check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79:INDEX($1:$1048576,ROW(),COLUMN()-1))),_xlpm.Remaining,MAX(0,_xlpm.MaxPts-_xlpm.PriorEnrolled),IF(OR(_xlpm.ActDate="",EOMONTH(W$5,0)&lt;_xlpm.StartDate,_xlpm.Remaining&lt;=0),0,MIN(_xlpm.MonthlyEnroll,_xlpm.Remaining))),0))</f>
        <v/>
      </c>
      <c r="X79" s="9" t="str">
        <f>IF($B79="","",IFERROR(_xlfn.LET(_xlpm.Site,$B79,_xlpm.ActDate,_xlfn.XLOOKUP(_xlpm.Site,tblSites[Site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79:INDEX($1:$1048576,ROW(),COLUMN()-1))),_xlpm.Remaining,MAX(0,_xlpm.MaxPts-_xlpm.PriorEnrolled),IF(OR(_xlpm.ActDate="",EOMONTH(X$5,0)&lt;_xlpm.StartDate,_xlpm.Remaining&lt;=0),0,MIN(_xlpm.MonthlyEnroll,_xlpm.Remaining))),0))</f>
        <v/>
      </c>
      <c r="Y79" s="9" t="str">
        <f>IF($B79="","",IFERROR(_xlfn.LET(_xlpm.Site,$B79,_xlpm.ActDate,_xlfn.XLOOKUP(_xlpm.Site,#REF!,tblSites[Country],""),_xlpm.ScreenDays,N('Study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79:INDEX($1:$1048576,ROW(),COLUMN()-1))),_xlpm.Remaining,MAX(0,_xlpm.MaxPts-_xlpm.PriorEnrolled),IF(OR(_xlpm.ActDate="",EOMONTH(Y$5,0)&lt;_xlpm.StartDate,_xlpm.Remaining&lt;=0),0,MIN(_xlpm.MonthlyEnroll,_xlpm.Remaining))),0))</f>
        <v/>
      </c>
      <c r="Z79" s="9" t="str">
        <f>IF($B79="","",IFERROR(_xlfn.LET(_xlpm.Site,$B79,_xlpm.ActDate,_xlfn.XLOOKUP(_xlpm.Site,tblSites[Country],tblSites[Site],""),_xlpm.ScreenDays,N('Study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79:INDEX($1:$1048576,ROW(),COLUMN()-1))),_xlpm.Remaining,MAX(0,_xlpm.MaxPts-_xlpm.PriorEnrolled),IF(OR(_xlpm.ActDate="",EOMONTH(Z$5,0)&lt;_xlpm.StartDate,_xlpm.Remaining&lt;=0),0,MIN(_xlpm.MonthlyEnroll,_xlpm.Remaining))),0))</f>
        <v/>
      </c>
      <c r="AA79" s="9" t="str">
        <f>IF($B79="","",IFERROR(_xlfn.LET(_xlpm.Site,$B79,_xlpm.ActDate,_xlfn.XLOOKUP(_xlpm.Site,tblSites[Site],tblSites[Site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79:INDEX($1:$1048576,ROW(),COLUMN()-1))),_xlpm.Remaining,MAX(0,_xlpm.MaxPts-_xlpm.PriorEnrolled),IF(OR(_xlpm.ActDate="",EOMONTH(AA$5,0)&lt;_xlpm.StartDate,_xlpm.Remaining&lt;=0),0,MIN(_xlpm.MonthlyEnroll,_xlpm.Remaining))),0))</f>
        <v/>
      </c>
      <c r="AB79" s="9" t="str">
        <f>IF($B79="","",IFERROR(_xlfn.LET(_xlpm.Site,$B79,_xlpm.ActDate,_xlfn.XLOOKUP(_xlpm.Site,tblSites[Site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79:INDEX($1:$1048576,ROW(),COLUMN()-1))),_xlpm.Remaining,MAX(0,_xlpm.MaxPts-_xlpm.PriorEnrolled),IF(OR(_xlpm.ActDate="",EOMONTH(AB$5,0)&lt;_xlpm.StartDate,_xlpm.Remaining&lt;=0),0,MIN(_xlpm.MonthlyEnroll,_xlpm.Remaining))),0))</f>
        <v/>
      </c>
      <c r="AC79" s="9" t="str">
        <f>IF($B79="","",IFERROR(_xlfn.LET(_xlpm.Site,$B79,_xlpm.ActDate,_xlfn.XLOOKUP(_xlpm.Site,tblSites[Monthly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79:INDEX($1:$1048576,ROW(),COLUMN()-1))),_xlpm.Remaining,MAX(0,_xlpm.MaxPts-_xlpm.PriorEnrolled),IF(OR(_xlpm.ActDate="",EOMONTH(AC$5,0)&lt;_xlpm.StartDate,_xlpm.Remaining&lt;=0),0,MIN(_xlpm.MonthlyEnroll,_xlpm.Remaining))),0))</f>
        <v/>
      </c>
    </row>
    <row r="80" spans="3:29" x14ac:dyDescent="0.25">
      <c r="C80" s="9" cm="1">
        <f t="array" aca="1" ref="C80" ca="1">IF(C$5&lt;=TODAY(),0,IF($B80="","",IFERROR(_xlfn.LET(_xlpm.Site,$B80,_xlpm.SiteCol,INDIRECT("tblSites[Site]"),_xlpm.ActCol,INDIRECT("tblSites[Site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0" s="9" t="str">
        <f>IF($B80="","",IFERROR(_xlfn.LET(_xlpm.Site,$B80,_xlpm.ActDate,_xlfn.XLOOKUP(_xlpm.Site,tblSites[Site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80:INDEX($1:$1048576,ROW(),COLUMN()-1))),_xlpm.Remaining,MAX(0,_xlpm.MaxPts-_xlpm.PriorEnrolled),IF(OR(_xlpm.ActDate="",EOMONTH(D$5,0)&lt;_xlpm.StartDate,_xlpm.Remaining&lt;=0),0,MIN(_xlpm.MonthlyEnroll,_xlpm.Remaining))),0))</f>
        <v/>
      </c>
      <c r="E80" s="9" t="str">
        <f>IF($B80="","",IFERROR(_xlfn.LET(_xlpm.Site,$B80,_xlpm.ActDate,_xlfn.XLOOKUP(_xlpm.Site,tblSites[Monthly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80:INDEX($1:$1048576,ROW(),COLUMN()-1))),_xlpm.Remaining,MAX(0,_xlpm.MaxPts-_xlpm.PriorEnrolled),IF(OR(_xlpm.ActDate="",EOMONTH(E$5,0)&lt;_xlpm.StartDate,_xlpm.Remaining&lt;=0),0,MIN(_xlpm.MonthlyEnroll,_xlpm.Remaining))),0))</f>
        <v/>
      </c>
      <c r="F80" s="9" t="str">
        <f>IF($B80="","",IFERROR(_xlfn.LET(_xlpm.Site,$B80,_xlpm.ActDate,_xlfn.XLOOKUP(_xlpm.Site,tblSites[Site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80:INDEX($1:$1048576,ROW(),COLUMN()-1))),_xlpm.Remaining,MAX(0,_xlpm.MaxPts-_xlpm.PriorEnrolled),IF(OR(_xlpm.ActDate="",EOMONTH(F$5,0)&lt;_xlpm.StartDate,_xlpm.Remaining&lt;=0),0,MIN(_xlpm.MonthlyEnroll,_xlpm.Remaining))),0))</f>
        <v/>
      </c>
      <c r="G80" s="9" t="str">
        <f>IF($B80="","",IFERROR(_xlfn.LET(_xlpm.Site,$B80,_xlpm.ActDate,_xlfn.XLOOKUP(_xlpm.Site,tblSites[Max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80:INDEX($1:$1048576,ROW(),COLUMN()-1))),_xlpm.Remaining,MAX(0,_xlpm.MaxPts-_xlpm.PriorEnrolled),IF(OR(_xlpm.ActDate="",EOMONTH(G$5,0)&lt;_xlpm.StartDate,_xlpm.Remaining&lt;=0),0,MIN(_xlpm.MonthlyEnroll,_xlpm.Remaining))),0))</f>
        <v/>
      </c>
      <c r="H80" s="9" t="str">
        <f>IF($B80="","",IFERROR(_xlfn.LET(_xlpm.Site,$B80,_xlpm.ActDate,_xlfn.XLOOKUP(_xlpm.Site,tblSites[Current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80:INDEX($1:$1048576,ROW(),COLUMN()-1))),_xlpm.Remaining,MAX(0,_xlpm.MaxPts-_xlpm.PriorEnrolled),IF(OR(_xlpm.ActDate="",EOMONTH(H$5,0)&lt;_xlpm.StartDate,_xlpm.Remaining&lt;=0),0,MIN(_xlpm.MonthlyEnroll,_xlpm.Remaining))),0))</f>
        <v/>
      </c>
      <c r="I80" s="9" t="str">
        <f>IF($B80="","",IFERROR(_xlfn.LET(_xlpm.Site,$B80,_xlpm.ActDate,_xlfn.XLOOKUP(_xlpm.Site,tblSites[Include?],tblSites[Scenario?],""),_xlpm.ScreenDays,N('Study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80:INDEX($1:$1048576,ROW(),COLUMN()-1))),_xlpm.Remaining,MAX(0,_xlpm.MaxPts-_xlpm.PriorEnrolled),IF(OR(_xlpm.ActDate="",EOMONTH(I$5,0)&lt;_xlpm.StartDate,_xlpm.Remaining&lt;=0),0,MIN(_xlpm.MonthlyEnroll,_xlpm.Remaining))),0))</f>
        <v/>
      </c>
      <c r="J80" s="9" t="str">
        <f>IF($B80="","",IFERROR(_xlfn.LET(_xlpm.Site,$B80,_xlpm.ActDate,_xlfn.XLOOKUP(_xlpm.Site,tblSites[Scenario?],tblSites[Check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80:INDEX($1:$1048576,ROW(),COLUMN()-1))),_xlpm.Remaining,MAX(0,_xlpm.MaxPts-_xlpm.PriorEnrolled),IF(OR(_xlpm.ActDate="",EOMONTH(J$5,0)&lt;_xlpm.StartDate,_xlpm.Remaining&lt;=0),0,MIN(_xlpm.MonthlyEnroll,_xlpm.Remaining))),0))</f>
        <v/>
      </c>
      <c r="K80" s="9" t="str">
        <f>IF($B80="","",IFERROR(_xlfn.LET(_xlpm.Site,$B80,_xlpm.ActDate,_xlfn.XLOOKUP(_xlpm.Site,tblSites[Check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80:INDEX($1:$1048576,ROW(),COLUMN()-1))),_xlpm.Remaining,MAX(0,_xlpm.MaxPts-_xlpm.PriorEnrolled),IF(OR(_xlpm.ActDate="",EOMONTH(K$5,0)&lt;_xlpm.StartDate,_xlpm.Remaining&lt;=0),0,MIN(_xlpm.MonthlyEnroll,_xlpm.Remaining))),0))</f>
        <v/>
      </c>
      <c r="L80" s="9" t="str">
        <f>IF($B80="","",IFERROR(_xlfn.LET(_xlpm.Site,$B80,_xlpm.ActDate,_xlfn.XLOOKUP(_xlpm.Site,tblSites[Site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80:INDEX($1:$1048576,ROW(),COLUMN()-1))),_xlpm.Remaining,MAX(0,_xlpm.MaxPts-_xlpm.PriorEnrolled),IF(OR(_xlpm.ActDate="",EOMONTH(L$5,0)&lt;_xlpm.StartDate,_xlpm.Remaining&lt;=0),0,MIN(_xlpm.MonthlyEnroll,_xlpm.Remaining))),0))</f>
        <v/>
      </c>
      <c r="M80" s="9" t="str">
        <f>IF($B80="","",IFERROR(_xlfn.LET(_xlpm.Site,$B80,_xlpm.ActDate,_xlfn.XLOOKUP(_xlpm.Site,#REF!,tblSites[Country],""),_xlpm.ScreenDays,N('Study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80:INDEX($1:$1048576,ROW(),COLUMN()-1))),_xlpm.Remaining,MAX(0,_xlpm.MaxPts-_xlpm.PriorEnrolled),IF(OR(_xlpm.ActDate="",EOMONTH(M$5,0)&lt;_xlpm.StartDate,_xlpm.Remaining&lt;=0),0,MIN(_xlpm.MonthlyEnroll,_xlpm.Remaining))),0))</f>
        <v/>
      </c>
      <c r="N80" s="9" t="str">
        <f>IF($B80="","",IFERROR(_xlfn.LET(_xlpm.Site,$B80,_xlpm.ActDate,_xlfn.XLOOKUP(_xlpm.Site,tblSites[Country],tblSites[Site],""),_xlpm.ScreenDays,N('Study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80:INDEX($1:$1048576,ROW(),COLUMN()-1))),_xlpm.Remaining,MAX(0,_xlpm.MaxPts-_xlpm.PriorEnrolled),IF(OR(_xlpm.ActDate="",EOMONTH(N$5,0)&lt;_xlpm.StartDate,_xlpm.Remaining&lt;=0),0,MIN(_xlpm.MonthlyEnroll,_xlpm.Remaining))),0))</f>
        <v/>
      </c>
      <c r="O80" s="9" t="str">
        <f>IF($B80="","",IFERROR(_xlfn.LET(_xlpm.Site,$B80,_xlpm.ActDate,_xlfn.XLOOKUP(_xlpm.Site,tblSites[Site],tblSites[Site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80:INDEX($1:$1048576,ROW(),COLUMN()-1))),_xlpm.Remaining,MAX(0,_xlpm.MaxPts-_xlpm.PriorEnrolled),IF(OR(_xlpm.ActDate="",EOMONTH(O$5,0)&lt;_xlpm.StartDate,_xlpm.Remaining&lt;=0),0,MIN(_xlpm.MonthlyEnroll,_xlpm.Remaining))),0))</f>
        <v/>
      </c>
      <c r="P80" s="9" t="str">
        <f>IF($B80="","",IFERROR(_xlfn.LET(_xlpm.Site,$B80,_xlpm.ActDate,_xlfn.XLOOKUP(_xlpm.Site,tblSites[Site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80:INDEX($1:$1048576,ROW(),COLUMN()-1))),_xlpm.Remaining,MAX(0,_xlpm.MaxPts-_xlpm.PriorEnrolled),IF(OR(_xlpm.ActDate="",EOMONTH(P$5,0)&lt;_xlpm.StartDate,_xlpm.Remaining&lt;=0),0,MIN(_xlpm.MonthlyEnroll,_xlpm.Remaining))),0))</f>
        <v/>
      </c>
      <c r="Q80" s="9" t="str">
        <f>IF($B80="","",IFERROR(_xlfn.LET(_xlpm.Site,$B80,_xlpm.ActDate,_xlfn.XLOOKUP(_xlpm.Site,tblSites[Monthly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80:INDEX($1:$1048576,ROW(),COLUMN()-1))),_xlpm.Remaining,MAX(0,_xlpm.MaxPts-_xlpm.PriorEnrolled),IF(OR(_xlpm.ActDate="",EOMONTH(Q$5,0)&lt;_xlpm.StartDate,_xlpm.Remaining&lt;=0),0,MIN(_xlpm.MonthlyEnroll,_xlpm.Remaining))),0))</f>
        <v/>
      </c>
      <c r="R80" s="9" t="str">
        <f>IF($B80="","",IFERROR(_xlfn.LET(_xlpm.Site,$B80,_xlpm.ActDate,_xlfn.XLOOKUP(_xlpm.Site,tblSites[Site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80:INDEX($1:$1048576,ROW(),COLUMN()-1))),_xlpm.Remaining,MAX(0,_xlpm.MaxPts-_xlpm.PriorEnrolled),IF(OR(_xlpm.ActDate="",EOMONTH(R$5,0)&lt;_xlpm.StartDate,_xlpm.Remaining&lt;=0),0,MIN(_xlpm.MonthlyEnroll,_xlpm.Remaining))),0))</f>
        <v/>
      </c>
      <c r="S80" s="9" t="str">
        <f>IF($B80="","",IFERROR(_xlfn.LET(_xlpm.Site,$B80,_xlpm.ActDate,_xlfn.XLOOKUP(_xlpm.Site,tblSites[Max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80:INDEX($1:$1048576,ROW(),COLUMN()-1))),_xlpm.Remaining,MAX(0,_xlpm.MaxPts-_xlpm.PriorEnrolled),IF(OR(_xlpm.ActDate="",EOMONTH(S$5,0)&lt;_xlpm.StartDate,_xlpm.Remaining&lt;=0),0,MIN(_xlpm.MonthlyEnroll,_xlpm.Remaining))),0))</f>
        <v/>
      </c>
      <c r="T80" s="9" t="str">
        <f>IF($B80="","",IFERROR(_xlfn.LET(_xlpm.Site,$B80,_xlpm.ActDate,_xlfn.XLOOKUP(_xlpm.Site,tblSites[Current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80:INDEX($1:$1048576,ROW(),COLUMN()-1))),_xlpm.Remaining,MAX(0,_xlpm.MaxPts-_xlpm.PriorEnrolled),IF(OR(_xlpm.ActDate="",EOMONTH(T$5,0)&lt;_xlpm.StartDate,_xlpm.Remaining&lt;=0),0,MIN(_xlpm.MonthlyEnroll,_xlpm.Remaining))),0))</f>
        <v/>
      </c>
      <c r="U80" s="9" t="str">
        <f>IF($B80="","",IFERROR(_xlfn.LET(_xlpm.Site,$B80,_xlpm.ActDate,_xlfn.XLOOKUP(_xlpm.Site,tblSites[Include?],tblSites[Scenario?],""),_xlpm.ScreenDays,N('Study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80:INDEX($1:$1048576,ROW(),COLUMN()-1))),_xlpm.Remaining,MAX(0,_xlpm.MaxPts-_xlpm.PriorEnrolled),IF(OR(_xlpm.ActDate="",EOMONTH(U$5,0)&lt;_xlpm.StartDate,_xlpm.Remaining&lt;=0),0,MIN(_xlpm.MonthlyEnroll,_xlpm.Remaining))),0))</f>
        <v/>
      </c>
      <c r="V80" s="9" t="str">
        <f>IF($B80="","",IFERROR(_xlfn.LET(_xlpm.Site,$B80,_xlpm.ActDate,_xlfn.XLOOKUP(_xlpm.Site,tblSites[Scenario?],tblSites[Check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80:INDEX($1:$1048576,ROW(),COLUMN()-1))),_xlpm.Remaining,MAX(0,_xlpm.MaxPts-_xlpm.PriorEnrolled),IF(OR(_xlpm.ActDate="",EOMONTH(V$5,0)&lt;_xlpm.StartDate,_xlpm.Remaining&lt;=0),0,MIN(_xlpm.MonthlyEnroll,_xlpm.Remaining))),0))</f>
        <v/>
      </c>
      <c r="W80" s="9" t="str">
        <f>IF($B80="","",IFERROR(_xlfn.LET(_xlpm.Site,$B80,_xlpm.ActDate,_xlfn.XLOOKUP(_xlpm.Site,tblSites[Check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80:INDEX($1:$1048576,ROW(),COLUMN()-1))),_xlpm.Remaining,MAX(0,_xlpm.MaxPts-_xlpm.PriorEnrolled),IF(OR(_xlpm.ActDate="",EOMONTH(W$5,0)&lt;_xlpm.StartDate,_xlpm.Remaining&lt;=0),0,MIN(_xlpm.MonthlyEnroll,_xlpm.Remaining))),0))</f>
        <v/>
      </c>
      <c r="X80" s="9" t="str">
        <f>IF($B80="","",IFERROR(_xlfn.LET(_xlpm.Site,$B80,_xlpm.ActDate,_xlfn.XLOOKUP(_xlpm.Site,tblSites[Site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80:INDEX($1:$1048576,ROW(),COLUMN()-1))),_xlpm.Remaining,MAX(0,_xlpm.MaxPts-_xlpm.PriorEnrolled),IF(OR(_xlpm.ActDate="",EOMONTH(X$5,0)&lt;_xlpm.StartDate,_xlpm.Remaining&lt;=0),0,MIN(_xlpm.MonthlyEnroll,_xlpm.Remaining))),0))</f>
        <v/>
      </c>
      <c r="Y80" s="9" t="str">
        <f>IF($B80="","",IFERROR(_xlfn.LET(_xlpm.Site,$B80,_xlpm.ActDate,_xlfn.XLOOKUP(_xlpm.Site,#REF!,tblSites[Country],""),_xlpm.ScreenDays,N('Study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80:INDEX($1:$1048576,ROW(),COLUMN()-1))),_xlpm.Remaining,MAX(0,_xlpm.MaxPts-_xlpm.PriorEnrolled),IF(OR(_xlpm.ActDate="",EOMONTH(Y$5,0)&lt;_xlpm.StartDate,_xlpm.Remaining&lt;=0),0,MIN(_xlpm.MonthlyEnroll,_xlpm.Remaining))),0))</f>
        <v/>
      </c>
      <c r="Z80" s="9" t="str">
        <f>IF($B80="","",IFERROR(_xlfn.LET(_xlpm.Site,$B80,_xlpm.ActDate,_xlfn.XLOOKUP(_xlpm.Site,tblSites[Country],tblSites[Site],""),_xlpm.ScreenDays,N('Study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80:INDEX($1:$1048576,ROW(),COLUMN()-1))),_xlpm.Remaining,MAX(0,_xlpm.MaxPts-_xlpm.PriorEnrolled),IF(OR(_xlpm.ActDate="",EOMONTH(Z$5,0)&lt;_xlpm.StartDate,_xlpm.Remaining&lt;=0),0,MIN(_xlpm.MonthlyEnroll,_xlpm.Remaining))),0))</f>
        <v/>
      </c>
      <c r="AA80" s="9" t="str">
        <f>IF($B80="","",IFERROR(_xlfn.LET(_xlpm.Site,$B80,_xlpm.ActDate,_xlfn.XLOOKUP(_xlpm.Site,tblSites[Site],tblSites[Site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80:INDEX($1:$1048576,ROW(),COLUMN()-1))),_xlpm.Remaining,MAX(0,_xlpm.MaxPts-_xlpm.PriorEnrolled),IF(OR(_xlpm.ActDate="",EOMONTH(AA$5,0)&lt;_xlpm.StartDate,_xlpm.Remaining&lt;=0),0,MIN(_xlpm.MonthlyEnroll,_xlpm.Remaining))),0))</f>
        <v/>
      </c>
      <c r="AB80" s="9" t="str">
        <f>IF($B80="","",IFERROR(_xlfn.LET(_xlpm.Site,$B80,_xlpm.ActDate,_xlfn.XLOOKUP(_xlpm.Site,tblSites[Site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80:INDEX($1:$1048576,ROW(),COLUMN()-1))),_xlpm.Remaining,MAX(0,_xlpm.MaxPts-_xlpm.PriorEnrolled),IF(OR(_xlpm.ActDate="",EOMONTH(AB$5,0)&lt;_xlpm.StartDate,_xlpm.Remaining&lt;=0),0,MIN(_xlpm.MonthlyEnroll,_xlpm.Remaining))),0))</f>
        <v/>
      </c>
      <c r="AC80" s="9" t="str">
        <f>IF($B80="","",IFERROR(_xlfn.LET(_xlpm.Site,$B80,_xlpm.ActDate,_xlfn.XLOOKUP(_xlpm.Site,tblSites[Monthly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80:INDEX($1:$1048576,ROW(),COLUMN()-1))),_xlpm.Remaining,MAX(0,_xlpm.MaxPts-_xlpm.PriorEnrolled),IF(OR(_xlpm.ActDate="",EOMONTH(AC$5,0)&lt;_xlpm.StartDate,_xlpm.Remaining&lt;=0),0,MIN(_xlpm.MonthlyEnroll,_xlpm.Remaining))),0))</f>
        <v/>
      </c>
    </row>
    <row r="81" spans="3:29" x14ac:dyDescent="0.25">
      <c r="C81" s="9" cm="1">
        <f t="array" aca="1" ref="C81" ca="1">IF(C$5&lt;=TODAY(),0,IF($B81="","",IFERROR(_xlfn.LET(_xlpm.Site,$B81,_xlpm.SiteCol,INDIRECT("tblSites[Site]"),_xlpm.ActCol,INDIRECT("tblSites[Site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1" s="9" t="str">
        <f>IF($B81="","",IFERROR(_xlfn.LET(_xlpm.Site,$B81,_xlpm.ActDate,_xlfn.XLOOKUP(_xlpm.Site,tblSites[Site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81:INDEX($1:$1048576,ROW(),COLUMN()-1))),_xlpm.Remaining,MAX(0,_xlpm.MaxPts-_xlpm.PriorEnrolled),IF(OR(_xlpm.ActDate="",EOMONTH(D$5,0)&lt;_xlpm.StartDate,_xlpm.Remaining&lt;=0),0,MIN(_xlpm.MonthlyEnroll,_xlpm.Remaining))),0))</f>
        <v/>
      </c>
      <c r="E81" s="9" t="str">
        <f>IF($B81="","",IFERROR(_xlfn.LET(_xlpm.Site,$B81,_xlpm.ActDate,_xlfn.XLOOKUP(_xlpm.Site,tblSites[Monthly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81:INDEX($1:$1048576,ROW(),COLUMN()-1))),_xlpm.Remaining,MAX(0,_xlpm.MaxPts-_xlpm.PriorEnrolled),IF(OR(_xlpm.ActDate="",EOMONTH(E$5,0)&lt;_xlpm.StartDate,_xlpm.Remaining&lt;=0),0,MIN(_xlpm.MonthlyEnroll,_xlpm.Remaining))),0))</f>
        <v/>
      </c>
      <c r="F81" s="9" t="str">
        <f>IF($B81="","",IFERROR(_xlfn.LET(_xlpm.Site,$B81,_xlpm.ActDate,_xlfn.XLOOKUP(_xlpm.Site,tblSites[Site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81:INDEX($1:$1048576,ROW(),COLUMN()-1))),_xlpm.Remaining,MAX(0,_xlpm.MaxPts-_xlpm.PriorEnrolled),IF(OR(_xlpm.ActDate="",EOMONTH(F$5,0)&lt;_xlpm.StartDate,_xlpm.Remaining&lt;=0),0,MIN(_xlpm.MonthlyEnroll,_xlpm.Remaining))),0))</f>
        <v/>
      </c>
      <c r="G81" s="9" t="str">
        <f>IF($B81="","",IFERROR(_xlfn.LET(_xlpm.Site,$B81,_xlpm.ActDate,_xlfn.XLOOKUP(_xlpm.Site,tblSites[Max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81:INDEX($1:$1048576,ROW(),COLUMN()-1))),_xlpm.Remaining,MAX(0,_xlpm.MaxPts-_xlpm.PriorEnrolled),IF(OR(_xlpm.ActDate="",EOMONTH(G$5,0)&lt;_xlpm.StartDate,_xlpm.Remaining&lt;=0),0,MIN(_xlpm.MonthlyEnroll,_xlpm.Remaining))),0))</f>
        <v/>
      </c>
      <c r="H81" s="9" t="str">
        <f>IF($B81="","",IFERROR(_xlfn.LET(_xlpm.Site,$B81,_xlpm.ActDate,_xlfn.XLOOKUP(_xlpm.Site,tblSites[Current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81:INDEX($1:$1048576,ROW(),COLUMN()-1))),_xlpm.Remaining,MAX(0,_xlpm.MaxPts-_xlpm.PriorEnrolled),IF(OR(_xlpm.ActDate="",EOMONTH(H$5,0)&lt;_xlpm.StartDate,_xlpm.Remaining&lt;=0),0,MIN(_xlpm.MonthlyEnroll,_xlpm.Remaining))),0))</f>
        <v/>
      </c>
      <c r="I81" s="9" t="str">
        <f>IF($B81="","",IFERROR(_xlfn.LET(_xlpm.Site,$B81,_xlpm.ActDate,_xlfn.XLOOKUP(_xlpm.Site,tblSites[Include?],tblSites[Scenario?],""),_xlpm.ScreenDays,N('Study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81:INDEX($1:$1048576,ROW(),COLUMN()-1))),_xlpm.Remaining,MAX(0,_xlpm.MaxPts-_xlpm.PriorEnrolled),IF(OR(_xlpm.ActDate="",EOMONTH(I$5,0)&lt;_xlpm.StartDate,_xlpm.Remaining&lt;=0),0,MIN(_xlpm.MonthlyEnroll,_xlpm.Remaining))),0))</f>
        <v/>
      </c>
      <c r="J81" s="9" t="str">
        <f>IF($B81="","",IFERROR(_xlfn.LET(_xlpm.Site,$B81,_xlpm.ActDate,_xlfn.XLOOKUP(_xlpm.Site,tblSites[Scenario?],tblSites[Check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81:INDEX($1:$1048576,ROW(),COLUMN()-1))),_xlpm.Remaining,MAX(0,_xlpm.MaxPts-_xlpm.PriorEnrolled),IF(OR(_xlpm.ActDate="",EOMONTH(J$5,0)&lt;_xlpm.StartDate,_xlpm.Remaining&lt;=0),0,MIN(_xlpm.MonthlyEnroll,_xlpm.Remaining))),0))</f>
        <v/>
      </c>
      <c r="K81" s="9" t="str">
        <f>IF($B81="","",IFERROR(_xlfn.LET(_xlpm.Site,$B81,_xlpm.ActDate,_xlfn.XLOOKUP(_xlpm.Site,tblSites[Check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81:INDEX($1:$1048576,ROW(),COLUMN()-1))),_xlpm.Remaining,MAX(0,_xlpm.MaxPts-_xlpm.PriorEnrolled),IF(OR(_xlpm.ActDate="",EOMONTH(K$5,0)&lt;_xlpm.StartDate,_xlpm.Remaining&lt;=0),0,MIN(_xlpm.MonthlyEnroll,_xlpm.Remaining))),0))</f>
        <v/>
      </c>
      <c r="L81" s="9" t="str">
        <f>IF($B81="","",IFERROR(_xlfn.LET(_xlpm.Site,$B81,_xlpm.ActDate,_xlfn.XLOOKUP(_xlpm.Site,tblSites[Site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81:INDEX($1:$1048576,ROW(),COLUMN()-1))),_xlpm.Remaining,MAX(0,_xlpm.MaxPts-_xlpm.PriorEnrolled),IF(OR(_xlpm.ActDate="",EOMONTH(L$5,0)&lt;_xlpm.StartDate,_xlpm.Remaining&lt;=0),0,MIN(_xlpm.MonthlyEnroll,_xlpm.Remaining))),0))</f>
        <v/>
      </c>
      <c r="M81" s="9" t="str">
        <f>IF($B81="","",IFERROR(_xlfn.LET(_xlpm.Site,$B81,_xlpm.ActDate,_xlfn.XLOOKUP(_xlpm.Site,#REF!,tblSites[Country],""),_xlpm.ScreenDays,N('Study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81:INDEX($1:$1048576,ROW(),COLUMN()-1))),_xlpm.Remaining,MAX(0,_xlpm.MaxPts-_xlpm.PriorEnrolled),IF(OR(_xlpm.ActDate="",EOMONTH(M$5,0)&lt;_xlpm.StartDate,_xlpm.Remaining&lt;=0),0,MIN(_xlpm.MonthlyEnroll,_xlpm.Remaining))),0))</f>
        <v/>
      </c>
      <c r="N81" s="9" t="str">
        <f>IF($B81="","",IFERROR(_xlfn.LET(_xlpm.Site,$B81,_xlpm.ActDate,_xlfn.XLOOKUP(_xlpm.Site,tblSites[Country],tblSites[Site],""),_xlpm.ScreenDays,N('Study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81:INDEX($1:$1048576,ROW(),COLUMN()-1))),_xlpm.Remaining,MAX(0,_xlpm.MaxPts-_xlpm.PriorEnrolled),IF(OR(_xlpm.ActDate="",EOMONTH(N$5,0)&lt;_xlpm.StartDate,_xlpm.Remaining&lt;=0),0,MIN(_xlpm.MonthlyEnroll,_xlpm.Remaining))),0))</f>
        <v/>
      </c>
      <c r="O81" s="9" t="str">
        <f>IF($B81="","",IFERROR(_xlfn.LET(_xlpm.Site,$B81,_xlpm.ActDate,_xlfn.XLOOKUP(_xlpm.Site,tblSites[Site],tblSites[Site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81:INDEX($1:$1048576,ROW(),COLUMN()-1))),_xlpm.Remaining,MAX(0,_xlpm.MaxPts-_xlpm.PriorEnrolled),IF(OR(_xlpm.ActDate="",EOMONTH(O$5,0)&lt;_xlpm.StartDate,_xlpm.Remaining&lt;=0),0,MIN(_xlpm.MonthlyEnroll,_xlpm.Remaining))),0))</f>
        <v/>
      </c>
      <c r="P81" s="9" t="str">
        <f>IF($B81="","",IFERROR(_xlfn.LET(_xlpm.Site,$B81,_xlpm.ActDate,_xlfn.XLOOKUP(_xlpm.Site,tblSites[Site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81:INDEX($1:$1048576,ROW(),COLUMN()-1))),_xlpm.Remaining,MAX(0,_xlpm.MaxPts-_xlpm.PriorEnrolled),IF(OR(_xlpm.ActDate="",EOMONTH(P$5,0)&lt;_xlpm.StartDate,_xlpm.Remaining&lt;=0),0,MIN(_xlpm.MonthlyEnroll,_xlpm.Remaining))),0))</f>
        <v/>
      </c>
      <c r="Q81" s="9" t="str">
        <f>IF($B81="","",IFERROR(_xlfn.LET(_xlpm.Site,$B81,_xlpm.ActDate,_xlfn.XLOOKUP(_xlpm.Site,tblSites[Monthly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81:INDEX($1:$1048576,ROW(),COLUMN()-1))),_xlpm.Remaining,MAX(0,_xlpm.MaxPts-_xlpm.PriorEnrolled),IF(OR(_xlpm.ActDate="",EOMONTH(Q$5,0)&lt;_xlpm.StartDate,_xlpm.Remaining&lt;=0),0,MIN(_xlpm.MonthlyEnroll,_xlpm.Remaining))),0))</f>
        <v/>
      </c>
      <c r="R81" s="9" t="str">
        <f>IF($B81="","",IFERROR(_xlfn.LET(_xlpm.Site,$B81,_xlpm.ActDate,_xlfn.XLOOKUP(_xlpm.Site,tblSites[Site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81:INDEX($1:$1048576,ROW(),COLUMN()-1))),_xlpm.Remaining,MAX(0,_xlpm.MaxPts-_xlpm.PriorEnrolled),IF(OR(_xlpm.ActDate="",EOMONTH(R$5,0)&lt;_xlpm.StartDate,_xlpm.Remaining&lt;=0),0,MIN(_xlpm.MonthlyEnroll,_xlpm.Remaining))),0))</f>
        <v/>
      </c>
      <c r="S81" s="9" t="str">
        <f>IF($B81="","",IFERROR(_xlfn.LET(_xlpm.Site,$B81,_xlpm.ActDate,_xlfn.XLOOKUP(_xlpm.Site,tblSites[Max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81:INDEX($1:$1048576,ROW(),COLUMN()-1))),_xlpm.Remaining,MAX(0,_xlpm.MaxPts-_xlpm.PriorEnrolled),IF(OR(_xlpm.ActDate="",EOMONTH(S$5,0)&lt;_xlpm.StartDate,_xlpm.Remaining&lt;=0),0,MIN(_xlpm.MonthlyEnroll,_xlpm.Remaining))),0))</f>
        <v/>
      </c>
      <c r="T81" s="9" t="str">
        <f>IF($B81="","",IFERROR(_xlfn.LET(_xlpm.Site,$B81,_xlpm.ActDate,_xlfn.XLOOKUP(_xlpm.Site,tblSites[Current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81:INDEX($1:$1048576,ROW(),COLUMN()-1))),_xlpm.Remaining,MAX(0,_xlpm.MaxPts-_xlpm.PriorEnrolled),IF(OR(_xlpm.ActDate="",EOMONTH(T$5,0)&lt;_xlpm.StartDate,_xlpm.Remaining&lt;=0),0,MIN(_xlpm.MonthlyEnroll,_xlpm.Remaining))),0))</f>
        <v/>
      </c>
      <c r="U81" s="9" t="str">
        <f>IF($B81="","",IFERROR(_xlfn.LET(_xlpm.Site,$B81,_xlpm.ActDate,_xlfn.XLOOKUP(_xlpm.Site,tblSites[Include?],tblSites[Scenario?],""),_xlpm.ScreenDays,N('Study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81:INDEX($1:$1048576,ROW(),COLUMN()-1))),_xlpm.Remaining,MAX(0,_xlpm.MaxPts-_xlpm.PriorEnrolled),IF(OR(_xlpm.ActDate="",EOMONTH(U$5,0)&lt;_xlpm.StartDate,_xlpm.Remaining&lt;=0),0,MIN(_xlpm.MonthlyEnroll,_xlpm.Remaining))),0))</f>
        <v/>
      </c>
      <c r="V81" s="9" t="str">
        <f>IF($B81="","",IFERROR(_xlfn.LET(_xlpm.Site,$B81,_xlpm.ActDate,_xlfn.XLOOKUP(_xlpm.Site,tblSites[Scenario?],tblSites[Check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81:INDEX($1:$1048576,ROW(),COLUMN()-1))),_xlpm.Remaining,MAX(0,_xlpm.MaxPts-_xlpm.PriorEnrolled),IF(OR(_xlpm.ActDate="",EOMONTH(V$5,0)&lt;_xlpm.StartDate,_xlpm.Remaining&lt;=0),0,MIN(_xlpm.MonthlyEnroll,_xlpm.Remaining))),0))</f>
        <v/>
      </c>
      <c r="W81" s="9" t="str">
        <f>IF($B81="","",IFERROR(_xlfn.LET(_xlpm.Site,$B81,_xlpm.ActDate,_xlfn.XLOOKUP(_xlpm.Site,tblSites[Check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81:INDEX($1:$1048576,ROW(),COLUMN()-1))),_xlpm.Remaining,MAX(0,_xlpm.MaxPts-_xlpm.PriorEnrolled),IF(OR(_xlpm.ActDate="",EOMONTH(W$5,0)&lt;_xlpm.StartDate,_xlpm.Remaining&lt;=0),0,MIN(_xlpm.MonthlyEnroll,_xlpm.Remaining))),0))</f>
        <v/>
      </c>
      <c r="X81" s="9" t="str">
        <f>IF($B81="","",IFERROR(_xlfn.LET(_xlpm.Site,$B81,_xlpm.ActDate,_xlfn.XLOOKUP(_xlpm.Site,tblSites[Site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81:INDEX($1:$1048576,ROW(),COLUMN()-1))),_xlpm.Remaining,MAX(0,_xlpm.MaxPts-_xlpm.PriorEnrolled),IF(OR(_xlpm.ActDate="",EOMONTH(X$5,0)&lt;_xlpm.StartDate,_xlpm.Remaining&lt;=0),0,MIN(_xlpm.MonthlyEnroll,_xlpm.Remaining))),0))</f>
        <v/>
      </c>
      <c r="Y81" s="9" t="str">
        <f>IF($B81="","",IFERROR(_xlfn.LET(_xlpm.Site,$B81,_xlpm.ActDate,_xlfn.XLOOKUP(_xlpm.Site,#REF!,tblSites[Country],""),_xlpm.ScreenDays,N('Study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81:INDEX($1:$1048576,ROW(),COLUMN()-1))),_xlpm.Remaining,MAX(0,_xlpm.MaxPts-_xlpm.PriorEnrolled),IF(OR(_xlpm.ActDate="",EOMONTH(Y$5,0)&lt;_xlpm.StartDate,_xlpm.Remaining&lt;=0),0,MIN(_xlpm.MonthlyEnroll,_xlpm.Remaining))),0))</f>
        <v/>
      </c>
      <c r="Z81" s="9" t="str">
        <f>IF($B81="","",IFERROR(_xlfn.LET(_xlpm.Site,$B81,_xlpm.ActDate,_xlfn.XLOOKUP(_xlpm.Site,tblSites[Country],tblSites[Site],""),_xlpm.ScreenDays,N('Study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81:INDEX($1:$1048576,ROW(),COLUMN()-1))),_xlpm.Remaining,MAX(0,_xlpm.MaxPts-_xlpm.PriorEnrolled),IF(OR(_xlpm.ActDate="",EOMONTH(Z$5,0)&lt;_xlpm.StartDate,_xlpm.Remaining&lt;=0),0,MIN(_xlpm.MonthlyEnroll,_xlpm.Remaining))),0))</f>
        <v/>
      </c>
      <c r="AA81" s="9" t="str">
        <f>IF($B81="","",IFERROR(_xlfn.LET(_xlpm.Site,$B81,_xlpm.ActDate,_xlfn.XLOOKUP(_xlpm.Site,tblSites[Site],tblSites[Site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81:INDEX($1:$1048576,ROW(),COLUMN()-1))),_xlpm.Remaining,MAX(0,_xlpm.MaxPts-_xlpm.PriorEnrolled),IF(OR(_xlpm.ActDate="",EOMONTH(AA$5,0)&lt;_xlpm.StartDate,_xlpm.Remaining&lt;=0),0,MIN(_xlpm.MonthlyEnroll,_xlpm.Remaining))),0))</f>
        <v/>
      </c>
      <c r="AB81" s="9" t="str">
        <f>IF($B81="","",IFERROR(_xlfn.LET(_xlpm.Site,$B81,_xlpm.ActDate,_xlfn.XLOOKUP(_xlpm.Site,tblSites[Site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81:INDEX($1:$1048576,ROW(),COLUMN()-1))),_xlpm.Remaining,MAX(0,_xlpm.MaxPts-_xlpm.PriorEnrolled),IF(OR(_xlpm.ActDate="",EOMONTH(AB$5,0)&lt;_xlpm.StartDate,_xlpm.Remaining&lt;=0),0,MIN(_xlpm.MonthlyEnroll,_xlpm.Remaining))),0))</f>
        <v/>
      </c>
      <c r="AC81" s="9" t="str">
        <f>IF($B81="","",IFERROR(_xlfn.LET(_xlpm.Site,$B81,_xlpm.ActDate,_xlfn.XLOOKUP(_xlpm.Site,tblSites[Monthly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81:INDEX($1:$1048576,ROW(),COLUMN()-1))),_xlpm.Remaining,MAX(0,_xlpm.MaxPts-_xlpm.PriorEnrolled),IF(OR(_xlpm.ActDate="",EOMONTH(AC$5,0)&lt;_xlpm.StartDate,_xlpm.Remaining&lt;=0),0,MIN(_xlpm.MonthlyEnroll,_xlpm.Remaining))),0))</f>
        <v/>
      </c>
    </row>
    <row r="82" spans="3:29" x14ac:dyDescent="0.25">
      <c r="C82" s="9" cm="1">
        <f t="array" aca="1" ref="C82" ca="1">IF(C$5&lt;=TODAY(),0,IF($B82="","",IFERROR(_xlfn.LET(_xlpm.Site,$B82,_xlpm.SiteCol,INDIRECT("tblSites[Site]"),_xlpm.ActCol,INDIRECT("tblSites[Site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2" s="9" t="str">
        <f>IF($B82="","",IFERROR(_xlfn.LET(_xlpm.Site,$B82,_xlpm.ActDate,_xlfn.XLOOKUP(_xlpm.Site,tblSites[Site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82:INDEX($1:$1048576,ROW(),COLUMN()-1))),_xlpm.Remaining,MAX(0,_xlpm.MaxPts-_xlpm.PriorEnrolled),IF(OR(_xlpm.ActDate="",EOMONTH(D$5,0)&lt;_xlpm.StartDate,_xlpm.Remaining&lt;=0),0,MIN(_xlpm.MonthlyEnroll,_xlpm.Remaining))),0))</f>
        <v/>
      </c>
      <c r="E82" s="9" t="str">
        <f>IF($B82="","",IFERROR(_xlfn.LET(_xlpm.Site,$B82,_xlpm.ActDate,_xlfn.XLOOKUP(_xlpm.Site,tblSites[Monthly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82:INDEX($1:$1048576,ROW(),COLUMN()-1))),_xlpm.Remaining,MAX(0,_xlpm.MaxPts-_xlpm.PriorEnrolled),IF(OR(_xlpm.ActDate="",EOMONTH(E$5,0)&lt;_xlpm.StartDate,_xlpm.Remaining&lt;=0),0,MIN(_xlpm.MonthlyEnroll,_xlpm.Remaining))),0))</f>
        <v/>
      </c>
      <c r="F82" s="9" t="str">
        <f>IF($B82="","",IFERROR(_xlfn.LET(_xlpm.Site,$B82,_xlpm.ActDate,_xlfn.XLOOKUP(_xlpm.Site,tblSites[Site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82:INDEX($1:$1048576,ROW(),COLUMN()-1))),_xlpm.Remaining,MAX(0,_xlpm.MaxPts-_xlpm.PriorEnrolled),IF(OR(_xlpm.ActDate="",EOMONTH(F$5,0)&lt;_xlpm.StartDate,_xlpm.Remaining&lt;=0),0,MIN(_xlpm.MonthlyEnroll,_xlpm.Remaining))),0))</f>
        <v/>
      </c>
      <c r="G82" s="9" t="str">
        <f>IF($B82="","",IFERROR(_xlfn.LET(_xlpm.Site,$B82,_xlpm.ActDate,_xlfn.XLOOKUP(_xlpm.Site,tblSites[Max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82:INDEX($1:$1048576,ROW(),COLUMN()-1))),_xlpm.Remaining,MAX(0,_xlpm.MaxPts-_xlpm.PriorEnrolled),IF(OR(_xlpm.ActDate="",EOMONTH(G$5,0)&lt;_xlpm.StartDate,_xlpm.Remaining&lt;=0),0,MIN(_xlpm.MonthlyEnroll,_xlpm.Remaining))),0))</f>
        <v/>
      </c>
      <c r="H82" s="9" t="str">
        <f>IF($B82="","",IFERROR(_xlfn.LET(_xlpm.Site,$B82,_xlpm.ActDate,_xlfn.XLOOKUP(_xlpm.Site,tblSites[Current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82:INDEX($1:$1048576,ROW(),COLUMN()-1))),_xlpm.Remaining,MAX(0,_xlpm.MaxPts-_xlpm.PriorEnrolled),IF(OR(_xlpm.ActDate="",EOMONTH(H$5,0)&lt;_xlpm.StartDate,_xlpm.Remaining&lt;=0),0,MIN(_xlpm.MonthlyEnroll,_xlpm.Remaining))),0))</f>
        <v/>
      </c>
      <c r="I82" s="9" t="str">
        <f>IF($B82="","",IFERROR(_xlfn.LET(_xlpm.Site,$B82,_xlpm.ActDate,_xlfn.XLOOKUP(_xlpm.Site,tblSites[Include?],tblSites[Scenario?],""),_xlpm.ScreenDays,N('Study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82:INDEX($1:$1048576,ROW(),COLUMN()-1))),_xlpm.Remaining,MAX(0,_xlpm.MaxPts-_xlpm.PriorEnrolled),IF(OR(_xlpm.ActDate="",EOMONTH(I$5,0)&lt;_xlpm.StartDate,_xlpm.Remaining&lt;=0),0,MIN(_xlpm.MonthlyEnroll,_xlpm.Remaining))),0))</f>
        <v/>
      </c>
      <c r="J82" s="9" t="str">
        <f>IF($B82="","",IFERROR(_xlfn.LET(_xlpm.Site,$B82,_xlpm.ActDate,_xlfn.XLOOKUP(_xlpm.Site,tblSites[Scenario?],tblSites[Check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82:INDEX($1:$1048576,ROW(),COLUMN()-1))),_xlpm.Remaining,MAX(0,_xlpm.MaxPts-_xlpm.PriorEnrolled),IF(OR(_xlpm.ActDate="",EOMONTH(J$5,0)&lt;_xlpm.StartDate,_xlpm.Remaining&lt;=0),0,MIN(_xlpm.MonthlyEnroll,_xlpm.Remaining))),0))</f>
        <v/>
      </c>
      <c r="K82" s="9" t="str">
        <f>IF($B82="","",IFERROR(_xlfn.LET(_xlpm.Site,$B82,_xlpm.ActDate,_xlfn.XLOOKUP(_xlpm.Site,tblSites[Check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82:INDEX($1:$1048576,ROW(),COLUMN()-1))),_xlpm.Remaining,MAX(0,_xlpm.MaxPts-_xlpm.PriorEnrolled),IF(OR(_xlpm.ActDate="",EOMONTH(K$5,0)&lt;_xlpm.StartDate,_xlpm.Remaining&lt;=0),0,MIN(_xlpm.MonthlyEnroll,_xlpm.Remaining))),0))</f>
        <v/>
      </c>
      <c r="L82" s="9" t="str">
        <f>IF($B82="","",IFERROR(_xlfn.LET(_xlpm.Site,$B82,_xlpm.ActDate,_xlfn.XLOOKUP(_xlpm.Site,tblSites[Site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82:INDEX($1:$1048576,ROW(),COLUMN()-1))),_xlpm.Remaining,MAX(0,_xlpm.MaxPts-_xlpm.PriorEnrolled),IF(OR(_xlpm.ActDate="",EOMONTH(L$5,0)&lt;_xlpm.StartDate,_xlpm.Remaining&lt;=0),0,MIN(_xlpm.MonthlyEnroll,_xlpm.Remaining))),0))</f>
        <v/>
      </c>
      <c r="M82" s="9" t="str">
        <f>IF($B82="","",IFERROR(_xlfn.LET(_xlpm.Site,$B82,_xlpm.ActDate,_xlfn.XLOOKUP(_xlpm.Site,#REF!,tblSites[Country],""),_xlpm.ScreenDays,N('Study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82:INDEX($1:$1048576,ROW(),COLUMN()-1))),_xlpm.Remaining,MAX(0,_xlpm.MaxPts-_xlpm.PriorEnrolled),IF(OR(_xlpm.ActDate="",EOMONTH(M$5,0)&lt;_xlpm.StartDate,_xlpm.Remaining&lt;=0),0,MIN(_xlpm.MonthlyEnroll,_xlpm.Remaining))),0))</f>
        <v/>
      </c>
      <c r="N82" s="9" t="str">
        <f>IF($B82="","",IFERROR(_xlfn.LET(_xlpm.Site,$B82,_xlpm.ActDate,_xlfn.XLOOKUP(_xlpm.Site,tblSites[Country],tblSites[Site],""),_xlpm.ScreenDays,N('Study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82:INDEX($1:$1048576,ROW(),COLUMN()-1))),_xlpm.Remaining,MAX(0,_xlpm.MaxPts-_xlpm.PriorEnrolled),IF(OR(_xlpm.ActDate="",EOMONTH(N$5,0)&lt;_xlpm.StartDate,_xlpm.Remaining&lt;=0),0,MIN(_xlpm.MonthlyEnroll,_xlpm.Remaining))),0))</f>
        <v/>
      </c>
      <c r="O82" s="9" t="str">
        <f>IF($B82="","",IFERROR(_xlfn.LET(_xlpm.Site,$B82,_xlpm.ActDate,_xlfn.XLOOKUP(_xlpm.Site,tblSites[Site],tblSites[Site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82:INDEX($1:$1048576,ROW(),COLUMN()-1))),_xlpm.Remaining,MAX(0,_xlpm.MaxPts-_xlpm.PriorEnrolled),IF(OR(_xlpm.ActDate="",EOMONTH(O$5,0)&lt;_xlpm.StartDate,_xlpm.Remaining&lt;=0),0,MIN(_xlpm.MonthlyEnroll,_xlpm.Remaining))),0))</f>
        <v/>
      </c>
      <c r="P82" s="9" t="str">
        <f>IF($B82="","",IFERROR(_xlfn.LET(_xlpm.Site,$B82,_xlpm.ActDate,_xlfn.XLOOKUP(_xlpm.Site,tblSites[Site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82:INDEX($1:$1048576,ROW(),COLUMN()-1))),_xlpm.Remaining,MAX(0,_xlpm.MaxPts-_xlpm.PriorEnrolled),IF(OR(_xlpm.ActDate="",EOMONTH(P$5,0)&lt;_xlpm.StartDate,_xlpm.Remaining&lt;=0),0,MIN(_xlpm.MonthlyEnroll,_xlpm.Remaining))),0))</f>
        <v/>
      </c>
      <c r="Q82" s="9" t="str">
        <f>IF($B82="","",IFERROR(_xlfn.LET(_xlpm.Site,$B82,_xlpm.ActDate,_xlfn.XLOOKUP(_xlpm.Site,tblSites[Monthly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82:INDEX($1:$1048576,ROW(),COLUMN()-1))),_xlpm.Remaining,MAX(0,_xlpm.MaxPts-_xlpm.PriorEnrolled),IF(OR(_xlpm.ActDate="",EOMONTH(Q$5,0)&lt;_xlpm.StartDate,_xlpm.Remaining&lt;=0),0,MIN(_xlpm.MonthlyEnroll,_xlpm.Remaining))),0))</f>
        <v/>
      </c>
      <c r="R82" s="9" t="str">
        <f>IF($B82="","",IFERROR(_xlfn.LET(_xlpm.Site,$B82,_xlpm.ActDate,_xlfn.XLOOKUP(_xlpm.Site,tblSites[Site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82:INDEX($1:$1048576,ROW(),COLUMN()-1))),_xlpm.Remaining,MAX(0,_xlpm.MaxPts-_xlpm.PriorEnrolled),IF(OR(_xlpm.ActDate="",EOMONTH(R$5,0)&lt;_xlpm.StartDate,_xlpm.Remaining&lt;=0),0,MIN(_xlpm.MonthlyEnroll,_xlpm.Remaining))),0))</f>
        <v/>
      </c>
      <c r="S82" s="9" t="str">
        <f>IF($B82="","",IFERROR(_xlfn.LET(_xlpm.Site,$B82,_xlpm.ActDate,_xlfn.XLOOKUP(_xlpm.Site,tblSites[Max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82:INDEX($1:$1048576,ROW(),COLUMN()-1))),_xlpm.Remaining,MAX(0,_xlpm.MaxPts-_xlpm.PriorEnrolled),IF(OR(_xlpm.ActDate="",EOMONTH(S$5,0)&lt;_xlpm.StartDate,_xlpm.Remaining&lt;=0),0,MIN(_xlpm.MonthlyEnroll,_xlpm.Remaining))),0))</f>
        <v/>
      </c>
      <c r="T82" s="9" t="str">
        <f>IF($B82="","",IFERROR(_xlfn.LET(_xlpm.Site,$B82,_xlpm.ActDate,_xlfn.XLOOKUP(_xlpm.Site,tblSites[Current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82:INDEX($1:$1048576,ROW(),COLUMN()-1))),_xlpm.Remaining,MAX(0,_xlpm.MaxPts-_xlpm.PriorEnrolled),IF(OR(_xlpm.ActDate="",EOMONTH(T$5,0)&lt;_xlpm.StartDate,_xlpm.Remaining&lt;=0),0,MIN(_xlpm.MonthlyEnroll,_xlpm.Remaining))),0))</f>
        <v/>
      </c>
      <c r="U82" s="9" t="str">
        <f>IF($B82="","",IFERROR(_xlfn.LET(_xlpm.Site,$B82,_xlpm.ActDate,_xlfn.XLOOKUP(_xlpm.Site,tblSites[Include?],tblSites[Scenario?],""),_xlpm.ScreenDays,N('Study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82:INDEX($1:$1048576,ROW(),COLUMN()-1))),_xlpm.Remaining,MAX(0,_xlpm.MaxPts-_xlpm.PriorEnrolled),IF(OR(_xlpm.ActDate="",EOMONTH(U$5,0)&lt;_xlpm.StartDate,_xlpm.Remaining&lt;=0),0,MIN(_xlpm.MonthlyEnroll,_xlpm.Remaining))),0))</f>
        <v/>
      </c>
      <c r="V82" s="9" t="str">
        <f>IF($B82="","",IFERROR(_xlfn.LET(_xlpm.Site,$B82,_xlpm.ActDate,_xlfn.XLOOKUP(_xlpm.Site,tblSites[Scenario?],tblSites[Check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82:INDEX($1:$1048576,ROW(),COLUMN()-1))),_xlpm.Remaining,MAX(0,_xlpm.MaxPts-_xlpm.PriorEnrolled),IF(OR(_xlpm.ActDate="",EOMONTH(V$5,0)&lt;_xlpm.StartDate,_xlpm.Remaining&lt;=0),0,MIN(_xlpm.MonthlyEnroll,_xlpm.Remaining))),0))</f>
        <v/>
      </c>
      <c r="W82" s="9" t="str">
        <f>IF($B82="","",IFERROR(_xlfn.LET(_xlpm.Site,$B82,_xlpm.ActDate,_xlfn.XLOOKUP(_xlpm.Site,tblSites[Check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82:INDEX($1:$1048576,ROW(),COLUMN()-1))),_xlpm.Remaining,MAX(0,_xlpm.MaxPts-_xlpm.PriorEnrolled),IF(OR(_xlpm.ActDate="",EOMONTH(W$5,0)&lt;_xlpm.StartDate,_xlpm.Remaining&lt;=0),0,MIN(_xlpm.MonthlyEnroll,_xlpm.Remaining))),0))</f>
        <v/>
      </c>
      <c r="X82" s="9" t="str">
        <f>IF($B82="","",IFERROR(_xlfn.LET(_xlpm.Site,$B82,_xlpm.ActDate,_xlfn.XLOOKUP(_xlpm.Site,tblSites[Site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82:INDEX($1:$1048576,ROW(),COLUMN()-1))),_xlpm.Remaining,MAX(0,_xlpm.MaxPts-_xlpm.PriorEnrolled),IF(OR(_xlpm.ActDate="",EOMONTH(X$5,0)&lt;_xlpm.StartDate,_xlpm.Remaining&lt;=0),0,MIN(_xlpm.MonthlyEnroll,_xlpm.Remaining))),0))</f>
        <v/>
      </c>
      <c r="Y82" s="9" t="str">
        <f>IF($B82="","",IFERROR(_xlfn.LET(_xlpm.Site,$B82,_xlpm.ActDate,_xlfn.XLOOKUP(_xlpm.Site,#REF!,tblSites[Country],""),_xlpm.ScreenDays,N('Study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82:INDEX($1:$1048576,ROW(),COLUMN()-1))),_xlpm.Remaining,MAX(0,_xlpm.MaxPts-_xlpm.PriorEnrolled),IF(OR(_xlpm.ActDate="",EOMONTH(Y$5,0)&lt;_xlpm.StartDate,_xlpm.Remaining&lt;=0),0,MIN(_xlpm.MonthlyEnroll,_xlpm.Remaining))),0))</f>
        <v/>
      </c>
      <c r="Z82" s="9" t="str">
        <f>IF($B82="","",IFERROR(_xlfn.LET(_xlpm.Site,$B82,_xlpm.ActDate,_xlfn.XLOOKUP(_xlpm.Site,tblSites[Country],tblSites[Site],""),_xlpm.ScreenDays,N('Study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82:INDEX($1:$1048576,ROW(),COLUMN()-1))),_xlpm.Remaining,MAX(0,_xlpm.MaxPts-_xlpm.PriorEnrolled),IF(OR(_xlpm.ActDate="",EOMONTH(Z$5,0)&lt;_xlpm.StartDate,_xlpm.Remaining&lt;=0),0,MIN(_xlpm.MonthlyEnroll,_xlpm.Remaining))),0))</f>
        <v/>
      </c>
      <c r="AA82" s="9" t="str">
        <f>IF($B82="","",IFERROR(_xlfn.LET(_xlpm.Site,$B82,_xlpm.ActDate,_xlfn.XLOOKUP(_xlpm.Site,tblSites[Site],tblSites[Site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82:INDEX($1:$1048576,ROW(),COLUMN()-1))),_xlpm.Remaining,MAX(0,_xlpm.MaxPts-_xlpm.PriorEnrolled),IF(OR(_xlpm.ActDate="",EOMONTH(AA$5,0)&lt;_xlpm.StartDate,_xlpm.Remaining&lt;=0),0,MIN(_xlpm.MonthlyEnroll,_xlpm.Remaining))),0))</f>
        <v/>
      </c>
      <c r="AB82" s="9" t="str">
        <f>IF($B82="","",IFERROR(_xlfn.LET(_xlpm.Site,$B82,_xlpm.ActDate,_xlfn.XLOOKUP(_xlpm.Site,tblSites[Site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82:INDEX($1:$1048576,ROW(),COLUMN()-1))),_xlpm.Remaining,MAX(0,_xlpm.MaxPts-_xlpm.PriorEnrolled),IF(OR(_xlpm.ActDate="",EOMONTH(AB$5,0)&lt;_xlpm.StartDate,_xlpm.Remaining&lt;=0),0,MIN(_xlpm.MonthlyEnroll,_xlpm.Remaining))),0))</f>
        <v/>
      </c>
      <c r="AC82" s="9" t="str">
        <f>IF($B82="","",IFERROR(_xlfn.LET(_xlpm.Site,$B82,_xlpm.ActDate,_xlfn.XLOOKUP(_xlpm.Site,tblSites[Monthly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82:INDEX($1:$1048576,ROW(),COLUMN()-1))),_xlpm.Remaining,MAX(0,_xlpm.MaxPts-_xlpm.PriorEnrolled),IF(OR(_xlpm.ActDate="",EOMONTH(AC$5,0)&lt;_xlpm.StartDate,_xlpm.Remaining&lt;=0),0,MIN(_xlpm.MonthlyEnroll,_xlpm.Remaining))),0))</f>
        <v/>
      </c>
    </row>
    <row r="83" spans="3:29" x14ac:dyDescent="0.25">
      <c r="C83" s="9" cm="1">
        <f t="array" aca="1" ref="C83" ca="1">IF(C$5&lt;=TODAY(),0,IF($B83="","",IFERROR(_xlfn.LET(_xlpm.Site,$B83,_xlpm.SiteCol,INDIRECT("tblSites[Site]"),_xlpm.ActCol,INDIRECT("tblSites[Site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3" s="9" t="str">
        <f>IF($B83="","",IFERROR(_xlfn.LET(_xlpm.Site,$B83,_xlpm.ActDate,_xlfn.XLOOKUP(_xlpm.Site,tblSites[Site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83:INDEX($1:$1048576,ROW(),COLUMN()-1))),_xlpm.Remaining,MAX(0,_xlpm.MaxPts-_xlpm.PriorEnrolled),IF(OR(_xlpm.ActDate="",EOMONTH(D$5,0)&lt;_xlpm.StartDate,_xlpm.Remaining&lt;=0),0,MIN(_xlpm.MonthlyEnroll,_xlpm.Remaining))),0))</f>
        <v/>
      </c>
      <c r="E83" s="9" t="str">
        <f>IF($B83="","",IFERROR(_xlfn.LET(_xlpm.Site,$B83,_xlpm.ActDate,_xlfn.XLOOKUP(_xlpm.Site,tblSites[Monthly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83:INDEX($1:$1048576,ROW(),COLUMN()-1))),_xlpm.Remaining,MAX(0,_xlpm.MaxPts-_xlpm.PriorEnrolled),IF(OR(_xlpm.ActDate="",EOMONTH(E$5,0)&lt;_xlpm.StartDate,_xlpm.Remaining&lt;=0),0,MIN(_xlpm.MonthlyEnroll,_xlpm.Remaining))),0))</f>
        <v/>
      </c>
      <c r="F83" s="9" t="str">
        <f>IF($B83="","",IFERROR(_xlfn.LET(_xlpm.Site,$B83,_xlpm.ActDate,_xlfn.XLOOKUP(_xlpm.Site,tblSites[Site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83:INDEX($1:$1048576,ROW(),COLUMN()-1))),_xlpm.Remaining,MAX(0,_xlpm.MaxPts-_xlpm.PriorEnrolled),IF(OR(_xlpm.ActDate="",EOMONTH(F$5,0)&lt;_xlpm.StartDate,_xlpm.Remaining&lt;=0),0,MIN(_xlpm.MonthlyEnroll,_xlpm.Remaining))),0))</f>
        <v/>
      </c>
      <c r="G83" s="9" t="str">
        <f>IF($B83="","",IFERROR(_xlfn.LET(_xlpm.Site,$B83,_xlpm.ActDate,_xlfn.XLOOKUP(_xlpm.Site,tblSites[Max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83:INDEX($1:$1048576,ROW(),COLUMN()-1))),_xlpm.Remaining,MAX(0,_xlpm.MaxPts-_xlpm.PriorEnrolled),IF(OR(_xlpm.ActDate="",EOMONTH(G$5,0)&lt;_xlpm.StartDate,_xlpm.Remaining&lt;=0),0,MIN(_xlpm.MonthlyEnroll,_xlpm.Remaining))),0))</f>
        <v/>
      </c>
      <c r="H83" s="9" t="str">
        <f>IF($B83="","",IFERROR(_xlfn.LET(_xlpm.Site,$B83,_xlpm.ActDate,_xlfn.XLOOKUP(_xlpm.Site,tblSites[Current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83:INDEX($1:$1048576,ROW(),COLUMN()-1))),_xlpm.Remaining,MAX(0,_xlpm.MaxPts-_xlpm.PriorEnrolled),IF(OR(_xlpm.ActDate="",EOMONTH(H$5,0)&lt;_xlpm.StartDate,_xlpm.Remaining&lt;=0),0,MIN(_xlpm.MonthlyEnroll,_xlpm.Remaining))),0))</f>
        <v/>
      </c>
      <c r="I83" s="9" t="str">
        <f>IF($B83="","",IFERROR(_xlfn.LET(_xlpm.Site,$B83,_xlpm.ActDate,_xlfn.XLOOKUP(_xlpm.Site,tblSites[Include?],tblSites[Scenario?],""),_xlpm.ScreenDays,N('Study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83:INDEX($1:$1048576,ROW(),COLUMN()-1))),_xlpm.Remaining,MAX(0,_xlpm.MaxPts-_xlpm.PriorEnrolled),IF(OR(_xlpm.ActDate="",EOMONTH(I$5,0)&lt;_xlpm.StartDate,_xlpm.Remaining&lt;=0),0,MIN(_xlpm.MonthlyEnroll,_xlpm.Remaining))),0))</f>
        <v/>
      </c>
      <c r="J83" s="9" t="str">
        <f>IF($B83="","",IFERROR(_xlfn.LET(_xlpm.Site,$B83,_xlpm.ActDate,_xlfn.XLOOKUP(_xlpm.Site,tblSites[Scenario?],tblSites[Check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83:INDEX($1:$1048576,ROW(),COLUMN()-1))),_xlpm.Remaining,MAX(0,_xlpm.MaxPts-_xlpm.PriorEnrolled),IF(OR(_xlpm.ActDate="",EOMONTH(J$5,0)&lt;_xlpm.StartDate,_xlpm.Remaining&lt;=0),0,MIN(_xlpm.MonthlyEnroll,_xlpm.Remaining))),0))</f>
        <v/>
      </c>
      <c r="K83" s="9" t="str">
        <f>IF($B83="","",IFERROR(_xlfn.LET(_xlpm.Site,$B83,_xlpm.ActDate,_xlfn.XLOOKUP(_xlpm.Site,tblSites[Check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83:INDEX($1:$1048576,ROW(),COLUMN()-1))),_xlpm.Remaining,MAX(0,_xlpm.MaxPts-_xlpm.PriorEnrolled),IF(OR(_xlpm.ActDate="",EOMONTH(K$5,0)&lt;_xlpm.StartDate,_xlpm.Remaining&lt;=0),0,MIN(_xlpm.MonthlyEnroll,_xlpm.Remaining))),0))</f>
        <v/>
      </c>
      <c r="L83" s="9" t="str">
        <f>IF($B83="","",IFERROR(_xlfn.LET(_xlpm.Site,$B83,_xlpm.ActDate,_xlfn.XLOOKUP(_xlpm.Site,tblSites[Site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83:INDEX($1:$1048576,ROW(),COLUMN()-1))),_xlpm.Remaining,MAX(0,_xlpm.MaxPts-_xlpm.PriorEnrolled),IF(OR(_xlpm.ActDate="",EOMONTH(L$5,0)&lt;_xlpm.StartDate,_xlpm.Remaining&lt;=0),0,MIN(_xlpm.MonthlyEnroll,_xlpm.Remaining))),0))</f>
        <v/>
      </c>
      <c r="M83" s="9" t="str">
        <f>IF($B83="","",IFERROR(_xlfn.LET(_xlpm.Site,$B83,_xlpm.ActDate,_xlfn.XLOOKUP(_xlpm.Site,#REF!,tblSites[Country],""),_xlpm.ScreenDays,N('Study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83:INDEX($1:$1048576,ROW(),COLUMN()-1))),_xlpm.Remaining,MAX(0,_xlpm.MaxPts-_xlpm.PriorEnrolled),IF(OR(_xlpm.ActDate="",EOMONTH(M$5,0)&lt;_xlpm.StartDate,_xlpm.Remaining&lt;=0),0,MIN(_xlpm.MonthlyEnroll,_xlpm.Remaining))),0))</f>
        <v/>
      </c>
      <c r="N83" s="9" t="str">
        <f>IF($B83="","",IFERROR(_xlfn.LET(_xlpm.Site,$B83,_xlpm.ActDate,_xlfn.XLOOKUP(_xlpm.Site,tblSites[Country],tblSites[Site],""),_xlpm.ScreenDays,N('Study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83:INDEX($1:$1048576,ROW(),COLUMN()-1))),_xlpm.Remaining,MAX(0,_xlpm.MaxPts-_xlpm.PriorEnrolled),IF(OR(_xlpm.ActDate="",EOMONTH(N$5,0)&lt;_xlpm.StartDate,_xlpm.Remaining&lt;=0),0,MIN(_xlpm.MonthlyEnroll,_xlpm.Remaining))),0))</f>
        <v/>
      </c>
      <c r="O83" s="9" t="str">
        <f>IF($B83="","",IFERROR(_xlfn.LET(_xlpm.Site,$B83,_xlpm.ActDate,_xlfn.XLOOKUP(_xlpm.Site,tblSites[Site],tblSites[Site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83:INDEX($1:$1048576,ROW(),COLUMN()-1))),_xlpm.Remaining,MAX(0,_xlpm.MaxPts-_xlpm.PriorEnrolled),IF(OR(_xlpm.ActDate="",EOMONTH(O$5,0)&lt;_xlpm.StartDate,_xlpm.Remaining&lt;=0),0,MIN(_xlpm.MonthlyEnroll,_xlpm.Remaining))),0))</f>
        <v/>
      </c>
      <c r="P83" s="9" t="str">
        <f>IF($B83="","",IFERROR(_xlfn.LET(_xlpm.Site,$B83,_xlpm.ActDate,_xlfn.XLOOKUP(_xlpm.Site,tblSites[Site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83:INDEX($1:$1048576,ROW(),COLUMN()-1))),_xlpm.Remaining,MAX(0,_xlpm.MaxPts-_xlpm.PriorEnrolled),IF(OR(_xlpm.ActDate="",EOMONTH(P$5,0)&lt;_xlpm.StartDate,_xlpm.Remaining&lt;=0),0,MIN(_xlpm.MonthlyEnroll,_xlpm.Remaining))),0))</f>
        <v/>
      </c>
      <c r="Q83" s="9" t="str">
        <f>IF($B83="","",IFERROR(_xlfn.LET(_xlpm.Site,$B83,_xlpm.ActDate,_xlfn.XLOOKUP(_xlpm.Site,tblSites[Monthly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83:INDEX($1:$1048576,ROW(),COLUMN()-1))),_xlpm.Remaining,MAX(0,_xlpm.MaxPts-_xlpm.PriorEnrolled),IF(OR(_xlpm.ActDate="",EOMONTH(Q$5,0)&lt;_xlpm.StartDate,_xlpm.Remaining&lt;=0),0,MIN(_xlpm.MonthlyEnroll,_xlpm.Remaining))),0))</f>
        <v/>
      </c>
      <c r="R83" s="9" t="str">
        <f>IF($B83="","",IFERROR(_xlfn.LET(_xlpm.Site,$B83,_xlpm.ActDate,_xlfn.XLOOKUP(_xlpm.Site,tblSites[Site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83:INDEX($1:$1048576,ROW(),COLUMN()-1))),_xlpm.Remaining,MAX(0,_xlpm.MaxPts-_xlpm.PriorEnrolled),IF(OR(_xlpm.ActDate="",EOMONTH(R$5,0)&lt;_xlpm.StartDate,_xlpm.Remaining&lt;=0),0,MIN(_xlpm.MonthlyEnroll,_xlpm.Remaining))),0))</f>
        <v/>
      </c>
      <c r="S83" s="9" t="str">
        <f>IF($B83="","",IFERROR(_xlfn.LET(_xlpm.Site,$B83,_xlpm.ActDate,_xlfn.XLOOKUP(_xlpm.Site,tblSites[Max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83:INDEX($1:$1048576,ROW(),COLUMN()-1))),_xlpm.Remaining,MAX(0,_xlpm.MaxPts-_xlpm.PriorEnrolled),IF(OR(_xlpm.ActDate="",EOMONTH(S$5,0)&lt;_xlpm.StartDate,_xlpm.Remaining&lt;=0),0,MIN(_xlpm.MonthlyEnroll,_xlpm.Remaining))),0))</f>
        <v/>
      </c>
      <c r="T83" s="9" t="str">
        <f>IF($B83="","",IFERROR(_xlfn.LET(_xlpm.Site,$B83,_xlpm.ActDate,_xlfn.XLOOKUP(_xlpm.Site,tblSites[Current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83:INDEX($1:$1048576,ROW(),COLUMN()-1))),_xlpm.Remaining,MAX(0,_xlpm.MaxPts-_xlpm.PriorEnrolled),IF(OR(_xlpm.ActDate="",EOMONTH(T$5,0)&lt;_xlpm.StartDate,_xlpm.Remaining&lt;=0),0,MIN(_xlpm.MonthlyEnroll,_xlpm.Remaining))),0))</f>
        <v/>
      </c>
      <c r="U83" s="9" t="str">
        <f>IF($B83="","",IFERROR(_xlfn.LET(_xlpm.Site,$B83,_xlpm.ActDate,_xlfn.XLOOKUP(_xlpm.Site,tblSites[Include?],tblSites[Scenario?],""),_xlpm.ScreenDays,N('Study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83:INDEX($1:$1048576,ROW(),COLUMN()-1))),_xlpm.Remaining,MAX(0,_xlpm.MaxPts-_xlpm.PriorEnrolled),IF(OR(_xlpm.ActDate="",EOMONTH(U$5,0)&lt;_xlpm.StartDate,_xlpm.Remaining&lt;=0),0,MIN(_xlpm.MonthlyEnroll,_xlpm.Remaining))),0))</f>
        <v/>
      </c>
      <c r="V83" s="9" t="str">
        <f>IF($B83="","",IFERROR(_xlfn.LET(_xlpm.Site,$B83,_xlpm.ActDate,_xlfn.XLOOKUP(_xlpm.Site,tblSites[Scenario?],tblSites[Check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83:INDEX($1:$1048576,ROW(),COLUMN()-1))),_xlpm.Remaining,MAX(0,_xlpm.MaxPts-_xlpm.PriorEnrolled),IF(OR(_xlpm.ActDate="",EOMONTH(V$5,0)&lt;_xlpm.StartDate,_xlpm.Remaining&lt;=0),0,MIN(_xlpm.MonthlyEnroll,_xlpm.Remaining))),0))</f>
        <v/>
      </c>
      <c r="W83" s="9" t="str">
        <f>IF($B83="","",IFERROR(_xlfn.LET(_xlpm.Site,$B83,_xlpm.ActDate,_xlfn.XLOOKUP(_xlpm.Site,tblSites[Check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83:INDEX($1:$1048576,ROW(),COLUMN()-1))),_xlpm.Remaining,MAX(0,_xlpm.MaxPts-_xlpm.PriorEnrolled),IF(OR(_xlpm.ActDate="",EOMONTH(W$5,0)&lt;_xlpm.StartDate,_xlpm.Remaining&lt;=0),0,MIN(_xlpm.MonthlyEnroll,_xlpm.Remaining))),0))</f>
        <v/>
      </c>
      <c r="X83" s="9" t="str">
        <f>IF($B83="","",IFERROR(_xlfn.LET(_xlpm.Site,$B83,_xlpm.ActDate,_xlfn.XLOOKUP(_xlpm.Site,tblSites[Site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83:INDEX($1:$1048576,ROW(),COLUMN()-1))),_xlpm.Remaining,MAX(0,_xlpm.MaxPts-_xlpm.PriorEnrolled),IF(OR(_xlpm.ActDate="",EOMONTH(X$5,0)&lt;_xlpm.StartDate,_xlpm.Remaining&lt;=0),0,MIN(_xlpm.MonthlyEnroll,_xlpm.Remaining))),0))</f>
        <v/>
      </c>
      <c r="Y83" s="9" t="str">
        <f>IF($B83="","",IFERROR(_xlfn.LET(_xlpm.Site,$B83,_xlpm.ActDate,_xlfn.XLOOKUP(_xlpm.Site,#REF!,tblSites[Country],""),_xlpm.ScreenDays,N('Study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83:INDEX($1:$1048576,ROW(),COLUMN()-1))),_xlpm.Remaining,MAX(0,_xlpm.MaxPts-_xlpm.PriorEnrolled),IF(OR(_xlpm.ActDate="",EOMONTH(Y$5,0)&lt;_xlpm.StartDate,_xlpm.Remaining&lt;=0),0,MIN(_xlpm.MonthlyEnroll,_xlpm.Remaining))),0))</f>
        <v/>
      </c>
      <c r="Z83" s="9" t="str">
        <f>IF($B83="","",IFERROR(_xlfn.LET(_xlpm.Site,$B83,_xlpm.ActDate,_xlfn.XLOOKUP(_xlpm.Site,tblSites[Country],tblSites[Site],""),_xlpm.ScreenDays,N('Study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83:INDEX($1:$1048576,ROW(),COLUMN()-1))),_xlpm.Remaining,MAX(0,_xlpm.MaxPts-_xlpm.PriorEnrolled),IF(OR(_xlpm.ActDate="",EOMONTH(Z$5,0)&lt;_xlpm.StartDate,_xlpm.Remaining&lt;=0),0,MIN(_xlpm.MonthlyEnroll,_xlpm.Remaining))),0))</f>
        <v/>
      </c>
      <c r="AA83" s="9" t="str">
        <f>IF($B83="","",IFERROR(_xlfn.LET(_xlpm.Site,$B83,_xlpm.ActDate,_xlfn.XLOOKUP(_xlpm.Site,tblSites[Site],tblSites[Site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83:INDEX($1:$1048576,ROW(),COLUMN()-1))),_xlpm.Remaining,MAX(0,_xlpm.MaxPts-_xlpm.PriorEnrolled),IF(OR(_xlpm.ActDate="",EOMONTH(AA$5,0)&lt;_xlpm.StartDate,_xlpm.Remaining&lt;=0),0,MIN(_xlpm.MonthlyEnroll,_xlpm.Remaining))),0))</f>
        <v/>
      </c>
      <c r="AB83" s="9" t="str">
        <f>IF($B83="","",IFERROR(_xlfn.LET(_xlpm.Site,$B83,_xlpm.ActDate,_xlfn.XLOOKUP(_xlpm.Site,tblSites[Site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83:INDEX($1:$1048576,ROW(),COLUMN()-1))),_xlpm.Remaining,MAX(0,_xlpm.MaxPts-_xlpm.PriorEnrolled),IF(OR(_xlpm.ActDate="",EOMONTH(AB$5,0)&lt;_xlpm.StartDate,_xlpm.Remaining&lt;=0),0,MIN(_xlpm.MonthlyEnroll,_xlpm.Remaining))),0))</f>
        <v/>
      </c>
      <c r="AC83" s="9" t="str">
        <f>IF($B83="","",IFERROR(_xlfn.LET(_xlpm.Site,$B83,_xlpm.ActDate,_xlfn.XLOOKUP(_xlpm.Site,tblSites[Monthly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83:INDEX($1:$1048576,ROW(),COLUMN()-1))),_xlpm.Remaining,MAX(0,_xlpm.MaxPts-_xlpm.PriorEnrolled),IF(OR(_xlpm.ActDate="",EOMONTH(AC$5,0)&lt;_xlpm.StartDate,_xlpm.Remaining&lt;=0),0,MIN(_xlpm.MonthlyEnroll,_xlpm.Remaining))),0))</f>
        <v/>
      </c>
    </row>
    <row r="84" spans="3:29" x14ac:dyDescent="0.25">
      <c r="C84" s="9" cm="1">
        <f t="array" aca="1" ref="C84" ca="1">IF(C$5&lt;=TODAY(),0,IF($B84="","",IFERROR(_xlfn.LET(_xlpm.Site,$B84,_xlpm.SiteCol,INDIRECT("tblSites[Site]"),_xlpm.ActCol,INDIRECT("tblSites[Site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4" s="9" t="str">
        <f>IF($B84="","",IFERROR(_xlfn.LET(_xlpm.Site,$B84,_xlpm.ActDate,_xlfn.XLOOKUP(_xlpm.Site,tblSites[Site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84:INDEX($1:$1048576,ROW(),COLUMN()-1))),_xlpm.Remaining,MAX(0,_xlpm.MaxPts-_xlpm.PriorEnrolled),IF(OR(_xlpm.ActDate="",EOMONTH(D$5,0)&lt;_xlpm.StartDate,_xlpm.Remaining&lt;=0),0,MIN(_xlpm.MonthlyEnroll,_xlpm.Remaining))),0))</f>
        <v/>
      </c>
      <c r="E84" s="9" t="str">
        <f>IF($B84="","",IFERROR(_xlfn.LET(_xlpm.Site,$B84,_xlpm.ActDate,_xlfn.XLOOKUP(_xlpm.Site,tblSites[Monthly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84:INDEX($1:$1048576,ROW(),COLUMN()-1))),_xlpm.Remaining,MAX(0,_xlpm.MaxPts-_xlpm.PriorEnrolled),IF(OR(_xlpm.ActDate="",EOMONTH(E$5,0)&lt;_xlpm.StartDate,_xlpm.Remaining&lt;=0),0,MIN(_xlpm.MonthlyEnroll,_xlpm.Remaining))),0))</f>
        <v/>
      </c>
      <c r="F84" s="9" t="str">
        <f>IF($B84="","",IFERROR(_xlfn.LET(_xlpm.Site,$B84,_xlpm.ActDate,_xlfn.XLOOKUP(_xlpm.Site,tblSites[Site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84:INDEX($1:$1048576,ROW(),COLUMN()-1))),_xlpm.Remaining,MAX(0,_xlpm.MaxPts-_xlpm.PriorEnrolled),IF(OR(_xlpm.ActDate="",EOMONTH(F$5,0)&lt;_xlpm.StartDate,_xlpm.Remaining&lt;=0),0,MIN(_xlpm.MonthlyEnroll,_xlpm.Remaining))),0))</f>
        <v/>
      </c>
      <c r="G84" s="9" t="str">
        <f>IF($B84="","",IFERROR(_xlfn.LET(_xlpm.Site,$B84,_xlpm.ActDate,_xlfn.XLOOKUP(_xlpm.Site,tblSites[Max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84:INDEX($1:$1048576,ROW(),COLUMN()-1))),_xlpm.Remaining,MAX(0,_xlpm.MaxPts-_xlpm.PriorEnrolled),IF(OR(_xlpm.ActDate="",EOMONTH(G$5,0)&lt;_xlpm.StartDate,_xlpm.Remaining&lt;=0),0,MIN(_xlpm.MonthlyEnroll,_xlpm.Remaining))),0))</f>
        <v/>
      </c>
      <c r="H84" s="9" t="str">
        <f>IF($B84="","",IFERROR(_xlfn.LET(_xlpm.Site,$B84,_xlpm.ActDate,_xlfn.XLOOKUP(_xlpm.Site,tblSites[Current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84:INDEX($1:$1048576,ROW(),COLUMN()-1))),_xlpm.Remaining,MAX(0,_xlpm.MaxPts-_xlpm.PriorEnrolled),IF(OR(_xlpm.ActDate="",EOMONTH(H$5,0)&lt;_xlpm.StartDate,_xlpm.Remaining&lt;=0),0,MIN(_xlpm.MonthlyEnroll,_xlpm.Remaining))),0))</f>
        <v/>
      </c>
      <c r="I84" s="9" t="str">
        <f>IF($B84="","",IFERROR(_xlfn.LET(_xlpm.Site,$B84,_xlpm.ActDate,_xlfn.XLOOKUP(_xlpm.Site,tblSites[Include?],tblSites[Scenario?],""),_xlpm.ScreenDays,N('Study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84:INDEX($1:$1048576,ROW(),COLUMN()-1))),_xlpm.Remaining,MAX(0,_xlpm.MaxPts-_xlpm.PriorEnrolled),IF(OR(_xlpm.ActDate="",EOMONTH(I$5,0)&lt;_xlpm.StartDate,_xlpm.Remaining&lt;=0),0,MIN(_xlpm.MonthlyEnroll,_xlpm.Remaining))),0))</f>
        <v/>
      </c>
      <c r="J84" s="9" t="str">
        <f>IF($B84="","",IFERROR(_xlfn.LET(_xlpm.Site,$B84,_xlpm.ActDate,_xlfn.XLOOKUP(_xlpm.Site,tblSites[Scenario?],tblSites[Check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84:INDEX($1:$1048576,ROW(),COLUMN()-1))),_xlpm.Remaining,MAX(0,_xlpm.MaxPts-_xlpm.PriorEnrolled),IF(OR(_xlpm.ActDate="",EOMONTH(J$5,0)&lt;_xlpm.StartDate,_xlpm.Remaining&lt;=0),0,MIN(_xlpm.MonthlyEnroll,_xlpm.Remaining))),0))</f>
        <v/>
      </c>
      <c r="K84" s="9" t="str">
        <f>IF($B84="","",IFERROR(_xlfn.LET(_xlpm.Site,$B84,_xlpm.ActDate,_xlfn.XLOOKUP(_xlpm.Site,tblSites[Check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84:INDEX($1:$1048576,ROW(),COLUMN()-1))),_xlpm.Remaining,MAX(0,_xlpm.MaxPts-_xlpm.PriorEnrolled),IF(OR(_xlpm.ActDate="",EOMONTH(K$5,0)&lt;_xlpm.StartDate,_xlpm.Remaining&lt;=0),0,MIN(_xlpm.MonthlyEnroll,_xlpm.Remaining))),0))</f>
        <v/>
      </c>
      <c r="L84" s="9" t="str">
        <f>IF($B84="","",IFERROR(_xlfn.LET(_xlpm.Site,$B84,_xlpm.ActDate,_xlfn.XLOOKUP(_xlpm.Site,tblSites[Site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84:INDEX($1:$1048576,ROW(),COLUMN()-1))),_xlpm.Remaining,MAX(0,_xlpm.MaxPts-_xlpm.PriorEnrolled),IF(OR(_xlpm.ActDate="",EOMONTH(L$5,0)&lt;_xlpm.StartDate,_xlpm.Remaining&lt;=0),0,MIN(_xlpm.MonthlyEnroll,_xlpm.Remaining))),0))</f>
        <v/>
      </c>
      <c r="M84" s="9" t="str">
        <f>IF($B84="","",IFERROR(_xlfn.LET(_xlpm.Site,$B84,_xlpm.ActDate,_xlfn.XLOOKUP(_xlpm.Site,#REF!,tblSites[Country],""),_xlpm.ScreenDays,N('Study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84:INDEX($1:$1048576,ROW(),COLUMN()-1))),_xlpm.Remaining,MAX(0,_xlpm.MaxPts-_xlpm.PriorEnrolled),IF(OR(_xlpm.ActDate="",EOMONTH(M$5,0)&lt;_xlpm.StartDate,_xlpm.Remaining&lt;=0),0,MIN(_xlpm.MonthlyEnroll,_xlpm.Remaining))),0))</f>
        <v/>
      </c>
      <c r="N84" s="9" t="str">
        <f>IF($B84="","",IFERROR(_xlfn.LET(_xlpm.Site,$B84,_xlpm.ActDate,_xlfn.XLOOKUP(_xlpm.Site,tblSites[Country],tblSites[Site],""),_xlpm.ScreenDays,N('Study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84:INDEX($1:$1048576,ROW(),COLUMN()-1))),_xlpm.Remaining,MAX(0,_xlpm.MaxPts-_xlpm.PriorEnrolled),IF(OR(_xlpm.ActDate="",EOMONTH(N$5,0)&lt;_xlpm.StartDate,_xlpm.Remaining&lt;=0),0,MIN(_xlpm.MonthlyEnroll,_xlpm.Remaining))),0))</f>
        <v/>
      </c>
      <c r="O84" s="9" t="str">
        <f>IF($B84="","",IFERROR(_xlfn.LET(_xlpm.Site,$B84,_xlpm.ActDate,_xlfn.XLOOKUP(_xlpm.Site,tblSites[Site],tblSites[Site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84:INDEX($1:$1048576,ROW(),COLUMN()-1))),_xlpm.Remaining,MAX(0,_xlpm.MaxPts-_xlpm.PriorEnrolled),IF(OR(_xlpm.ActDate="",EOMONTH(O$5,0)&lt;_xlpm.StartDate,_xlpm.Remaining&lt;=0),0,MIN(_xlpm.MonthlyEnroll,_xlpm.Remaining))),0))</f>
        <v/>
      </c>
      <c r="P84" s="9" t="str">
        <f>IF($B84="","",IFERROR(_xlfn.LET(_xlpm.Site,$B84,_xlpm.ActDate,_xlfn.XLOOKUP(_xlpm.Site,tblSites[Site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84:INDEX($1:$1048576,ROW(),COLUMN()-1))),_xlpm.Remaining,MAX(0,_xlpm.MaxPts-_xlpm.PriorEnrolled),IF(OR(_xlpm.ActDate="",EOMONTH(P$5,0)&lt;_xlpm.StartDate,_xlpm.Remaining&lt;=0),0,MIN(_xlpm.MonthlyEnroll,_xlpm.Remaining))),0))</f>
        <v/>
      </c>
      <c r="Q84" s="9" t="str">
        <f>IF($B84="","",IFERROR(_xlfn.LET(_xlpm.Site,$B84,_xlpm.ActDate,_xlfn.XLOOKUP(_xlpm.Site,tblSites[Monthly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84:INDEX($1:$1048576,ROW(),COLUMN()-1))),_xlpm.Remaining,MAX(0,_xlpm.MaxPts-_xlpm.PriorEnrolled),IF(OR(_xlpm.ActDate="",EOMONTH(Q$5,0)&lt;_xlpm.StartDate,_xlpm.Remaining&lt;=0),0,MIN(_xlpm.MonthlyEnroll,_xlpm.Remaining))),0))</f>
        <v/>
      </c>
      <c r="R84" s="9" t="str">
        <f>IF($B84="","",IFERROR(_xlfn.LET(_xlpm.Site,$B84,_xlpm.ActDate,_xlfn.XLOOKUP(_xlpm.Site,tblSites[Site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84:INDEX($1:$1048576,ROW(),COLUMN()-1))),_xlpm.Remaining,MAX(0,_xlpm.MaxPts-_xlpm.PriorEnrolled),IF(OR(_xlpm.ActDate="",EOMONTH(R$5,0)&lt;_xlpm.StartDate,_xlpm.Remaining&lt;=0),0,MIN(_xlpm.MonthlyEnroll,_xlpm.Remaining))),0))</f>
        <v/>
      </c>
      <c r="S84" s="9" t="str">
        <f>IF($B84="","",IFERROR(_xlfn.LET(_xlpm.Site,$B84,_xlpm.ActDate,_xlfn.XLOOKUP(_xlpm.Site,tblSites[Max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84:INDEX($1:$1048576,ROW(),COLUMN()-1))),_xlpm.Remaining,MAX(0,_xlpm.MaxPts-_xlpm.PriorEnrolled),IF(OR(_xlpm.ActDate="",EOMONTH(S$5,0)&lt;_xlpm.StartDate,_xlpm.Remaining&lt;=0),0,MIN(_xlpm.MonthlyEnroll,_xlpm.Remaining))),0))</f>
        <v/>
      </c>
      <c r="T84" s="9" t="str">
        <f>IF($B84="","",IFERROR(_xlfn.LET(_xlpm.Site,$B84,_xlpm.ActDate,_xlfn.XLOOKUP(_xlpm.Site,tblSites[Current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84:INDEX($1:$1048576,ROW(),COLUMN()-1))),_xlpm.Remaining,MAX(0,_xlpm.MaxPts-_xlpm.PriorEnrolled),IF(OR(_xlpm.ActDate="",EOMONTH(T$5,0)&lt;_xlpm.StartDate,_xlpm.Remaining&lt;=0),0,MIN(_xlpm.MonthlyEnroll,_xlpm.Remaining))),0))</f>
        <v/>
      </c>
      <c r="U84" s="9" t="str">
        <f>IF($B84="","",IFERROR(_xlfn.LET(_xlpm.Site,$B84,_xlpm.ActDate,_xlfn.XLOOKUP(_xlpm.Site,tblSites[Include?],tblSites[Scenario?],""),_xlpm.ScreenDays,N('Study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84:INDEX($1:$1048576,ROW(),COLUMN()-1))),_xlpm.Remaining,MAX(0,_xlpm.MaxPts-_xlpm.PriorEnrolled),IF(OR(_xlpm.ActDate="",EOMONTH(U$5,0)&lt;_xlpm.StartDate,_xlpm.Remaining&lt;=0),0,MIN(_xlpm.MonthlyEnroll,_xlpm.Remaining))),0))</f>
        <v/>
      </c>
      <c r="V84" s="9" t="str">
        <f>IF($B84="","",IFERROR(_xlfn.LET(_xlpm.Site,$B84,_xlpm.ActDate,_xlfn.XLOOKUP(_xlpm.Site,tblSites[Scenario?],tblSites[Check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84:INDEX($1:$1048576,ROW(),COLUMN()-1))),_xlpm.Remaining,MAX(0,_xlpm.MaxPts-_xlpm.PriorEnrolled),IF(OR(_xlpm.ActDate="",EOMONTH(V$5,0)&lt;_xlpm.StartDate,_xlpm.Remaining&lt;=0),0,MIN(_xlpm.MonthlyEnroll,_xlpm.Remaining))),0))</f>
        <v/>
      </c>
      <c r="W84" s="9" t="str">
        <f>IF($B84="","",IFERROR(_xlfn.LET(_xlpm.Site,$B84,_xlpm.ActDate,_xlfn.XLOOKUP(_xlpm.Site,tblSites[Check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84:INDEX($1:$1048576,ROW(),COLUMN()-1))),_xlpm.Remaining,MAX(0,_xlpm.MaxPts-_xlpm.PriorEnrolled),IF(OR(_xlpm.ActDate="",EOMONTH(W$5,0)&lt;_xlpm.StartDate,_xlpm.Remaining&lt;=0),0,MIN(_xlpm.MonthlyEnroll,_xlpm.Remaining))),0))</f>
        <v/>
      </c>
      <c r="X84" s="9" t="str">
        <f>IF($B84="","",IFERROR(_xlfn.LET(_xlpm.Site,$B84,_xlpm.ActDate,_xlfn.XLOOKUP(_xlpm.Site,tblSites[Site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84:INDEX($1:$1048576,ROW(),COLUMN()-1))),_xlpm.Remaining,MAX(0,_xlpm.MaxPts-_xlpm.PriorEnrolled),IF(OR(_xlpm.ActDate="",EOMONTH(X$5,0)&lt;_xlpm.StartDate,_xlpm.Remaining&lt;=0),0,MIN(_xlpm.MonthlyEnroll,_xlpm.Remaining))),0))</f>
        <v/>
      </c>
      <c r="Y84" s="9" t="str">
        <f>IF($B84="","",IFERROR(_xlfn.LET(_xlpm.Site,$B84,_xlpm.ActDate,_xlfn.XLOOKUP(_xlpm.Site,#REF!,tblSites[Country],""),_xlpm.ScreenDays,N('Study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84:INDEX($1:$1048576,ROW(),COLUMN()-1))),_xlpm.Remaining,MAX(0,_xlpm.MaxPts-_xlpm.PriorEnrolled),IF(OR(_xlpm.ActDate="",EOMONTH(Y$5,0)&lt;_xlpm.StartDate,_xlpm.Remaining&lt;=0),0,MIN(_xlpm.MonthlyEnroll,_xlpm.Remaining))),0))</f>
        <v/>
      </c>
      <c r="Z84" s="9" t="str">
        <f>IF($B84="","",IFERROR(_xlfn.LET(_xlpm.Site,$B84,_xlpm.ActDate,_xlfn.XLOOKUP(_xlpm.Site,tblSites[Country],tblSites[Site],""),_xlpm.ScreenDays,N('Study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84:INDEX($1:$1048576,ROW(),COLUMN()-1))),_xlpm.Remaining,MAX(0,_xlpm.MaxPts-_xlpm.PriorEnrolled),IF(OR(_xlpm.ActDate="",EOMONTH(Z$5,0)&lt;_xlpm.StartDate,_xlpm.Remaining&lt;=0),0,MIN(_xlpm.MonthlyEnroll,_xlpm.Remaining))),0))</f>
        <v/>
      </c>
      <c r="AA84" s="9" t="str">
        <f>IF($B84="","",IFERROR(_xlfn.LET(_xlpm.Site,$B84,_xlpm.ActDate,_xlfn.XLOOKUP(_xlpm.Site,tblSites[Site],tblSites[Site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84:INDEX($1:$1048576,ROW(),COLUMN()-1))),_xlpm.Remaining,MAX(0,_xlpm.MaxPts-_xlpm.PriorEnrolled),IF(OR(_xlpm.ActDate="",EOMONTH(AA$5,0)&lt;_xlpm.StartDate,_xlpm.Remaining&lt;=0),0,MIN(_xlpm.MonthlyEnroll,_xlpm.Remaining))),0))</f>
        <v/>
      </c>
      <c r="AB84" s="9" t="str">
        <f>IF($B84="","",IFERROR(_xlfn.LET(_xlpm.Site,$B84,_xlpm.ActDate,_xlfn.XLOOKUP(_xlpm.Site,tblSites[Site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84:INDEX($1:$1048576,ROW(),COLUMN()-1))),_xlpm.Remaining,MAX(0,_xlpm.MaxPts-_xlpm.PriorEnrolled),IF(OR(_xlpm.ActDate="",EOMONTH(AB$5,0)&lt;_xlpm.StartDate,_xlpm.Remaining&lt;=0),0,MIN(_xlpm.MonthlyEnroll,_xlpm.Remaining))),0))</f>
        <v/>
      </c>
      <c r="AC84" s="9" t="str">
        <f>IF($B84="","",IFERROR(_xlfn.LET(_xlpm.Site,$B84,_xlpm.ActDate,_xlfn.XLOOKUP(_xlpm.Site,tblSites[Monthly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84:INDEX($1:$1048576,ROW(),COLUMN()-1))),_xlpm.Remaining,MAX(0,_xlpm.MaxPts-_xlpm.PriorEnrolled),IF(OR(_xlpm.ActDate="",EOMONTH(AC$5,0)&lt;_xlpm.StartDate,_xlpm.Remaining&lt;=0),0,MIN(_xlpm.MonthlyEnroll,_xlpm.Remaining))),0))</f>
        <v/>
      </c>
    </row>
    <row r="85" spans="3:29" x14ac:dyDescent="0.25">
      <c r="C85" s="9" cm="1">
        <f t="array" aca="1" ref="C85" ca="1">IF(C$5&lt;=TODAY(),0,IF($B85="","",IFERROR(_xlfn.LET(_xlpm.Site,$B85,_xlpm.SiteCol,INDIRECT("tblSites[Site]"),_xlpm.ActCol,INDIRECT("tblSites[Site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5" s="9" t="str">
        <f>IF($B85="","",IFERROR(_xlfn.LET(_xlpm.Site,$B85,_xlpm.ActDate,_xlfn.XLOOKUP(_xlpm.Site,tblSites[Site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85:INDEX($1:$1048576,ROW(),COLUMN()-1))),_xlpm.Remaining,MAX(0,_xlpm.MaxPts-_xlpm.PriorEnrolled),IF(OR(_xlpm.ActDate="",EOMONTH(D$5,0)&lt;_xlpm.StartDate,_xlpm.Remaining&lt;=0),0,MIN(_xlpm.MonthlyEnroll,_xlpm.Remaining))),0))</f>
        <v/>
      </c>
      <c r="E85" s="9" t="str">
        <f>IF($B85="","",IFERROR(_xlfn.LET(_xlpm.Site,$B85,_xlpm.ActDate,_xlfn.XLOOKUP(_xlpm.Site,tblSites[Monthly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85:INDEX($1:$1048576,ROW(),COLUMN()-1))),_xlpm.Remaining,MAX(0,_xlpm.MaxPts-_xlpm.PriorEnrolled),IF(OR(_xlpm.ActDate="",EOMONTH(E$5,0)&lt;_xlpm.StartDate,_xlpm.Remaining&lt;=0),0,MIN(_xlpm.MonthlyEnroll,_xlpm.Remaining))),0))</f>
        <v/>
      </c>
      <c r="F85" s="9" t="str">
        <f>IF($B85="","",IFERROR(_xlfn.LET(_xlpm.Site,$B85,_xlpm.ActDate,_xlfn.XLOOKUP(_xlpm.Site,tblSites[Site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85:INDEX($1:$1048576,ROW(),COLUMN()-1))),_xlpm.Remaining,MAX(0,_xlpm.MaxPts-_xlpm.PriorEnrolled),IF(OR(_xlpm.ActDate="",EOMONTH(F$5,0)&lt;_xlpm.StartDate,_xlpm.Remaining&lt;=0),0,MIN(_xlpm.MonthlyEnroll,_xlpm.Remaining))),0))</f>
        <v/>
      </c>
      <c r="G85" s="9" t="str">
        <f>IF($B85="","",IFERROR(_xlfn.LET(_xlpm.Site,$B85,_xlpm.ActDate,_xlfn.XLOOKUP(_xlpm.Site,tblSites[Max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85:INDEX($1:$1048576,ROW(),COLUMN()-1))),_xlpm.Remaining,MAX(0,_xlpm.MaxPts-_xlpm.PriorEnrolled),IF(OR(_xlpm.ActDate="",EOMONTH(G$5,0)&lt;_xlpm.StartDate,_xlpm.Remaining&lt;=0),0,MIN(_xlpm.MonthlyEnroll,_xlpm.Remaining))),0))</f>
        <v/>
      </c>
      <c r="H85" s="9" t="str">
        <f>IF($B85="","",IFERROR(_xlfn.LET(_xlpm.Site,$B85,_xlpm.ActDate,_xlfn.XLOOKUP(_xlpm.Site,tblSites[Current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85:INDEX($1:$1048576,ROW(),COLUMN()-1))),_xlpm.Remaining,MAX(0,_xlpm.MaxPts-_xlpm.PriorEnrolled),IF(OR(_xlpm.ActDate="",EOMONTH(H$5,0)&lt;_xlpm.StartDate,_xlpm.Remaining&lt;=0),0,MIN(_xlpm.MonthlyEnroll,_xlpm.Remaining))),0))</f>
        <v/>
      </c>
      <c r="I85" s="9" t="str">
        <f>IF($B85="","",IFERROR(_xlfn.LET(_xlpm.Site,$B85,_xlpm.ActDate,_xlfn.XLOOKUP(_xlpm.Site,tblSites[Include?],tblSites[Scenario?],""),_xlpm.ScreenDays,N('Study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85:INDEX($1:$1048576,ROW(),COLUMN()-1))),_xlpm.Remaining,MAX(0,_xlpm.MaxPts-_xlpm.PriorEnrolled),IF(OR(_xlpm.ActDate="",EOMONTH(I$5,0)&lt;_xlpm.StartDate,_xlpm.Remaining&lt;=0),0,MIN(_xlpm.MonthlyEnroll,_xlpm.Remaining))),0))</f>
        <v/>
      </c>
      <c r="J85" s="9" t="str">
        <f>IF($B85="","",IFERROR(_xlfn.LET(_xlpm.Site,$B85,_xlpm.ActDate,_xlfn.XLOOKUP(_xlpm.Site,tblSites[Scenario?],tblSites[Check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85:INDEX($1:$1048576,ROW(),COLUMN()-1))),_xlpm.Remaining,MAX(0,_xlpm.MaxPts-_xlpm.PriorEnrolled),IF(OR(_xlpm.ActDate="",EOMONTH(J$5,0)&lt;_xlpm.StartDate,_xlpm.Remaining&lt;=0),0,MIN(_xlpm.MonthlyEnroll,_xlpm.Remaining))),0))</f>
        <v/>
      </c>
      <c r="K85" s="9" t="str">
        <f>IF($B85="","",IFERROR(_xlfn.LET(_xlpm.Site,$B85,_xlpm.ActDate,_xlfn.XLOOKUP(_xlpm.Site,tblSites[Check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85:INDEX($1:$1048576,ROW(),COLUMN()-1))),_xlpm.Remaining,MAX(0,_xlpm.MaxPts-_xlpm.PriorEnrolled),IF(OR(_xlpm.ActDate="",EOMONTH(K$5,0)&lt;_xlpm.StartDate,_xlpm.Remaining&lt;=0),0,MIN(_xlpm.MonthlyEnroll,_xlpm.Remaining))),0))</f>
        <v/>
      </c>
      <c r="L85" s="9" t="str">
        <f>IF($B85="","",IFERROR(_xlfn.LET(_xlpm.Site,$B85,_xlpm.ActDate,_xlfn.XLOOKUP(_xlpm.Site,tblSites[Site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85:INDEX($1:$1048576,ROW(),COLUMN()-1))),_xlpm.Remaining,MAX(0,_xlpm.MaxPts-_xlpm.PriorEnrolled),IF(OR(_xlpm.ActDate="",EOMONTH(L$5,0)&lt;_xlpm.StartDate,_xlpm.Remaining&lt;=0),0,MIN(_xlpm.MonthlyEnroll,_xlpm.Remaining))),0))</f>
        <v/>
      </c>
      <c r="M85" s="9" t="str">
        <f>IF($B85="","",IFERROR(_xlfn.LET(_xlpm.Site,$B85,_xlpm.ActDate,_xlfn.XLOOKUP(_xlpm.Site,#REF!,tblSites[Country],""),_xlpm.ScreenDays,N('Study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85:INDEX($1:$1048576,ROW(),COLUMN()-1))),_xlpm.Remaining,MAX(0,_xlpm.MaxPts-_xlpm.PriorEnrolled),IF(OR(_xlpm.ActDate="",EOMONTH(M$5,0)&lt;_xlpm.StartDate,_xlpm.Remaining&lt;=0),0,MIN(_xlpm.MonthlyEnroll,_xlpm.Remaining))),0))</f>
        <v/>
      </c>
      <c r="N85" s="9" t="str">
        <f>IF($B85="","",IFERROR(_xlfn.LET(_xlpm.Site,$B85,_xlpm.ActDate,_xlfn.XLOOKUP(_xlpm.Site,tblSites[Country],tblSites[Site],""),_xlpm.ScreenDays,N('Study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85:INDEX($1:$1048576,ROW(),COLUMN()-1))),_xlpm.Remaining,MAX(0,_xlpm.MaxPts-_xlpm.PriorEnrolled),IF(OR(_xlpm.ActDate="",EOMONTH(N$5,0)&lt;_xlpm.StartDate,_xlpm.Remaining&lt;=0),0,MIN(_xlpm.MonthlyEnroll,_xlpm.Remaining))),0))</f>
        <v/>
      </c>
      <c r="O85" s="9" t="str">
        <f>IF($B85="","",IFERROR(_xlfn.LET(_xlpm.Site,$B85,_xlpm.ActDate,_xlfn.XLOOKUP(_xlpm.Site,tblSites[Site],tblSites[Site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85:INDEX($1:$1048576,ROW(),COLUMN()-1))),_xlpm.Remaining,MAX(0,_xlpm.MaxPts-_xlpm.PriorEnrolled),IF(OR(_xlpm.ActDate="",EOMONTH(O$5,0)&lt;_xlpm.StartDate,_xlpm.Remaining&lt;=0),0,MIN(_xlpm.MonthlyEnroll,_xlpm.Remaining))),0))</f>
        <v/>
      </c>
      <c r="P85" s="9" t="str">
        <f>IF($B85="","",IFERROR(_xlfn.LET(_xlpm.Site,$B85,_xlpm.ActDate,_xlfn.XLOOKUP(_xlpm.Site,tblSites[Site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85:INDEX($1:$1048576,ROW(),COLUMN()-1))),_xlpm.Remaining,MAX(0,_xlpm.MaxPts-_xlpm.PriorEnrolled),IF(OR(_xlpm.ActDate="",EOMONTH(P$5,0)&lt;_xlpm.StartDate,_xlpm.Remaining&lt;=0),0,MIN(_xlpm.MonthlyEnroll,_xlpm.Remaining))),0))</f>
        <v/>
      </c>
      <c r="Q85" s="9" t="str">
        <f>IF($B85="","",IFERROR(_xlfn.LET(_xlpm.Site,$B85,_xlpm.ActDate,_xlfn.XLOOKUP(_xlpm.Site,tblSites[Monthly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85:INDEX($1:$1048576,ROW(),COLUMN()-1))),_xlpm.Remaining,MAX(0,_xlpm.MaxPts-_xlpm.PriorEnrolled),IF(OR(_xlpm.ActDate="",EOMONTH(Q$5,0)&lt;_xlpm.StartDate,_xlpm.Remaining&lt;=0),0,MIN(_xlpm.MonthlyEnroll,_xlpm.Remaining))),0))</f>
        <v/>
      </c>
      <c r="R85" s="9" t="str">
        <f>IF($B85="","",IFERROR(_xlfn.LET(_xlpm.Site,$B85,_xlpm.ActDate,_xlfn.XLOOKUP(_xlpm.Site,tblSites[Site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85:INDEX($1:$1048576,ROW(),COLUMN()-1))),_xlpm.Remaining,MAX(0,_xlpm.MaxPts-_xlpm.PriorEnrolled),IF(OR(_xlpm.ActDate="",EOMONTH(R$5,0)&lt;_xlpm.StartDate,_xlpm.Remaining&lt;=0),0,MIN(_xlpm.MonthlyEnroll,_xlpm.Remaining))),0))</f>
        <v/>
      </c>
      <c r="S85" s="9" t="str">
        <f>IF($B85="","",IFERROR(_xlfn.LET(_xlpm.Site,$B85,_xlpm.ActDate,_xlfn.XLOOKUP(_xlpm.Site,tblSites[Max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85:INDEX($1:$1048576,ROW(),COLUMN()-1))),_xlpm.Remaining,MAX(0,_xlpm.MaxPts-_xlpm.PriorEnrolled),IF(OR(_xlpm.ActDate="",EOMONTH(S$5,0)&lt;_xlpm.StartDate,_xlpm.Remaining&lt;=0),0,MIN(_xlpm.MonthlyEnroll,_xlpm.Remaining))),0))</f>
        <v/>
      </c>
      <c r="T85" s="9" t="str">
        <f>IF($B85="","",IFERROR(_xlfn.LET(_xlpm.Site,$B85,_xlpm.ActDate,_xlfn.XLOOKUP(_xlpm.Site,tblSites[Current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85:INDEX($1:$1048576,ROW(),COLUMN()-1))),_xlpm.Remaining,MAX(0,_xlpm.MaxPts-_xlpm.PriorEnrolled),IF(OR(_xlpm.ActDate="",EOMONTH(T$5,0)&lt;_xlpm.StartDate,_xlpm.Remaining&lt;=0),0,MIN(_xlpm.MonthlyEnroll,_xlpm.Remaining))),0))</f>
        <v/>
      </c>
      <c r="U85" s="9" t="str">
        <f>IF($B85="","",IFERROR(_xlfn.LET(_xlpm.Site,$B85,_xlpm.ActDate,_xlfn.XLOOKUP(_xlpm.Site,tblSites[Include?],tblSites[Scenario?],""),_xlpm.ScreenDays,N('Study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85:INDEX($1:$1048576,ROW(),COLUMN()-1))),_xlpm.Remaining,MAX(0,_xlpm.MaxPts-_xlpm.PriorEnrolled),IF(OR(_xlpm.ActDate="",EOMONTH(U$5,0)&lt;_xlpm.StartDate,_xlpm.Remaining&lt;=0),0,MIN(_xlpm.MonthlyEnroll,_xlpm.Remaining))),0))</f>
        <v/>
      </c>
      <c r="V85" s="9" t="str">
        <f>IF($B85="","",IFERROR(_xlfn.LET(_xlpm.Site,$B85,_xlpm.ActDate,_xlfn.XLOOKUP(_xlpm.Site,tblSites[Scenario?],tblSites[Check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85:INDEX($1:$1048576,ROW(),COLUMN()-1))),_xlpm.Remaining,MAX(0,_xlpm.MaxPts-_xlpm.PriorEnrolled),IF(OR(_xlpm.ActDate="",EOMONTH(V$5,0)&lt;_xlpm.StartDate,_xlpm.Remaining&lt;=0),0,MIN(_xlpm.MonthlyEnroll,_xlpm.Remaining))),0))</f>
        <v/>
      </c>
      <c r="W85" s="9" t="str">
        <f>IF($B85="","",IFERROR(_xlfn.LET(_xlpm.Site,$B85,_xlpm.ActDate,_xlfn.XLOOKUP(_xlpm.Site,tblSites[Check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85:INDEX($1:$1048576,ROW(),COLUMN()-1))),_xlpm.Remaining,MAX(0,_xlpm.MaxPts-_xlpm.PriorEnrolled),IF(OR(_xlpm.ActDate="",EOMONTH(W$5,0)&lt;_xlpm.StartDate,_xlpm.Remaining&lt;=0),0,MIN(_xlpm.MonthlyEnroll,_xlpm.Remaining))),0))</f>
        <v/>
      </c>
      <c r="X85" s="9" t="str">
        <f>IF($B85="","",IFERROR(_xlfn.LET(_xlpm.Site,$B85,_xlpm.ActDate,_xlfn.XLOOKUP(_xlpm.Site,tblSites[Site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85:INDEX($1:$1048576,ROW(),COLUMN()-1))),_xlpm.Remaining,MAX(0,_xlpm.MaxPts-_xlpm.PriorEnrolled),IF(OR(_xlpm.ActDate="",EOMONTH(X$5,0)&lt;_xlpm.StartDate,_xlpm.Remaining&lt;=0),0,MIN(_xlpm.MonthlyEnroll,_xlpm.Remaining))),0))</f>
        <v/>
      </c>
      <c r="Y85" s="9" t="str">
        <f>IF($B85="","",IFERROR(_xlfn.LET(_xlpm.Site,$B85,_xlpm.ActDate,_xlfn.XLOOKUP(_xlpm.Site,#REF!,tblSites[Country],""),_xlpm.ScreenDays,N('Study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85:INDEX($1:$1048576,ROW(),COLUMN()-1))),_xlpm.Remaining,MAX(0,_xlpm.MaxPts-_xlpm.PriorEnrolled),IF(OR(_xlpm.ActDate="",EOMONTH(Y$5,0)&lt;_xlpm.StartDate,_xlpm.Remaining&lt;=0),0,MIN(_xlpm.MonthlyEnroll,_xlpm.Remaining))),0))</f>
        <v/>
      </c>
      <c r="Z85" s="9" t="str">
        <f>IF($B85="","",IFERROR(_xlfn.LET(_xlpm.Site,$B85,_xlpm.ActDate,_xlfn.XLOOKUP(_xlpm.Site,tblSites[Country],tblSites[Site],""),_xlpm.ScreenDays,N('Study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85:INDEX($1:$1048576,ROW(),COLUMN()-1))),_xlpm.Remaining,MAX(0,_xlpm.MaxPts-_xlpm.PriorEnrolled),IF(OR(_xlpm.ActDate="",EOMONTH(Z$5,0)&lt;_xlpm.StartDate,_xlpm.Remaining&lt;=0),0,MIN(_xlpm.MonthlyEnroll,_xlpm.Remaining))),0))</f>
        <v/>
      </c>
      <c r="AA85" s="9" t="str">
        <f>IF($B85="","",IFERROR(_xlfn.LET(_xlpm.Site,$B85,_xlpm.ActDate,_xlfn.XLOOKUP(_xlpm.Site,tblSites[Site],tblSites[Site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85:INDEX($1:$1048576,ROW(),COLUMN()-1))),_xlpm.Remaining,MAX(0,_xlpm.MaxPts-_xlpm.PriorEnrolled),IF(OR(_xlpm.ActDate="",EOMONTH(AA$5,0)&lt;_xlpm.StartDate,_xlpm.Remaining&lt;=0),0,MIN(_xlpm.MonthlyEnroll,_xlpm.Remaining))),0))</f>
        <v/>
      </c>
      <c r="AB85" s="9" t="str">
        <f>IF($B85="","",IFERROR(_xlfn.LET(_xlpm.Site,$B85,_xlpm.ActDate,_xlfn.XLOOKUP(_xlpm.Site,tblSites[Site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85:INDEX($1:$1048576,ROW(),COLUMN()-1))),_xlpm.Remaining,MAX(0,_xlpm.MaxPts-_xlpm.PriorEnrolled),IF(OR(_xlpm.ActDate="",EOMONTH(AB$5,0)&lt;_xlpm.StartDate,_xlpm.Remaining&lt;=0),0,MIN(_xlpm.MonthlyEnroll,_xlpm.Remaining))),0))</f>
        <v/>
      </c>
      <c r="AC85" s="9" t="str">
        <f>IF($B85="","",IFERROR(_xlfn.LET(_xlpm.Site,$B85,_xlpm.ActDate,_xlfn.XLOOKUP(_xlpm.Site,tblSites[Monthly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85:INDEX($1:$1048576,ROW(),COLUMN()-1))),_xlpm.Remaining,MAX(0,_xlpm.MaxPts-_xlpm.PriorEnrolled),IF(OR(_xlpm.ActDate="",EOMONTH(AC$5,0)&lt;_xlpm.StartDate,_xlpm.Remaining&lt;=0),0,MIN(_xlpm.MonthlyEnroll,_xlpm.Remaining))),0))</f>
        <v/>
      </c>
    </row>
    <row r="86" spans="3:29" x14ac:dyDescent="0.25">
      <c r="C86" s="9" cm="1">
        <f t="array" aca="1" ref="C86" ca="1">IF(C$5&lt;=TODAY(),0,IF($B86="","",IFERROR(_xlfn.LET(_xlpm.Site,$B86,_xlpm.SiteCol,INDIRECT("tblSites[Site]"),_xlpm.ActCol,INDIRECT("tblSites[Site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6" s="9" t="str">
        <f>IF($B86="","",IFERROR(_xlfn.LET(_xlpm.Site,$B86,_xlpm.ActDate,_xlfn.XLOOKUP(_xlpm.Site,tblSites[Site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86:INDEX($1:$1048576,ROW(),COLUMN()-1))),_xlpm.Remaining,MAX(0,_xlpm.MaxPts-_xlpm.PriorEnrolled),IF(OR(_xlpm.ActDate="",EOMONTH(D$5,0)&lt;_xlpm.StartDate,_xlpm.Remaining&lt;=0),0,MIN(_xlpm.MonthlyEnroll,_xlpm.Remaining))),0))</f>
        <v/>
      </c>
      <c r="E86" s="9" t="str">
        <f>IF($B86="","",IFERROR(_xlfn.LET(_xlpm.Site,$B86,_xlpm.ActDate,_xlfn.XLOOKUP(_xlpm.Site,tblSites[Monthly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86:INDEX($1:$1048576,ROW(),COLUMN()-1))),_xlpm.Remaining,MAX(0,_xlpm.MaxPts-_xlpm.PriorEnrolled),IF(OR(_xlpm.ActDate="",EOMONTH(E$5,0)&lt;_xlpm.StartDate,_xlpm.Remaining&lt;=0),0,MIN(_xlpm.MonthlyEnroll,_xlpm.Remaining))),0))</f>
        <v/>
      </c>
      <c r="F86" s="9" t="str">
        <f>IF($B86="","",IFERROR(_xlfn.LET(_xlpm.Site,$B86,_xlpm.ActDate,_xlfn.XLOOKUP(_xlpm.Site,tblSites[Site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86:INDEX($1:$1048576,ROW(),COLUMN()-1))),_xlpm.Remaining,MAX(0,_xlpm.MaxPts-_xlpm.PriorEnrolled),IF(OR(_xlpm.ActDate="",EOMONTH(F$5,0)&lt;_xlpm.StartDate,_xlpm.Remaining&lt;=0),0,MIN(_xlpm.MonthlyEnroll,_xlpm.Remaining))),0))</f>
        <v/>
      </c>
      <c r="G86" s="9" t="str">
        <f>IF($B86="","",IFERROR(_xlfn.LET(_xlpm.Site,$B86,_xlpm.ActDate,_xlfn.XLOOKUP(_xlpm.Site,tblSites[Max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86:INDEX($1:$1048576,ROW(),COLUMN()-1))),_xlpm.Remaining,MAX(0,_xlpm.MaxPts-_xlpm.PriorEnrolled),IF(OR(_xlpm.ActDate="",EOMONTH(G$5,0)&lt;_xlpm.StartDate,_xlpm.Remaining&lt;=0),0,MIN(_xlpm.MonthlyEnroll,_xlpm.Remaining))),0))</f>
        <v/>
      </c>
      <c r="H86" s="9" t="str">
        <f>IF($B86="","",IFERROR(_xlfn.LET(_xlpm.Site,$B86,_xlpm.ActDate,_xlfn.XLOOKUP(_xlpm.Site,tblSites[Current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86:INDEX($1:$1048576,ROW(),COLUMN()-1))),_xlpm.Remaining,MAX(0,_xlpm.MaxPts-_xlpm.PriorEnrolled),IF(OR(_xlpm.ActDate="",EOMONTH(H$5,0)&lt;_xlpm.StartDate,_xlpm.Remaining&lt;=0),0,MIN(_xlpm.MonthlyEnroll,_xlpm.Remaining))),0))</f>
        <v/>
      </c>
      <c r="I86" s="9" t="str">
        <f>IF($B86="","",IFERROR(_xlfn.LET(_xlpm.Site,$B86,_xlpm.ActDate,_xlfn.XLOOKUP(_xlpm.Site,tblSites[Include?],tblSites[Scenario?],""),_xlpm.ScreenDays,N('Study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86:INDEX($1:$1048576,ROW(),COLUMN()-1))),_xlpm.Remaining,MAX(0,_xlpm.MaxPts-_xlpm.PriorEnrolled),IF(OR(_xlpm.ActDate="",EOMONTH(I$5,0)&lt;_xlpm.StartDate,_xlpm.Remaining&lt;=0),0,MIN(_xlpm.MonthlyEnroll,_xlpm.Remaining))),0))</f>
        <v/>
      </c>
      <c r="J86" s="9" t="str">
        <f>IF($B86="","",IFERROR(_xlfn.LET(_xlpm.Site,$B86,_xlpm.ActDate,_xlfn.XLOOKUP(_xlpm.Site,tblSites[Scenario?],tblSites[Check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86:INDEX($1:$1048576,ROW(),COLUMN()-1))),_xlpm.Remaining,MAX(0,_xlpm.MaxPts-_xlpm.PriorEnrolled),IF(OR(_xlpm.ActDate="",EOMONTH(J$5,0)&lt;_xlpm.StartDate,_xlpm.Remaining&lt;=0),0,MIN(_xlpm.MonthlyEnroll,_xlpm.Remaining))),0))</f>
        <v/>
      </c>
      <c r="K86" s="9" t="str">
        <f>IF($B86="","",IFERROR(_xlfn.LET(_xlpm.Site,$B86,_xlpm.ActDate,_xlfn.XLOOKUP(_xlpm.Site,tblSites[Check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86:INDEX($1:$1048576,ROW(),COLUMN()-1))),_xlpm.Remaining,MAX(0,_xlpm.MaxPts-_xlpm.PriorEnrolled),IF(OR(_xlpm.ActDate="",EOMONTH(K$5,0)&lt;_xlpm.StartDate,_xlpm.Remaining&lt;=0),0,MIN(_xlpm.MonthlyEnroll,_xlpm.Remaining))),0))</f>
        <v/>
      </c>
      <c r="L86" s="9" t="str">
        <f>IF($B86="","",IFERROR(_xlfn.LET(_xlpm.Site,$B86,_xlpm.ActDate,_xlfn.XLOOKUP(_xlpm.Site,tblSites[Site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86:INDEX($1:$1048576,ROW(),COLUMN()-1))),_xlpm.Remaining,MAX(0,_xlpm.MaxPts-_xlpm.PriorEnrolled),IF(OR(_xlpm.ActDate="",EOMONTH(L$5,0)&lt;_xlpm.StartDate,_xlpm.Remaining&lt;=0),0,MIN(_xlpm.MonthlyEnroll,_xlpm.Remaining))),0))</f>
        <v/>
      </c>
      <c r="M86" s="9" t="str">
        <f>IF($B86="","",IFERROR(_xlfn.LET(_xlpm.Site,$B86,_xlpm.ActDate,_xlfn.XLOOKUP(_xlpm.Site,#REF!,tblSites[Country],""),_xlpm.ScreenDays,N('Study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86:INDEX($1:$1048576,ROW(),COLUMN()-1))),_xlpm.Remaining,MAX(0,_xlpm.MaxPts-_xlpm.PriorEnrolled),IF(OR(_xlpm.ActDate="",EOMONTH(M$5,0)&lt;_xlpm.StartDate,_xlpm.Remaining&lt;=0),0,MIN(_xlpm.MonthlyEnroll,_xlpm.Remaining))),0))</f>
        <v/>
      </c>
      <c r="N86" s="9" t="str">
        <f>IF($B86="","",IFERROR(_xlfn.LET(_xlpm.Site,$B86,_xlpm.ActDate,_xlfn.XLOOKUP(_xlpm.Site,tblSites[Country],tblSites[Site],""),_xlpm.ScreenDays,N('Study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86:INDEX($1:$1048576,ROW(),COLUMN()-1))),_xlpm.Remaining,MAX(0,_xlpm.MaxPts-_xlpm.PriorEnrolled),IF(OR(_xlpm.ActDate="",EOMONTH(N$5,0)&lt;_xlpm.StartDate,_xlpm.Remaining&lt;=0),0,MIN(_xlpm.MonthlyEnroll,_xlpm.Remaining))),0))</f>
        <v/>
      </c>
      <c r="O86" s="9" t="str">
        <f>IF($B86="","",IFERROR(_xlfn.LET(_xlpm.Site,$B86,_xlpm.ActDate,_xlfn.XLOOKUP(_xlpm.Site,tblSites[Site],tblSites[Site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86:INDEX($1:$1048576,ROW(),COLUMN()-1))),_xlpm.Remaining,MAX(0,_xlpm.MaxPts-_xlpm.PriorEnrolled),IF(OR(_xlpm.ActDate="",EOMONTH(O$5,0)&lt;_xlpm.StartDate,_xlpm.Remaining&lt;=0),0,MIN(_xlpm.MonthlyEnroll,_xlpm.Remaining))),0))</f>
        <v/>
      </c>
      <c r="P86" s="9" t="str">
        <f>IF($B86="","",IFERROR(_xlfn.LET(_xlpm.Site,$B86,_xlpm.ActDate,_xlfn.XLOOKUP(_xlpm.Site,tblSites[Site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86:INDEX($1:$1048576,ROW(),COLUMN()-1))),_xlpm.Remaining,MAX(0,_xlpm.MaxPts-_xlpm.PriorEnrolled),IF(OR(_xlpm.ActDate="",EOMONTH(P$5,0)&lt;_xlpm.StartDate,_xlpm.Remaining&lt;=0),0,MIN(_xlpm.MonthlyEnroll,_xlpm.Remaining))),0))</f>
        <v/>
      </c>
      <c r="Q86" s="9" t="str">
        <f>IF($B86="","",IFERROR(_xlfn.LET(_xlpm.Site,$B86,_xlpm.ActDate,_xlfn.XLOOKUP(_xlpm.Site,tblSites[Monthly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86:INDEX($1:$1048576,ROW(),COLUMN()-1))),_xlpm.Remaining,MAX(0,_xlpm.MaxPts-_xlpm.PriorEnrolled),IF(OR(_xlpm.ActDate="",EOMONTH(Q$5,0)&lt;_xlpm.StartDate,_xlpm.Remaining&lt;=0),0,MIN(_xlpm.MonthlyEnroll,_xlpm.Remaining))),0))</f>
        <v/>
      </c>
      <c r="R86" s="9" t="str">
        <f>IF($B86="","",IFERROR(_xlfn.LET(_xlpm.Site,$B86,_xlpm.ActDate,_xlfn.XLOOKUP(_xlpm.Site,tblSites[Site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86:INDEX($1:$1048576,ROW(),COLUMN()-1))),_xlpm.Remaining,MAX(0,_xlpm.MaxPts-_xlpm.PriorEnrolled),IF(OR(_xlpm.ActDate="",EOMONTH(R$5,0)&lt;_xlpm.StartDate,_xlpm.Remaining&lt;=0),0,MIN(_xlpm.MonthlyEnroll,_xlpm.Remaining))),0))</f>
        <v/>
      </c>
      <c r="S86" s="9" t="str">
        <f>IF($B86="","",IFERROR(_xlfn.LET(_xlpm.Site,$B86,_xlpm.ActDate,_xlfn.XLOOKUP(_xlpm.Site,tblSites[Max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86:INDEX($1:$1048576,ROW(),COLUMN()-1))),_xlpm.Remaining,MAX(0,_xlpm.MaxPts-_xlpm.PriorEnrolled),IF(OR(_xlpm.ActDate="",EOMONTH(S$5,0)&lt;_xlpm.StartDate,_xlpm.Remaining&lt;=0),0,MIN(_xlpm.MonthlyEnroll,_xlpm.Remaining))),0))</f>
        <v/>
      </c>
      <c r="T86" s="9" t="str">
        <f>IF($B86="","",IFERROR(_xlfn.LET(_xlpm.Site,$B86,_xlpm.ActDate,_xlfn.XLOOKUP(_xlpm.Site,tblSites[Current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86:INDEX($1:$1048576,ROW(),COLUMN()-1))),_xlpm.Remaining,MAX(0,_xlpm.MaxPts-_xlpm.PriorEnrolled),IF(OR(_xlpm.ActDate="",EOMONTH(T$5,0)&lt;_xlpm.StartDate,_xlpm.Remaining&lt;=0),0,MIN(_xlpm.MonthlyEnroll,_xlpm.Remaining))),0))</f>
        <v/>
      </c>
      <c r="U86" s="9" t="str">
        <f>IF($B86="","",IFERROR(_xlfn.LET(_xlpm.Site,$B86,_xlpm.ActDate,_xlfn.XLOOKUP(_xlpm.Site,tblSites[Include?],tblSites[Scenario?],""),_xlpm.ScreenDays,N('Study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86:INDEX($1:$1048576,ROW(),COLUMN()-1))),_xlpm.Remaining,MAX(0,_xlpm.MaxPts-_xlpm.PriorEnrolled),IF(OR(_xlpm.ActDate="",EOMONTH(U$5,0)&lt;_xlpm.StartDate,_xlpm.Remaining&lt;=0),0,MIN(_xlpm.MonthlyEnroll,_xlpm.Remaining))),0))</f>
        <v/>
      </c>
      <c r="V86" s="9" t="str">
        <f>IF($B86="","",IFERROR(_xlfn.LET(_xlpm.Site,$B86,_xlpm.ActDate,_xlfn.XLOOKUP(_xlpm.Site,tblSites[Scenario?],tblSites[Check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86:INDEX($1:$1048576,ROW(),COLUMN()-1))),_xlpm.Remaining,MAX(0,_xlpm.MaxPts-_xlpm.PriorEnrolled),IF(OR(_xlpm.ActDate="",EOMONTH(V$5,0)&lt;_xlpm.StartDate,_xlpm.Remaining&lt;=0),0,MIN(_xlpm.MonthlyEnroll,_xlpm.Remaining))),0))</f>
        <v/>
      </c>
      <c r="W86" s="9" t="str">
        <f>IF($B86="","",IFERROR(_xlfn.LET(_xlpm.Site,$B86,_xlpm.ActDate,_xlfn.XLOOKUP(_xlpm.Site,tblSites[Check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86:INDEX($1:$1048576,ROW(),COLUMN()-1))),_xlpm.Remaining,MAX(0,_xlpm.MaxPts-_xlpm.PriorEnrolled),IF(OR(_xlpm.ActDate="",EOMONTH(W$5,0)&lt;_xlpm.StartDate,_xlpm.Remaining&lt;=0),0,MIN(_xlpm.MonthlyEnroll,_xlpm.Remaining))),0))</f>
        <v/>
      </c>
      <c r="X86" s="9" t="str">
        <f>IF($B86="","",IFERROR(_xlfn.LET(_xlpm.Site,$B86,_xlpm.ActDate,_xlfn.XLOOKUP(_xlpm.Site,tblSites[Site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86:INDEX($1:$1048576,ROW(),COLUMN()-1))),_xlpm.Remaining,MAX(0,_xlpm.MaxPts-_xlpm.PriorEnrolled),IF(OR(_xlpm.ActDate="",EOMONTH(X$5,0)&lt;_xlpm.StartDate,_xlpm.Remaining&lt;=0),0,MIN(_xlpm.MonthlyEnroll,_xlpm.Remaining))),0))</f>
        <v/>
      </c>
      <c r="Y86" s="9" t="str">
        <f>IF($B86="","",IFERROR(_xlfn.LET(_xlpm.Site,$B86,_xlpm.ActDate,_xlfn.XLOOKUP(_xlpm.Site,#REF!,tblSites[Country],""),_xlpm.ScreenDays,N('Study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86:INDEX($1:$1048576,ROW(),COLUMN()-1))),_xlpm.Remaining,MAX(0,_xlpm.MaxPts-_xlpm.PriorEnrolled),IF(OR(_xlpm.ActDate="",EOMONTH(Y$5,0)&lt;_xlpm.StartDate,_xlpm.Remaining&lt;=0),0,MIN(_xlpm.MonthlyEnroll,_xlpm.Remaining))),0))</f>
        <v/>
      </c>
      <c r="Z86" s="9" t="str">
        <f>IF($B86="","",IFERROR(_xlfn.LET(_xlpm.Site,$B86,_xlpm.ActDate,_xlfn.XLOOKUP(_xlpm.Site,tblSites[Country],tblSites[Site],""),_xlpm.ScreenDays,N('Study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86:INDEX($1:$1048576,ROW(),COLUMN()-1))),_xlpm.Remaining,MAX(0,_xlpm.MaxPts-_xlpm.PriorEnrolled),IF(OR(_xlpm.ActDate="",EOMONTH(Z$5,0)&lt;_xlpm.StartDate,_xlpm.Remaining&lt;=0),0,MIN(_xlpm.MonthlyEnroll,_xlpm.Remaining))),0))</f>
        <v/>
      </c>
      <c r="AA86" s="9" t="str">
        <f>IF($B86="","",IFERROR(_xlfn.LET(_xlpm.Site,$B86,_xlpm.ActDate,_xlfn.XLOOKUP(_xlpm.Site,tblSites[Site],tblSites[Site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86:INDEX($1:$1048576,ROW(),COLUMN()-1))),_xlpm.Remaining,MAX(0,_xlpm.MaxPts-_xlpm.PriorEnrolled),IF(OR(_xlpm.ActDate="",EOMONTH(AA$5,0)&lt;_xlpm.StartDate,_xlpm.Remaining&lt;=0),0,MIN(_xlpm.MonthlyEnroll,_xlpm.Remaining))),0))</f>
        <v/>
      </c>
      <c r="AB86" s="9" t="str">
        <f>IF($B86="","",IFERROR(_xlfn.LET(_xlpm.Site,$B86,_xlpm.ActDate,_xlfn.XLOOKUP(_xlpm.Site,tblSites[Site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86:INDEX($1:$1048576,ROW(),COLUMN()-1))),_xlpm.Remaining,MAX(0,_xlpm.MaxPts-_xlpm.PriorEnrolled),IF(OR(_xlpm.ActDate="",EOMONTH(AB$5,0)&lt;_xlpm.StartDate,_xlpm.Remaining&lt;=0),0,MIN(_xlpm.MonthlyEnroll,_xlpm.Remaining))),0))</f>
        <v/>
      </c>
      <c r="AC86" s="9" t="str">
        <f>IF($B86="","",IFERROR(_xlfn.LET(_xlpm.Site,$B86,_xlpm.ActDate,_xlfn.XLOOKUP(_xlpm.Site,tblSites[Monthly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86:INDEX($1:$1048576,ROW(),COLUMN()-1))),_xlpm.Remaining,MAX(0,_xlpm.MaxPts-_xlpm.PriorEnrolled),IF(OR(_xlpm.ActDate="",EOMONTH(AC$5,0)&lt;_xlpm.StartDate,_xlpm.Remaining&lt;=0),0,MIN(_xlpm.MonthlyEnroll,_xlpm.Remaining))),0))</f>
        <v/>
      </c>
    </row>
    <row r="87" spans="3:29" x14ac:dyDescent="0.25">
      <c r="C87" s="9" cm="1">
        <f t="array" aca="1" ref="C87" ca="1">IF(C$5&lt;=TODAY(),0,IF($B87="","",IFERROR(_xlfn.LET(_xlpm.Site,$B87,_xlpm.SiteCol,INDIRECT("tblSites[Site]"),_xlpm.ActCol,INDIRECT("tblSites[Site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7" s="9" t="str">
        <f>IF($B87="","",IFERROR(_xlfn.LET(_xlpm.Site,$B87,_xlpm.ActDate,_xlfn.XLOOKUP(_xlpm.Site,tblSites[Site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87:INDEX($1:$1048576,ROW(),COLUMN()-1))),_xlpm.Remaining,MAX(0,_xlpm.MaxPts-_xlpm.PriorEnrolled),IF(OR(_xlpm.ActDate="",EOMONTH(D$5,0)&lt;_xlpm.StartDate,_xlpm.Remaining&lt;=0),0,MIN(_xlpm.MonthlyEnroll,_xlpm.Remaining))),0))</f>
        <v/>
      </c>
      <c r="E87" s="9" t="str">
        <f>IF($B87="","",IFERROR(_xlfn.LET(_xlpm.Site,$B87,_xlpm.ActDate,_xlfn.XLOOKUP(_xlpm.Site,tblSites[Monthly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87:INDEX($1:$1048576,ROW(),COLUMN()-1))),_xlpm.Remaining,MAX(0,_xlpm.MaxPts-_xlpm.PriorEnrolled),IF(OR(_xlpm.ActDate="",EOMONTH(E$5,0)&lt;_xlpm.StartDate,_xlpm.Remaining&lt;=0),0,MIN(_xlpm.MonthlyEnroll,_xlpm.Remaining))),0))</f>
        <v/>
      </c>
      <c r="F87" s="9" t="str">
        <f>IF($B87="","",IFERROR(_xlfn.LET(_xlpm.Site,$B87,_xlpm.ActDate,_xlfn.XLOOKUP(_xlpm.Site,tblSites[Site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87:INDEX($1:$1048576,ROW(),COLUMN()-1))),_xlpm.Remaining,MAX(0,_xlpm.MaxPts-_xlpm.PriorEnrolled),IF(OR(_xlpm.ActDate="",EOMONTH(F$5,0)&lt;_xlpm.StartDate,_xlpm.Remaining&lt;=0),0,MIN(_xlpm.MonthlyEnroll,_xlpm.Remaining))),0))</f>
        <v/>
      </c>
      <c r="G87" s="9" t="str">
        <f>IF($B87="","",IFERROR(_xlfn.LET(_xlpm.Site,$B87,_xlpm.ActDate,_xlfn.XLOOKUP(_xlpm.Site,tblSites[Max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87:INDEX($1:$1048576,ROW(),COLUMN()-1))),_xlpm.Remaining,MAX(0,_xlpm.MaxPts-_xlpm.PriorEnrolled),IF(OR(_xlpm.ActDate="",EOMONTH(G$5,0)&lt;_xlpm.StartDate,_xlpm.Remaining&lt;=0),0,MIN(_xlpm.MonthlyEnroll,_xlpm.Remaining))),0))</f>
        <v/>
      </c>
      <c r="H87" s="9" t="str">
        <f>IF($B87="","",IFERROR(_xlfn.LET(_xlpm.Site,$B87,_xlpm.ActDate,_xlfn.XLOOKUP(_xlpm.Site,tblSites[Current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87:INDEX($1:$1048576,ROW(),COLUMN()-1))),_xlpm.Remaining,MAX(0,_xlpm.MaxPts-_xlpm.PriorEnrolled),IF(OR(_xlpm.ActDate="",EOMONTH(H$5,0)&lt;_xlpm.StartDate,_xlpm.Remaining&lt;=0),0,MIN(_xlpm.MonthlyEnroll,_xlpm.Remaining))),0))</f>
        <v/>
      </c>
      <c r="I87" s="9" t="str">
        <f>IF($B87="","",IFERROR(_xlfn.LET(_xlpm.Site,$B87,_xlpm.ActDate,_xlfn.XLOOKUP(_xlpm.Site,tblSites[Include?],tblSites[Scenario?],""),_xlpm.ScreenDays,N('Study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87:INDEX($1:$1048576,ROW(),COLUMN()-1))),_xlpm.Remaining,MAX(0,_xlpm.MaxPts-_xlpm.PriorEnrolled),IF(OR(_xlpm.ActDate="",EOMONTH(I$5,0)&lt;_xlpm.StartDate,_xlpm.Remaining&lt;=0),0,MIN(_xlpm.MonthlyEnroll,_xlpm.Remaining))),0))</f>
        <v/>
      </c>
      <c r="J87" s="9" t="str">
        <f>IF($B87="","",IFERROR(_xlfn.LET(_xlpm.Site,$B87,_xlpm.ActDate,_xlfn.XLOOKUP(_xlpm.Site,tblSites[Scenario?],tblSites[Check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87:INDEX($1:$1048576,ROW(),COLUMN()-1))),_xlpm.Remaining,MAX(0,_xlpm.MaxPts-_xlpm.PriorEnrolled),IF(OR(_xlpm.ActDate="",EOMONTH(J$5,0)&lt;_xlpm.StartDate,_xlpm.Remaining&lt;=0),0,MIN(_xlpm.MonthlyEnroll,_xlpm.Remaining))),0))</f>
        <v/>
      </c>
      <c r="K87" s="9" t="str">
        <f>IF($B87="","",IFERROR(_xlfn.LET(_xlpm.Site,$B87,_xlpm.ActDate,_xlfn.XLOOKUP(_xlpm.Site,tblSites[Check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87:INDEX($1:$1048576,ROW(),COLUMN()-1))),_xlpm.Remaining,MAX(0,_xlpm.MaxPts-_xlpm.PriorEnrolled),IF(OR(_xlpm.ActDate="",EOMONTH(K$5,0)&lt;_xlpm.StartDate,_xlpm.Remaining&lt;=0),0,MIN(_xlpm.MonthlyEnroll,_xlpm.Remaining))),0))</f>
        <v/>
      </c>
      <c r="L87" s="9" t="str">
        <f>IF($B87="","",IFERROR(_xlfn.LET(_xlpm.Site,$B87,_xlpm.ActDate,_xlfn.XLOOKUP(_xlpm.Site,tblSites[Site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87:INDEX($1:$1048576,ROW(),COLUMN()-1))),_xlpm.Remaining,MAX(0,_xlpm.MaxPts-_xlpm.PriorEnrolled),IF(OR(_xlpm.ActDate="",EOMONTH(L$5,0)&lt;_xlpm.StartDate,_xlpm.Remaining&lt;=0),0,MIN(_xlpm.MonthlyEnroll,_xlpm.Remaining))),0))</f>
        <v/>
      </c>
      <c r="M87" s="9" t="str">
        <f>IF($B87="","",IFERROR(_xlfn.LET(_xlpm.Site,$B87,_xlpm.ActDate,_xlfn.XLOOKUP(_xlpm.Site,#REF!,tblSites[Country],""),_xlpm.ScreenDays,N('Study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87:INDEX($1:$1048576,ROW(),COLUMN()-1))),_xlpm.Remaining,MAX(0,_xlpm.MaxPts-_xlpm.PriorEnrolled),IF(OR(_xlpm.ActDate="",EOMONTH(M$5,0)&lt;_xlpm.StartDate,_xlpm.Remaining&lt;=0),0,MIN(_xlpm.MonthlyEnroll,_xlpm.Remaining))),0))</f>
        <v/>
      </c>
      <c r="N87" s="9" t="str">
        <f>IF($B87="","",IFERROR(_xlfn.LET(_xlpm.Site,$B87,_xlpm.ActDate,_xlfn.XLOOKUP(_xlpm.Site,tblSites[Country],tblSites[Site],""),_xlpm.ScreenDays,N('Study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87:INDEX($1:$1048576,ROW(),COLUMN()-1))),_xlpm.Remaining,MAX(0,_xlpm.MaxPts-_xlpm.PriorEnrolled),IF(OR(_xlpm.ActDate="",EOMONTH(N$5,0)&lt;_xlpm.StartDate,_xlpm.Remaining&lt;=0),0,MIN(_xlpm.MonthlyEnroll,_xlpm.Remaining))),0))</f>
        <v/>
      </c>
      <c r="O87" s="9" t="str">
        <f>IF($B87="","",IFERROR(_xlfn.LET(_xlpm.Site,$B87,_xlpm.ActDate,_xlfn.XLOOKUP(_xlpm.Site,tblSites[Site],tblSites[Site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87:INDEX($1:$1048576,ROW(),COLUMN()-1))),_xlpm.Remaining,MAX(0,_xlpm.MaxPts-_xlpm.PriorEnrolled),IF(OR(_xlpm.ActDate="",EOMONTH(O$5,0)&lt;_xlpm.StartDate,_xlpm.Remaining&lt;=0),0,MIN(_xlpm.MonthlyEnroll,_xlpm.Remaining))),0))</f>
        <v/>
      </c>
      <c r="P87" s="9" t="str">
        <f>IF($B87="","",IFERROR(_xlfn.LET(_xlpm.Site,$B87,_xlpm.ActDate,_xlfn.XLOOKUP(_xlpm.Site,tblSites[Site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87:INDEX($1:$1048576,ROW(),COLUMN()-1))),_xlpm.Remaining,MAX(0,_xlpm.MaxPts-_xlpm.PriorEnrolled),IF(OR(_xlpm.ActDate="",EOMONTH(P$5,0)&lt;_xlpm.StartDate,_xlpm.Remaining&lt;=0),0,MIN(_xlpm.MonthlyEnroll,_xlpm.Remaining))),0))</f>
        <v/>
      </c>
      <c r="Q87" s="9" t="str">
        <f>IF($B87="","",IFERROR(_xlfn.LET(_xlpm.Site,$B87,_xlpm.ActDate,_xlfn.XLOOKUP(_xlpm.Site,tblSites[Monthly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87:INDEX($1:$1048576,ROW(),COLUMN()-1))),_xlpm.Remaining,MAX(0,_xlpm.MaxPts-_xlpm.PriorEnrolled),IF(OR(_xlpm.ActDate="",EOMONTH(Q$5,0)&lt;_xlpm.StartDate,_xlpm.Remaining&lt;=0),0,MIN(_xlpm.MonthlyEnroll,_xlpm.Remaining))),0))</f>
        <v/>
      </c>
      <c r="R87" s="9" t="str">
        <f>IF($B87="","",IFERROR(_xlfn.LET(_xlpm.Site,$B87,_xlpm.ActDate,_xlfn.XLOOKUP(_xlpm.Site,tblSites[Site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87:INDEX($1:$1048576,ROW(),COLUMN()-1))),_xlpm.Remaining,MAX(0,_xlpm.MaxPts-_xlpm.PriorEnrolled),IF(OR(_xlpm.ActDate="",EOMONTH(R$5,0)&lt;_xlpm.StartDate,_xlpm.Remaining&lt;=0),0,MIN(_xlpm.MonthlyEnroll,_xlpm.Remaining))),0))</f>
        <v/>
      </c>
      <c r="S87" s="9" t="str">
        <f>IF($B87="","",IFERROR(_xlfn.LET(_xlpm.Site,$B87,_xlpm.ActDate,_xlfn.XLOOKUP(_xlpm.Site,tblSites[Max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87:INDEX($1:$1048576,ROW(),COLUMN()-1))),_xlpm.Remaining,MAX(0,_xlpm.MaxPts-_xlpm.PriorEnrolled),IF(OR(_xlpm.ActDate="",EOMONTH(S$5,0)&lt;_xlpm.StartDate,_xlpm.Remaining&lt;=0),0,MIN(_xlpm.MonthlyEnroll,_xlpm.Remaining))),0))</f>
        <v/>
      </c>
      <c r="T87" s="9" t="str">
        <f>IF($B87="","",IFERROR(_xlfn.LET(_xlpm.Site,$B87,_xlpm.ActDate,_xlfn.XLOOKUP(_xlpm.Site,tblSites[Current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87:INDEX($1:$1048576,ROW(),COLUMN()-1))),_xlpm.Remaining,MAX(0,_xlpm.MaxPts-_xlpm.PriorEnrolled),IF(OR(_xlpm.ActDate="",EOMONTH(T$5,0)&lt;_xlpm.StartDate,_xlpm.Remaining&lt;=0),0,MIN(_xlpm.MonthlyEnroll,_xlpm.Remaining))),0))</f>
        <v/>
      </c>
      <c r="U87" s="9" t="str">
        <f>IF($B87="","",IFERROR(_xlfn.LET(_xlpm.Site,$B87,_xlpm.ActDate,_xlfn.XLOOKUP(_xlpm.Site,tblSites[Include?],tblSites[Scenario?],""),_xlpm.ScreenDays,N('Study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87:INDEX($1:$1048576,ROW(),COLUMN()-1))),_xlpm.Remaining,MAX(0,_xlpm.MaxPts-_xlpm.PriorEnrolled),IF(OR(_xlpm.ActDate="",EOMONTH(U$5,0)&lt;_xlpm.StartDate,_xlpm.Remaining&lt;=0),0,MIN(_xlpm.MonthlyEnroll,_xlpm.Remaining))),0))</f>
        <v/>
      </c>
      <c r="V87" s="9" t="str">
        <f>IF($B87="","",IFERROR(_xlfn.LET(_xlpm.Site,$B87,_xlpm.ActDate,_xlfn.XLOOKUP(_xlpm.Site,tblSites[Scenario?],tblSites[Check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87:INDEX($1:$1048576,ROW(),COLUMN()-1))),_xlpm.Remaining,MAX(0,_xlpm.MaxPts-_xlpm.PriorEnrolled),IF(OR(_xlpm.ActDate="",EOMONTH(V$5,0)&lt;_xlpm.StartDate,_xlpm.Remaining&lt;=0),0,MIN(_xlpm.MonthlyEnroll,_xlpm.Remaining))),0))</f>
        <v/>
      </c>
      <c r="W87" s="9" t="str">
        <f>IF($B87="","",IFERROR(_xlfn.LET(_xlpm.Site,$B87,_xlpm.ActDate,_xlfn.XLOOKUP(_xlpm.Site,tblSites[Check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87:INDEX($1:$1048576,ROW(),COLUMN()-1))),_xlpm.Remaining,MAX(0,_xlpm.MaxPts-_xlpm.PriorEnrolled),IF(OR(_xlpm.ActDate="",EOMONTH(W$5,0)&lt;_xlpm.StartDate,_xlpm.Remaining&lt;=0),0,MIN(_xlpm.MonthlyEnroll,_xlpm.Remaining))),0))</f>
        <v/>
      </c>
      <c r="X87" s="9" t="str">
        <f>IF($B87="","",IFERROR(_xlfn.LET(_xlpm.Site,$B87,_xlpm.ActDate,_xlfn.XLOOKUP(_xlpm.Site,tblSites[Site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87:INDEX($1:$1048576,ROW(),COLUMN()-1))),_xlpm.Remaining,MAX(0,_xlpm.MaxPts-_xlpm.PriorEnrolled),IF(OR(_xlpm.ActDate="",EOMONTH(X$5,0)&lt;_xlpm.StartDate,_xlpm.Remaining&lt;=0),0,MIN(_xlpm.MonthlyEnroll,_xlpm.Remaining))),0))</f>
        <v/>
      </c>
      <c r="Y87" s="9" t="str">
        <f>IF($B87="","",IFERROR(_xlfn.LET(_xlpm.Site,$B87,_xlpm.ActDate,_xlfn.XLOOKUP(_xlpm.Site,#REF!,tblSites[Country],""),_xlpm.ScreenDays,N('Study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87:INDEX($1:$1048576,ROW(),COLUMN()-1))),_xlpm.Remaining,MAX(0,_xlpm.MaxPts-_xlpm.PriorEnrolled),IF(OR(_xlpm.ActDate="",EOMONTH(Y$5,0)&lt;_xlpm.StartDate,_xlpm.Remaining&lt;=0),0,MIN(_xlpm.MonthlyEnroll,_xlpm.Remaining))),0))</f>
        <v/>
      </c>
      <c r="Z87" s="9" t="str">
        <f>IF($B87="","",IFERROR(_xlfn.LET(_xlpm.Site,$B87,_xlpm.ActDate,_xlfn.XLOOKUP(_xlpm.Site,tblSites[Country],tblSites[Site],""),_xlpm.ScreenDays,N('Study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87:INDEX($1:$1048576,ROW(),COLUMN()-1))),_xlpm.Remaining,MAX(0,_xlpm.MaxPts-_xlpm.PriorEnrolled),IF(OR(_xlpm.ActDate="",EOMONTH(Z$5,0)&lt;_xlpm.StartDate,_xlpm.Remaining&lt;=0),0,MIN(_xlpm.MonthlyEnroll,_xlpm.Remaining))),0))</f>
        <v/>
      </c>
      <c r="AA87" s="9" t="str">
        <f>IF($B87="","",IFERROR(_xlfn.LET(_xlpm.Site,$B87,_xlpm.ActDate,_xlfn.XLOOKUP(_xlpm.Site,tblSites[Site],tblSites[Site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87:INDEX($1:$1048576,ROW(),COLUMN()-1))),_xlpm.Remaining,MAX(0,_xlpm.MaxPts-_xlpm.PriorEnrolled),IF(OR(_xlpm.ActDate="",EOMONTH(AA$5,0)&lt;_xlpm.StartDate,_xlpm.Remaining&lt;=0),0,MIN(_xlpm.MonthlyEnroll,_xlpm.Remaining))),0))</f>
        <v/>
      </c>
      <c r="AB87" s="9" t="str">
        <f>IF($B87="","",IFERROR(_xlfn.LET(_xlpm.Site,$B87,_xlpm.ActDate,_xlfn.XLOOKUP(_xlpm.Site,tblSites[Site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87:INDEX($1:$1048576,ROW(),COLUMN()-1))),_xlpm.Remaining,MAX(0,_xlpm.MaxPts-_xlpm.PriorEnrolled),IF(OR(_xlpm.ActDate="",EOMONTH(AB$5,0)&lt;_xlpm.StartDate,_xlpm.Remaining&lt;=0),0,MIN(_xlpm.MonthlyEnroll,_xlpm.Remaining))),0))</f>
        <v/>
      </c>
      <c r="AC87" s="9" t="str">
        <f>IF($B87="","",IFERROR(_xlfn.LET(_xlpm.Site,$B87,_xlpm.ActDate,_xlfn.XLOOKUP(_xlpm.Site,tblSites[Monthly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87:INDEX($1:$1048576,ROW(),COLUMN()-1))),_xlpm.Remaining,MAX(0,_xlpm.MaxPts-_xlpm.PriorEnrolled),IF(OR(_xlpm.ActDate="",EOMONTH(AC$5,0)&lt;_xlpm.StartDate,_xlpm.Remaining&lt;=0),0,MIN(_xlpm.MonthlyEnroll,_xlpm.Remaining))),0))</f>
        <v/>
      </c>
    </row>
    <row r="88" spans="3:29" x14ac:dyDescent="0.25">
      <c r="C88" s="9" cm="1">
        <f t="array" aca="1" ref="C88" ca="1">IF(C$5&lt;=TODAY(),0,IF($B88="","",IFERROR(_xlfn.LET(_xlpm.Site,$B88,_xlpm.SiteCol,INDIRECT("tblSites[Site]"),_xlpm.ActCol,INDIRECT("tblSites[Site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8" s="9" t="str">
        <f>IF($B88="","",IFERROR(_xlfn.LET(_xlpm.Site,$B88,_xlpm.ActDate,_xlfn.XLOOKUP(_xlpm.Site,tblSites[Site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88:INDEX($1:$1048576,ROW(),COLUMN()-1))),_xlpm.Remaining,MAX(0,_xlpm.MaxPts-_xlpm.PriorEnrolled),IF(OR(_xlpm.ActDate="",EOMONTH(D$5,0)&lt;_xlpm.StartDate,_xlpm.Remaining&lt;=0),0,MIN(_xlpm.MonthlyEnroll,_xlpm.Remaining))),0))</f>
        <v/>
      </c>
      <c r="E88" s="9" t="str">
        <f>IF($B88="","",IFERROR(_xlfn.LET(_xlpm.Site,$B88,_xlpm.ActDate,_xlfn.XLOOKUP(_xlpm.Site,tblSites[Monthly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88:INDEX($1:$1048576,ROW(),COLUMN()-1))),_xlpm.Remaining,MAX(0,_xlpm.MaxPts-_xlpm.PriorEnrolled),IF(OR(_xlpm.ActDate="",EOMONTH(E$5,0)&lt;_xlpm.StartDate,_xlpm.Remaining&lt;=0),0,MIN(_xlpm.MonthlyEnroll,_xlpm.Remaining))),0))</f>
        <v/>
      </c>
      <c r="F88" s="9" t="str">
        <f>IF($B88="","",IFERROR(_xlfn.LET(_xlpm.Site,$B88,_xlpm.ActDate,_xlfn.XLOOKUP(_xlpm.Site,tblSites[Site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88:INDEX($1:$1048576,ROW(),COLUMN()-1))),_xlpm.Remaining,MAX(0,_xlpm.MaxPts-_xlpm.PriorEnrolled),IF(OR(_xlpm.ActDate="",EOMONTH(F$5,0)&lt;_xlpm.StartDate,_xlpm.Remaining&lt;=0),0,MIN(_xlpm.MonthlyEnroll,_xlpm.Remaining))),0))</f>
        <v/>
      </c>
      <c r="G88" s="9" t="str">
        <f>IF($B88="","",IFERROR(_xlfn.LET(_xlpm.Site,$B88,_xlpm.ActDate,_xlfn.XLOOKUP(_xlpm.Site,tblSites[Max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88:INDEX($1:$1048576,ROW(),COLUMN()-1))),_xlpm.Remaining,MAX(0,_xlpm.MaxPts-_xlpm.PriorEnrolled),IF(OR(_xlpm.ActDate="",EOMONTH(G$5,0)&lt;_xlpm.StartDate,_xlpm.Remaining&lt;=0),0,MIN(_xlpm.MonthlyEnroll,_xlpm.Remaining))),0))</f>
        <v/>
      </c>
      <c r="H88" s="9" t="str">
        <f>IF($B88="","",IFERROR(_xlfn.LET(_xlpm.Site,$B88,_xlpm.ActDate,_xlfn.XLOOKUP(_xlpm.Site,tblSites[Current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88:INDEX($1:$1048576,ROW(),COLUMN()-1))),_xlpm.Remaining,MAX(0,_xlpm.MaxPts-_xlpm.PriorEnrolled),IF(OR(_xlpm.ActDate="",EOMONTH(H$5,0)&lt;_xlpm.StartDate,_xlpm.Remaining&lt;=0),0,MIN(_xlpm.MonthlyEnroll,_xlpm.Remaining))),0))</f>
        <v/>
      </c>
      <c r="I88" s="9" t="str">
        <f>IF($B88="","",IFERROR(_xlfn.LET(_xlpm.Site,$B88,_xlpm.ActDate,_xlfn.XLOOKUP(_xlpm.Site,tblSites[Include?],tblSites[Scenario?],""),_xlpm.ScreenDays,N('Study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88:INDEX($1:$1048576,ROW(),COLUMN()-1))),_xlpm.Remaining,MAX(0,_xlpm.MaxPts-_xlpm.PriorEnrolled),IF(OR(_xlpm.ActDate="",EOMONTH(I$5,0)&lt;_xlpm.StartDate,_xlpm.Remaining&lt;=0),0,MIN(_xlpm.MonthlyEnroll,_xlpm.Remaining))),0))</f>
        <v/>
      </c>
      <c r="J88" s="9" t="str">
        <f>IF($B88="","",IFERROR(_xlfn.LET(_xlpm.Site,$B88,_xlpm.ActDate,_xlfn.XLOOKUP(_xlpm.Site,tblSites[Scenario?],tblSites[Check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88:INDEX($1:$1048576,ROW(),COLUMN()-1))),_xlpm.Remaining,MAX(0,_xlpm.MaxPts-_xlpm.PriorEnrolled),IF(OR(_xlpm.ActDate="",EOMONTH(J$5,0)&lt;_xlpm.StartDate,_xlpm.Remaining&lt;=0),0,MIN(_xlpm.MonthlyEnroll,_xlpm.Remaining))),0))</f>
        <v/>
      </c>
      <c r="K88" s="9" t="str">
        <f>IF($B88="","",IFERROR(_xlfn.LET(_xlpm.Site,$B88,_xlpm.ActDate,_xlfn.XLOOKUP(_xlpm.Site,tblSites[Check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88:INDEX($1:$1048576,ROW(),COLUMN()-1))),_xlpm.Remaining,MAX(0,_xlpm.MaxPts-_xlpm.PriorEnrolled),IF(OR(_xlpm.ActDate="",EOMONTH(K$5,0)&lt;_xlpm.StartDate,_xlpm.Remaining&lt;=0),0,MIN(_xlpm.MonthlyEnroll,_xlpm.Remaining))),0))</f>
        <v/>
      </c>
      <c r="L88" s="9" t="str">
        <f>IF($B88="","",IFERROR(_xlfn.LET(_xlpm.Site,$B88,_xlpm.ActDate,_xlfn.XLOOKUP(_xlpm.Site,tblSites[Site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88:INDEX($1:$1048576,ROW(),COLUMN()-1))),_xlpm.Remaining,MAX(0,_xlpm.MaxPts-_xlpm.PriorEnrolled),IF(OR(_xlpm.ActDate="",EOMONTH(L$5,0)&lt;_xlpm.StartDate,_xlpm.Remaining&lt;=0),0,MIN(_xlpm.MonthlyEnroll,_xlpm.Remaining))),0))</f>
        <v/>
      </c>
      <c r="M88" s="9" t="str">
        <f>IF($B88="","",IFERROR(_xlfn.LET(_xlpm.Site,$B88,_xlpm.ActDate,_xlfn.XLOOKUP(_xlpm.Site,#REF!,tblSites[Country],""),_xlpm.ScreenDays,N('Study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88:INDEX($1:$1048576,ROW(),COLUMN()-1))),_xlpm.Remaining,MAX(0,_xlpm.MaxPts-_xlpm.PriorEnrolled),IF(OR(_xlpm.ActDate="",EOMONTH(M$5,0)&lt;_xlpm.StartDate,_xlpm.Remaining&lt;=0),0,MIN(_xlpm.MonthlyEnroll,_xlpm.Remaining))),0))</f>
        <v/>
      </c>
      <c r="N88" s="9" t="str">
        <f>IF($B88="","",IFERROR(_xlfn.LET(_xlpm.Site,$B88,_xlpm.ActDate,_xlfn.XLOOKUP(_xlpm.Site,tblSites[Country],tblSites[Site],""),_xlpm.ScreenDays,N('Study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88:INDEX($1:$1048576,ROW(),COLUMN()-1))),_xlpm.Remaining,MAX(0,_xlpm.MaxPts-_xlpm.PriorEnrolled),IF(OR(_xlpm.ActDate="",EOMONTH(N$5,0)&lt;_xlpm.StartDate,_xlpm.Remaining&lt;=0),0,MIN(_xlpm.MonthlyEnroll,_xlpm.Remaining))),0))</f>
        <v/>
      </c>
      <c r="O88" s="9" t="str">
        <f>IF($B88="","",IFERROR(_xlfn.LET(_xlpm.Site,$B88,_xlpm.ActDate,_xlfn.XLOOKUP(_xlpm.Site,tblSites[Site],tblSites[Site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88:INDEX($1:$1048576,ROW(),COLUMN()-1))),_xlpm.Remaining,MAX(0,_xlpm.MaxPts-_xlpm.PriorEnrolled),IF(OR(_xlpm.ActDate="",EOMONTH(O$5,0)&lt;_xlpm.StartDate,_xlpm.Remaining&lt;=0),0,MIN(_xlpm.MonthlyEnroll,_xlpm.Remaining))),0))</f>
        <v/>
      </c>
      <c r="P88" s="9" t="str">
        <f>IF($B88="","",IFERROR(_xlfn.LET(_xlpm.Site,$B88,_xlpm.ActDate,_xlfn.XLOOKUP(_xlpm.Site,tblSites[Site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88:INDEX($1:$1048576,ROW(),COLUMN()-1))),_xlpm.Remaining,MAX(0,_xlpm.MaxPts-_xlpm.PriorEnrolled),IF(OR(_xlpm.ActDate="",EOMONTH(P$5,0)&lt;_xlpm.StartDate,_xlpm.Remaining&lt;=0),0,MIN(_xlpm.MonthlyEnroll,_xlpm.Remaining))),0))</f>
        <v/>
      </c>
      <c r="Q88" s="9" t="str">
        <f>IF($B88="","",IFERROR(_xlfn.LET(_xlpm.Site,$B88,_xlpm.ActDate,_xlfn.XLOOKUP(_xlpm.Site,tblSites[Monthly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88:INDEX($1:$1048576,ROW(),COLUMN()-1))),_xlpm.Remaining,MAX(0,_xlpm.MaxPts-_xlpm.PriorEnrolled),IF(OR(_xlpm.ActDate="",EOMONTH(Q$5,0)&lt;_xlpm.StartDate,_xlpm.Remaining&lt;=0),0,MIN(_xlpm.MonthlyEnroll,_xlpm.Remaining))),0))</f>
        <v/>
      </c>
      <c r="R88" s="9" t="str">
        <f>IF($B88="","",IFERROR(_xlfn.LET(_xlpm.Site,$B88,_xlpm.ActDate,_xlfn.XLOOKUP(_xlpm.Site,tblSites[Site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88:INDEX($1:$1048576,ROW(),COLUMN()-1))),_xlpm.Remaining,MAX(0,_xlpm.MaxPts-_xlpm.PriorEnrolled),IF(OR(_xlpm.ActDate="",EOMONTH(R$5,0)&lt;_xlpm.StartDate,_xlpm.Remaining&lt;=0),0,MIN(_xlpm.MonthlyEnroll,_xlpm.Remaining))),0))</f>
        <v/>
      </c>
      <c r="S88" s="9" t="str">
        <f>IF($B88="","",IFERROR(_xlfn.LET(_xlpm.Site,$B88,_xlpm.ActDate,_xlfn.XLOOKUP(_xlpm.Site,tblSites[Max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88:INDEX($1:$1048576,ROW(),COLUMN()-1))),_xlpm.Remaining,MAX(0,_xlpm.MaxPts-_xlpm.PriorEnrolled),IF(OR(_xlpm.ActDate="",EOMONTH(S$5,0)&lt;_xlpm.StartDate,_xlpm.Remaining&lt;=0),0,MIN(_xlpm.MonthlyEnroll,_xlpm.Remaining))),0))</f>
        <v/>
      </c>
      <c r="T88" s="9" t="str">
        <f>IF($B88="","",IFERROR(_xlfn.LET(_xlpm.Site,$B88,_xlpm.ActDate,_xlfn.XLOOKUP(_xlpm.Site,tblSites[Current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88:INDEX($1:$1048576,ROW(),COLUMN()-1))),_xlpm.Remaining,MAX(0,_xlpm.MaxPts-_xlpm.PriorEnrolled),IF(OR(_xlpm.ActDate="",EOMONTH(T$5,0)&lt;_xlpm.StartDate,_xlpm.Remaining&lt;=0),0,MIN(_xlpm.MonthlyEnroll,_xlpm.Remaining))),0))</f>
        <v/>
      </c>
      <c r="U88" s="9" t="str">
        <f>IF($B88="","",IFERROR(_xlfn.LET(_xlpm.Site,$B88,_xlpm.ActDate,_xlfn.XLOOKUP(_xlpm.Site,tblSites[Include?],tblSites[Scenario?],""),_xlpm.ScreenDays,N('Study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88:INDEX($1:$1048576,ROW(),COLUMN()-1))),_xlpm.Remaining,MAX(0,_xlpm.MaxPts-_xlpm.PriorEnrolled),IF(OR(_xlpm.ActDate="",EOMONTH(U$5,0)&lt;_xlpm.StartDate,_xlpm.Remaining&lt;=0),0,MIN(_xlpm.MonthlyEnroll,_xlpm.Remaining))),0))</f>
        <v/>
      </c>
      <c r="V88" s="9" t="str">
        <f>IF($B88="","",IFERROR(_xlfn.LET(_xlpm.Site,$B88,_xlpm.ActDate,_xlfn.XLOOKUP(_xlpm.Site,tblSites[Scenario?],tblSites[Check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88:INDEX($1:$1048576,ROW(),COLUMN()-1))),_xlpm.Remaining,MAX(0,_xlpm.MaxPts-_xlpm.PriorEnrolled),IF(OR(_xlpm.ActDate="",EOMONTH(V$5,0)&lt;_xlpm.StartDate,_xlpm.Remaining&lt;=0),0,MIN(_xlpm.MonthlyEnroll,_xlpm.Remaining))),0))</f>
        <v/>
      </c>
      <c r="W88" s="9" t="str">
        <f>IF($B88="","",IFERROR(_xlfn.LET(_xlpm.Site,$B88,_xlpm.ActDate,_xlfn.XLOOKUP(_xlpm.Site,tblSites[Check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88:INDEX($1:$1048576,ROW(),COLUMN()-1))),_xlpm.Remaining,MAX(0,_xlpm.MaxPts-_xlpm.PriorEnrolled),IF(OR(_xlpm.ActDate="",EOMONTH(W$5,0)&lt;_xlpm.StartDate,_xlpm.Remaining&lt;=0),0,MIN(_xlpm.MonthlyEnroll,_xlpm.Remaining))),0))</f>
        <v/>
      </c>
      <c r="X88" s="9" t="str">
        <f>IF($B88="","",IFERROR(_xlfn.LET(_xlpm.Site,$B88,_xlpm.ActDate,_xlfn.XLOOKUP(_xlpm.Site,tblSites[Site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88:INDEX($1:$1048576,ROW(),COLUMN()-1))),_xlpm.Remaining,MAX(0,_xlpm.MaxPts-_xlpm.PriorEnrolled),IF(OR(_xlpm.ActDate="",EOMONTH(X$5,0)&lt;_xlpm.StartDate,_xlpm.Remaining&lt;=0),0,MIN(_xlpm.MonthlyEnroll,_xlpm.Remaining))),0))</f>
        <v/>
      </c>
      <c r="Y88" s="9" t="str">
        <f>IF($B88="","",IFERROR(_xlfn.LET(_xlpm.Site,$B88,_xlpm.ActDate,_xlfn.XLOOKUP(_xlpm.Site,#REF!,tblSites[Country],""),_xlpm.ScreenDays,N('Study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88:INDEX($1:$1048576,ROW(),COLUMN()-1))),_xlpm.Remaining,MAX(0,_xlpm.MaxPts-_xlpm.PriorEnrolled),IF(OR(_xlpm.ActDate="",EOMONTH(Y$5,0)&lt;_xlpm.StartDate,_xlpm.Remaining&lt;=0),0,MIN(_xlpm.MonthlyEnroll,_xlpm.Remaining))),0))</f>
        <v/>
      </c>
      <c r="Z88" s="9" t="str">
        <f>IF($B88="","",IFERROR(_xlfn.LET(_xlpm.Site,$B88,_xlpm.ActDate,_xlfn.XLOOKUP(_xlpm.Site,tblSites[Country],tblSites[Site],""),_xlpm.ScreenDays,N('Study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88:INDEX($1:$1048576,ROW(),COLUMN()-1))),_xlpm.Remaining,MAX(0,_xlpm.MaxPts-_xlpm.PriorEnrolled),IF(OR(_xlpm.ActDate="",EOMONTH(Z$5,0)&lt;_xlpm.StartDate,_xlpm.Remaining&lt;=0),0,MIN(_xlpm.MonthlyEnroll,_xlpm.Remaining))),0))</f>
        <v/>
      </c>
      <c r="AA88" s="9" t="str">
        <f>IF($B88="","",IFERROR(_xlfn.LET(_xlpm.Site,$B88,_xlpm.ActDate,_xlfn.XLOOKUP(_xlpm.Site,tblSites[Site],tblSites[Site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88:INDEX($1:$1048576,ROW(),COLUMN()-1))),_xlpm.Remaining,MAX(0,_xlpm.MaxPts-_xlpm.PriorEnrolled),IF(OR(_xlpm.ActDate="",EOMONTH(AA$5,0)&lt;_xlpm.StartDate,_xlpm.Remaining&lt;=0),0,MIN(_xlpm.MonthlyEnroll,_xlpm.Remaining))),0))</f>
        <v/>
      </c>
      <c r="AB88" s="9" t="str">
        <f>IF($B88="","",IFERROR(_xlfn.LET(_xlpm.Site,$B88,_xlpm.ActDate,_xlfn.XLOOKUP(_xlpm.Site,tblSites[Site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88:INDEX($1:$1048576,ROW(),COLUMN()-1))),_xlpm.Remaining,MAX(0,_xlpm.MaxPts-_xlpm.PriorEnrolled),IF(OR(_xlpm.ActDate="",EOMONTH(AB$5,0)&lt;_xlpm.StartDate,_xlpm.Remaining&lt;=0),0,MIN(_xlpm.MonthlyEnroll,_xlpm.Remaining))),0))</f>
        <v/>
      </c>
      <c r="AC88" s="9" t="str">
        <f>IF($B88="","",IFERROR(_xlfn.LET(_xlpm.Site,$B88,_xlpm.ActDate,_xlfn.XLOOKUP(_xlpm.Site,tblSites[Monthly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88:INDEX($1:$1048576,ROW(),COLUMN()-1))),_xlpm.Remaining,MAX(0,_xlpm.MaxPts-_xlpm.PriorEnrolled),IF(OR(_xlpm.ActDate="",EOMONTH(AC$5,0)&lt;_xlpm.StartDate,_xlpm.Remaining&lt;=0),0,MIN(_xlpm.MonthlyEnroll,_xlpm.Remaining))),0))</f>
        <v/>
      </c>
    </row>
    <row r="89" spans="3:29" x14ac:dyDescent="0.25">
      <c r="C89" s="9" cm="1">
        <f t="array" aca="1" ref="C89" ca="1">IF(C$5&lt;=TODAY(),0,IF($B89="","",IFERROR(_xlfn.LET(_xlpm.Site,$B89,_xlpm.SiteCol,INDIRECT("tblSites[Site]"),_xlpm.ActCol,INDIRECT("tblSites[Site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89" s="9" t="str">
        <f>IF($B89="","",IFERROR(_xlfn.LET(_xlpm.Site,$B89,_xlpm.ActDate,_xlfn.XLOOKUP(_xlpm.Site,tblSites[Site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89:INDEX($1:$1048576,ROW(),COLUMN()-1))),_xlpm.Remaining,MAX(0,_xlpm.MaxPts-_xlpm.PriorEnrolled),IF(OR(_xlpm.ActDate="",EOMONTH(D$5,0)&lt;_xlpm.StartDate,_xlpm.Remaining&lt;=0),0,MIN(_xlpm.MonthlyEnroll,_xlpm.Remaining))),0))</f>
        <v/>
      </c>
      <c r="E89" s="9" t="str">
        <f>IF($B89="","",IFERROR(_xlfn.LET(_xlpm.Site,$B89,_xlpm.ActDate,_xlfn.XLOOKUP(_xlpm.Site,tblSites[Monthly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89:INDEX($1:$1048576,ROW(),COLUMN()-1))),_xlpm.Remaining,MAX(0,_xlpm.MaxPts-_xlpm.PriorEnrolled),IF(OR(_xlpm.ActDate="",EOMONTH(E$5,0)&lt;_xlpm.StartDate,_xlpm.Remaining&lt;=0),0,MIN(_xlpm.MonthlyEnroll,_xlpm.Remaining))),0))</f>
        <v/>
      </c>
      <c r="F89" s="9" t="str">
        <f>IF($B89="","",IFERROR(_xlfn.LET(_xlpm.Site,$B89,_xlpm.ActDate,_xlfn.XLOOKUP(_xlpm.Site,tblSites[Site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89:INDEX($1:$1048576,ROW(),COLUMN()-1))),_xlpm.Remaining,MAX(0,_xlpm.MaxPts-_xlpm.PriorEnrolled),IF(OR(_xlpm.ActDate="",EOMONTH(F$5,0)&lt;_xlpm.StartDate,_xlpm.Remaining&lt;=0),0,MIN(_xlpm.MonthlyEnroll,_xlpm.Remaining))),0))</f>
        <v/>
      </c>
      <c r="G89" s="9" t="str">
        <f>IF($B89="","",IFERROR(_xlfn.LET(_xlpm.Site,$B89,_xlpm.ActDate,_xlfn.XLOOKUP(_xlpm.Site,tblSites[Max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89:INDEX($1:$1048576,ROW(),COLUMN()-1))),_xlpm.Remaining,MAX(0,_xlpm.MaxPts-_xlpm.PriorEnrolled),IF(OR(_xlpm.ActDate="",EOMONTH(G$5,0)&lt;_xlpm.StartDate,_xlpm.Remaining&lt;=0),0,MIN(_xlpm.MonthlyEnroll,_xlpm.Remaining))),0))</f>
        <v/>
      </c>
      <c r="H89" s="9" t="str">
        <f>IF($B89="","",IFERROR(_xlfn.LET(_xlpm.Site,$B89,_xlpm.ActDate,_xlfn.XLOOKUP(_xlpm.Site,tblSites[Current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89:INDEX($1:$1048576,ROW(),COLUMN()-1))),_xlpm.Remaining,MAX(0,_xlpm.MaxPts-_xlpm.PriorEnrolled),IF(OR(_xlpm.ActDate="",EOMONTH(H$5,0)&lt;_xlpm.StartDate,_xlpm.Remaining&lt;=0),0,MIN(_xlpm.MonthlyEnroll,_xlpm.Remaining))),0))</f>
        <v/>
      </c>
      <c r="I89" s="9" t="str">
        <f>IF($B89="","",IFERROR(_xlfn.LET(_xlpm.Site,$B89,_xlpm.ActDate,_xlfn.XLOOKUP(_xlpm.Site,tblSites[Include?],tblSites[Scenario?],""),_xlpm.ScreenDays,N('Study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89:INDEX($1:$1048576,ROW(),COLUMN()-1))),_xlpm.Remaining,MAX(0,_xlpm.MaxPts-_xlpm.PriorEnrolled),IF(OR(_xlpm.ActDate="",EOMONTH(I$5,0)&lt;_xlpm.StartDate,_xlpm.Remaining&lt;=0),0,MIN(_xlpm.MonthlyEnroll,_xlpm.Remaining))),0))</f>
        <v/>
      </c>
      <c r="J89" s="9" t="str">
        <f>IF($B89="","",IFERROR(_xlfn.LET(_xlpm.Site,$B89,_xlpm.ActDate,_xlfn.XLOOKUP(_xlpm.Site,tblSites[Scenario?],tblSites[Check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89:INDEX($1:$1048576,ROW(),COLUMN()-1))),_xlpm.Remaining,MAX(0,_xlpm.MaxPts-_xlpm.PriorEnrolled),IF(OR(_xlpm.ActDate="",EOMONTH(J$5,0)&lt;_xlpm.StartDate,_xlpm.Remaining&lt;=0),0,MIN(_xlpm.MonthlyEnroll,_xlpm.Remaining))),0))</f>
        <v/>
      </c>
      <c r="K89" s="9" t="str">
        <f>IF($B89="","",IFERROR(_xlfn.LET(_xlpm.Site,$B89,_xlpm.ActDate,_xlfn.XLOOKUP(_xlpm.Site,tblSites[Check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89:INDEX($1:$1048576,ROW(),COLUMN()-1))),_xlpm.Remaining,MAX(0,_xlpm.MaxPts-_xlpm.PriorEnrolled),IF(OR(_xlpm.ActDate="",EOMONTH(K$5,0)&lt;_xlpm.StartDate,_xlpm.Remaining&lt;=0),0,MIN(_xlpm.MonthlyEnroll,_xlpm.Remaining))),0))</f>
        <v/>
      </c>
      <c r="L89" s="9" t="str">
        <f>IF($B89="","",IFERROR(_xlfn.LET(_xlpm.Site,$B89,_xlpm.ActDate,_xlfn.XLOOKUP(_xlpm.Site,tblSites[Site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89:INDEX($1:$1048576,ROW(),COLUMN()-1))),_xlpm.Remaining,MAX(0,_xlpm.MaxPts-_xlpm.PriorEnrolled),IF(OR(_xlpm.ActDate="",EOMONTH(L$5,0)&lt;_xlpm.StartDate,_xlpm.Remaining&lt;=0),0,MIN(_xlpm.MonthlyEnroll,_xlpm.Remaining))),0))</f>
        <v/>
      </c>
      <c r="M89" s="9" t="str">
        <f>IF($B89="","",IFERROR(_xlfn.LET(_xlpm.Site,$B89,_xlpm.ActDate,_xlfn.XLOOKUP(_xlpm.Site,#REF!,tblSites[Country],""),_xlpm.ScreenDays,N('Study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89:INDEX($1:$1048576,ROW(),COLUMN()-1))),_xlpm.Remaining,MAX(0,_xlpm.MaxPts-_xlpm.PriorEnrolled),IF(OR(_xlpm.ActDate="",EOMONTH(M$5,0)&lt;_xlpm.StartDate,_xlpm.Remaining&lt;=0),0,MIN(_xlpm.MonthlyEnroll,_xlpm.Remaining))),0))</f>
        <v/>
      </c>
      <c r="N89" s="9" t="str">
        <f>IF($B89="","",IFERROR(_xlfn.LET(_xlpm.Site,$B89,_xlpm.ActDate,_xlfn.XLOOKUP(_xlpm.Site,tblSites[Country],tblSites[Site],""),_xlpm.ScreenDays,N('Study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89:INDEX($1:$1048576,ROW(),COLUMN()-1))),_xlpm.Remaining,MAX(0,_xlpm.MaxPts-_xlpm.PriorEnrolled),IF(OR(_xlpm.ActDate="",EOMONTH(N$5,0)&lt;_xlpm.StartDate,_xlpm.Remaining&lt;=0),0,MIN(_xlpm.MonthlyEnroll,_xlpm.Remaining))),0))</f>
        <v/>
      </c>
      <c r="O89" s="9" t="str">
        <f>IF($B89="","",IFERROR(_xlfn.LET(_xlpm.Site,$B89,_xlpm.ActDate,_xlfn.XLOOKUP(_xlpm.Site,tblSites[Site],tblSites[Site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89:INDEX($1:$1048576,ROW(),COLUMN()-1))),_xlpm.Remaining,MAX(0,_xlpm.MaxPts-_xlpm.PriorEnrolled),IF(OR(_xlpm.ActDate="",EOMONTH(O$5,0)&lt;_xlpm.StartDate,_xlpm.Remaining&lt;=0),0,MIN(_xlpm.MonthlyEnroll,_xlpm.Remaining))),0))</f>
        <v/>
      </c>
      <c r="P89" s="9" t="str">
        <f>IF($B89="","",IFERROR(_xlfn.LET(_xlpm.Site,$B89,_xlpm.ActDate,_xlfn.XLOOKUP(_xlpm.Site,tblSites[Site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89:INDEX($1:$1048576,ROW(),COLUMN()-1))),_xlpm.Remaining,MAX(0,_xlpm.MaxPts-_xlpm.PriorEnrolled),IF(OR(_xlpm.ActDate="",EOMONTH(P$5,0)&lt;_xlpm.StartDate,_xlpm.Remaining&lt;=0),0,MIN(_xlpm.MonthlyEnroll,_xlpm.Remaining))),0))</f>
        <v/>
      </c>
      <c r="Q89" s="9" t="str">
        <f>IF($B89="","",IFERROR(_xlfn.LET(_xlpm.Site,$B89,_xlpm.ActDate,_xlfn.XLOOKUP(_xlpm.Site,tblSites[Monthly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89:INDEX($1:$1048576,ROW(),COLUMN()-1))),_xlpm.Remaining,MAX(0,_xlpm.MaxPts-_xlpm.PriorEnrolled),IF(OR(_xlpm.ActDate="",EOMONTH(Q$5,0)&lt;_xlpm.StartDate,_xlpm.Remaining&lt;=0),0,MIN(_xlpm.MonthlyEnroll,_xlpm.Remaining))),0))</f>
        <v/>
      </c>
      <c r="R89" s="9" t="str">
        <f>IF($B89="","",IFERROR(_xlfn.LET(_xlpm.Site,$B89,_xlpm.ActDate,_xlfn.XLOOKUP(_xlpm.Site,tblSites[Site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89:INDEX($1:$1048576,ROW(),COLUMN()-1))),_xlpm.Remaining,MAX(0,_xlpm.MaxPts-_xlpm.PriorEnrolled),IF(OR(_xlpm.ActDate="",EOMONTH(R$5,0)&lt;_xlpm.StartDate,_xlpm.Remaining&lt;=0),0,MIN(_xlpm.MonthlyEnroll,_xlpm.Remaining))),0))</f>
        <v/>
      </c>
      <c r="S89" s="9" t="str">
        <f>IF($B89="","",IFERROR(_xlfn.LET(_xlpm.Site,$B89,_xlpm.ActDate,_xlfn.XLOOKUP(_xlpm.Site,tblSites[Max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89:INDEX($1:$1048576,ROW(),COLUMN()-1))),_xlpm.Remaining,MAX(0,_xlpm.MaxPts-_xlpm.PriorEnrolled),IF(OR(_xlpm.ActDate="",EOMONTH(S$5,0)&lt;_xlpm.StartDate,_xlpm.Remaining&lt;=0),0,MIN(_xlpm.MonthlyEnroll,_xlpm.Remaining))),0))</f>
        <v/>
      </c>
      <c r="T89" s="9" t="str">
        <f>IF($B89="","",IFERROR(_xlfn.LET(_xlpm.Site,$B89,_xlpm.ActDate,_xlfn.XLOOKUP(_xlpm.Site,tblSites[Current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89:INDEX($1:$1048576,ROW(),COLUMN()-1))),_xlpm.Remaining,MAX(0,_xlpm.MaxPts-_xlpm.PriorEnrolled),IF(OR(_xlpm.ActDate="",EOMONTH(T$5,0)&lt;_xlpm.StartDate,_xlpm.Remaining&lt;=0),0,MIN(_xlpm.MonthlyEnroll,_xlpm.Remaining))),0))</f>
        <v/>
      </c>
      <c r="U89" s="9" t="str">
        <f>IF($B89="","",IFERROR(_xlfn.LET(_xlpm.Site,$B89,_xlpm.ActDate,_xlfn.XLOOKUP(_xlpm.Site,tblSites[Include?],tblSites[Scenario?],""),_xlpm.ScreenDays,N('Study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89:INDEX($1:$1048576,ROW(),COLUMN()-1))),_xlpm.Remaining,MAX(0,_xlpm.MaxPts-_xlpm.PriorEnrolled),IF(OR(_xlpm.ActDate="",EOMONTH(U$5,0)&lt;_xlpm.StartDate,_xlpm.Remaining&lt;=0),0,MIN(_xlpm.MonthlyEnroll,_xlpm.Remaining))),0))</f>
        <v/>
      </c>
      <c r="V89" s="9" t="str">
        <f>IF($B89="","",IFERROR(_xlfn.LET(_xlpm.Site,$B89,_xlpm.ActDate,_xlfn.XLOOKUP(_xlpm.Site,tblSites[Scenario?],tblSites[Check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89:INDEX($1:$1048576,ROW(),COLUMN()-1))),_xlpm.Remaining,MAX(0,_xlpm.MaxPts-_xlpm.PriorEnrolled),IF(OR(_xlpm.ActDate="",EOMONTH(V$5,0)&lt;_xlpm.StartDate,_xlpm.Remaining&lt;=0),0,MIN(_xlpm.MonthlyEnroll,_xlpm.Remaining))),0))</f>
        <v/>
      </c>
      <c r="W89" s="9" t="str">
        <f>IF($B89="","",IFERROR(_xlfn.LET(_xlpm.Site,$B89,_xlpm.ActDate,_xlfn.XLOOKUP(_xlpm.Site,tblSites[Check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89:INDEX($1:$1048576,ROW(),COLUMN()-1))),_xlpm.Remaining,MAX(0,_xlpm.MaxPts-_xlpm.PriorEnrolled),IF(OR(_xlpm.ActDate="",EOMONTH(W$5,0)&lt;_xlpm.StartDate,_xlpm.Remaining&lt;=0),0,MIN(_xlpm.MonthlyEnroll,_xlpm.Remaining))),0))</f>
        <v/>
      </c>
      <c r="X89" s="9" t="str">
        <f>IF($B89="","",IFERROR(_xlfn.LET(_xlpm.Site,$B89,_xlpm.ActDate,_xlfn.XLOOKUP(_xlpm.Site,tblSites[Site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89:INDEX($1:$1048576,ROW(),COLUMN()-1))),_xlpm.Remaining,MAX(0,_xlpm.MaxPts-_xlpm.PriorEnrolled),IF(OR(_xlpm.ActDate="",EOMONTH(X$5,0)&lt;_xlpm.StartDate,_xlpm.Remaining&lt;=0),0,MIN(_xlpm.MonthlyEnroll,_xlpm.Remaining))),0))</f>
        <v/>
      </c>
      <c r="Y89" s="9" t="str">
        <f>IF($B89="","",IFERROR(_xlfn.LET(_xlpm.Site,$B89,_xlpm.ActDate,_xlfn.XLOOKUP(_xlpm.Site,#REF!,tblSites[Country],""),_xlpm.ScreenDays,N('Study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89:INDEX($1:$1048576,ROW(),COLUMN()-1))),_xlpm.Remaining,MAX(0,_xlpm.MaxPts-_xlpm.PriorEnrolled),IF(OR(_xlpm.ActDate="",EOMONTH(Y$5,0)&lt;_xlpm.StartDate,_xlpm.Remaining&lt;=0),0,MIN(_xlpm.MonthlyEnroll,_xlpm.Remaining))),0))</f>
        <v/>
      </c>
      <c r="Z89" s="9" t="str">
        <f>IF($B89="","",IFERROR(_xlfn.LET(_xlpm.Site,$B89,_xlpm.ActDate,_xlfn.XLOOKUP(_xlpm.Site,tblSites[Country],tblSites[Site],""),_xlpm.ScreenDays,N('Study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89:INDEX($1:$1048576,ROW(),COLUMN()-1))),_xlpm.Remaining,MAX(0,_xlpm.MaxPts-_xlpm.PriorEnrolled),IF(OR(_xlpm.ActDate="",EOMONTH(Z$5,0)&lt;_xlpm.StartDate,_xlpm.Remaining&lt;=0),0,MIN(_xlpm.MonthlyEnroll,_xlpm.Remaining))),0))</f>
        <v/>
      </c>
      <c r="AA89" s="9" t="str">
        <f>IF($B89="","",IFERROR(_xlfn.LET(_xlpm.Site,$B89,_xlpm.ActDate,_xlfn.XLOOKUP(_xlpm.Site,tblSites[Site],tblSites[Site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89:INDEX($1:$1048576,ROW(),COLUMN()-1))),_xlpm.Remaining,MAX(0,_xlpm.MaxPts-_xlpm.PriorEnrolled),IF(OR(_xlpm.ActDate="",EOMONTH(AA$5,0)&lt;_xlpm.StartDate,_xlpm.Remaining&lt;=0),0,MIN(_xlpm.MonthlyEnroll,_xlpm.Remaining))),0))</f>
        <v/>
      </c>
      <c r="AB89" s="9" t="str">
        <f>IF($B89="","",IFERROR(_xlfn.LET(_xlpm.Site,$B89,_xlpm.ActDate,_xlfn.XLOOKUP(_xlpm.Site,tblSites[Site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89:INDEX($1:$1048576,ROW(),COLUMN()-1))),_xlpm.Remaining,MAX(0,_xlpm.MaxPts-_xlpm.PriorEnrolled),IF(OR(_xlpm.ActDate="",EOMONTH(AB$5,0)&lt;_xlpm.StartDate,_xlpm.Remaining&lt;=0),0,MIN(_xlpm.MonthlyEnroll,_xlpm.Remaining))),0))</f>
        <v/>
      </c>
      <c r="AC89" s="9" t="str">
        <f>IF($B89="","",IFERROR(_xlfn.LET(_xlpm.Site,$B89,_xlpm.ActDate,_xlfn.XLOOKUP(_xlpm.Site,tblSites[Monthly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89:INDEX($1:$1048576,ROW(),COLUMN()-1))),_xlpm.Remaining,MAX(0,_xlpm.MaxPts-_xlpm.PriorEnrolled),IF(OR(_xlpm.ActDate="",EOMONTH(AC$5,0)&lt;_xlpm.StartDate,_xlpm.Remaining&lt;=0),0,MIN(_xlpm.MonthlyEnroll,_xlpm.Remaining))),0))</f>
        <v/>
      </c>
    </row>
    <row r="90" spans="3:29" x14ac:dyDescent="0.25">
      <c r="C90" s="9" cm="1">
        <f t="array" aca="1" ref="C90" ca="1">IF(C$5&lt;=TODAY(),0,IF($B90="","",IFERROR(_xlfn.LET(_xlpm.Site,$B90,_xlpm.SiteCol,INDIRECT("tblSites[Site]"),_xlpm.ActCol,INDIRECT("tblSites[Site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90" s="9" t="str">
        <f>IF($B90="","",IFERROR(_xlfn.LET(_xlpm.Site,$B90,_xlpm.ActDate,_xlfn.XLOOKUP(_xlpm.Site,tblSites[Site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90:INDEX($1:$1048576,ROW(),COLUMN()-1))),_xlpm.Remaining,MAX(0,_xlpm.MaxPts-_xlpm.PriorEnrolled),IF(OR(_xlpm.ActDate="",EOMONTH(D$5,0)&lt;_xlpm.StartDate,_xlpm.Remaining&lt;=0),0,MIN(_xlpm.MonthlyEnroll,_xlpm.Remaining))),0))</f>
        <v/>
      </c>
      <c r="E90" s="9" t="str">
        <f>IF($B90="","",IFERROR(_xlfn.LET(_xlpm.Site,$B90,_xlpm.ActDate,_xlfn.XLOOKUP(_xlpm.Site,tblSites[Monthly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90:INDEX($1:$1048576,ROW(),COLUMN()-1))),_xlpm.Remaining,MAX(0,_xlpm.MaxPts-_xlpm.PriorEnrolled),IF(OR(_xlpm.ActDate="",EOMONTH(E$5,0)&lt;_xlpm.StartDate,_xlpm.Remaining&lt;=0),0,MIN(_xlpm.MonthlyEnroll,_xlpm.Remaining))),0))</f>
        <v/>
      </c>
      <c r="F90" s="9" t="str">
        <f>IF($B90="","",IFERROR(_xlfn.LET(_xlpm.Site,$B90,_xlpm.ActDate,_xlfn.XLOOKUP(_xlpm.Site,tblSites[Site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90:INDEX($1:$1048576,ROW(),COLUMN()-1))),_xlpm.Remaining,MAX(0,_xlpm.MaxPts-_xlpm.PriorEnrolled),IF(OR(_xlpm.ActDate="",EOMONTH(F$5,0)&lt;_xlpm.StartDate,_xlpm.Remaining&lt;=0),0,MIN(_xlpm.MonthlyEnroll,_xlpm.Remaining))),0))</f>
        <v/>
      </c>
      <c r="G90" s="9" t="str">
        <f>IF($B90="","",IFERROR(_xlfn.LET(_xlpm.Site,$B90,_xlpm.ActDate,_xlfn.XLOOKUP(_xlpm.Site,tblSites[Max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90:INDEX($1:$1048576,ROW(),COLUMN()-1))),_xlpm.Remaining,MAX(0,_xlpm.MaxPts-_xlpm.PriorEnrolled),IF(OR(_xlpm.ActDate="",EOMONTH(G$5,0)&lt;_xlpm.StartDate,_xlpm.Remaining&lt;=0),0,MIN(_xlpm.MonthlyEnroll,_xlpm.Remaining))),0))</f>
        <v/>
      </c>
      <c r="H90" s="9" t="str">
        <f>IF($B90="","",IFERROR(_xlfn.LET(_xlpm.Site,$B90,_xlpm.ActDate,_xlfn.XLOOKUP(_xlpm.Site,tblSites[Current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90:INDEX($1:$1048576,ROW(),COLUMN()-1))),_xlpm.Remaining,MAX(0,_xlpm.MaxPts-_xlpm.PriorEnrolled),IF(OR(_xlpm.ActDate="",EOMONTH(H$5,0)&lt;_xlpm.StartDate,_xlpm.Remaining&lt;=0),0,MIN(_xlpm.MonthlyEnroll,_xlpm.Remaining))),0))</f>
        <v/>
      </c>
      <c r="I90" s="9" t="str">
        <f>IF($B90="","",IFERROR(_xlfn.LET(_xlpm.Site,$B90,_xlpm.ActDate,_xlfn.XLOOKUP(_xlpm.Site,tblSites[Include?],tblSites[Scenario?],""),_xlpm.ScreenDays,N('Study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90:INDEX($1:$1048576,ROW(),COLUMN()-1))),_xlpm.Remaining,MAX(0,_xlpm.MaxPts-_xlpm.PriorEnrolled),IF(OR(_xlpm.ActDate="",EOMONTH(I$5,0)&lt;_xlpm.StartDate,_xlpm.Remaining&lt;=0),0,MIN(_xlpm.MonthlyEnroll,_xlpm.Remaining))),0))</f>
        <v/>
      </c>
      <c r="J90" s="9" t="str">
        <f>IF($B90="","",IFERROR(_xlfn.LET(_xlpm.Site,$B90,_xlpm.ActDate,_xlfn.XLOOKUP(_xlpm.Site,tblSites[Scenario?],tblSites[Check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90:INDEX($1:$1048576,ROW(),COLUMN()-1))),_xlpm.Remaining,MAX(0,_xlpm.MaxPts-_xlpm.PriorEnrolled),IF(OR(_xlpm.ActDate="",EOMONTH(J$5,0)&lt;_xlpm.StartDate,_xlpm.Remaining&lt;=0),0,MIN(_xlpm.MonthlyEnroll,_xlpm.Remaining))),0))</f>
        <v/>
      </c>
      <c r="K90" s="9" t="str">
        <f>IF($B90="","",IFERROR(_xlfn.LET(_xlpm.Site,$B90,_xlpm.ActDate,_xlfn.XLOOKUP(_xlpm.Site,tblSites[Check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90:INDEX($1:$1048576,ROW(),COLUMN()-1))),_xlpm.Remaining,MAX(0,_xlpm.MaxPts-_xlpm.PriorEnrolled),IF(OR(_xlpm.ActDate="",EOMONTH(K$5,0)&lt;_xlpm.StartDate,_xlpm.Remaining&lt;=0),0,MIN(_xlpm.MonthlyEnroll,_xlpm.Remaining))),0))</f>
        <v/>
      </c>
      <c r="L90" s="9" t="str">
        <f>IF($B90="","",IFERROR(_xlfn.LET(_xlpm.Site,$B90,_xlpm.ActDate,_xlfn.XLOOKUP(_xlpm.Site,tblSites[Site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90:INDEX($1:$1048576,ROW(),COLUMN()-1))),_xlpm.Remaining,MAX(0,_xlpm.MaxPts-_xlpm.PriorEnrolled),IF(OR(_xlpm.ActDate="",EOMONTH(L$5,0)&lt;_xlpm.StartDate,_xlpm.Remaining&lt;=0),0,MIN(_xlpm.MonthlyEnroll,_xlpm.Remaining))),0))</f>
        <v/>
      </c>
      <c r="M90" s="9" t="str">
        <f>IF($B90="","",IFERROR(_xlfn.LET(_xlpm.Site,$B90,_xlpm.ActDate,_xlfn.XLOOKUP(_xlpm.Site,#REF!,tblSites[Country],""),_xlpm.ScreenDays,N('Study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90:INDEX($1:$1048576,ROW(),COLUMN()-1))),_xlpm.Remaining,MAX(0,_xlpm.MaxPts-_xlpm.PriorEnrolled),IF(OR(_xlpm.ActDate="",EOMONTH(M$5,0)&lt;_xlpm.StartDate,_xlpm.Remaining&lt;=0),0,MIN(_xlpm.MonthlyEnroll,_xlpm.Remaining))),0))</f>
        <v/>
      </c>
      <c r="N90" s="9" t="str">
        <f>IF($B90="","",IFERROR(_xlfn.LET(_xlpm.Site,$B90,_xlpm.ActDate,_xlfn.XLOOKUP(_xlpm.Site,tblSites[Country],tblSites[Site],""),_xlpm.ScreenDays,N('Study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90:INDEX($1:$1048576,ROW(),COLUMN()-1))),_xlpm.Remaining,MAX(0,_xlpm.MaxPts-_xlpm.PriorEnrolled),IF(OR(_xlpm.ActDate="",EOMONTH(N$5,0)&lt;_xlpm.StartDate,_xlpm.Remaining&lt;=0),0,MIN(_xlpm.MonthlyEnroll,_xlpm.Remaining))),0))</f>
        <v/>
      </c>
      <c r="O90" s="9" t="str">
        <f>IF($B90="","",IFERROR(_xlfn.LET(_xlpm.Site,$B90,_xlpm.ActDate,_xlfn.XLOOKUP(_xlpm.Site,tblSites[Site],tblSites[Site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90:INDEX($1:$1048576,ROW(),COLUMN()-1))),_xlpm.Remaining,MAX(0,_xlpm.MaxPts-_xlpm.PriorEnrolled),IF(OR(_xlpm.ActDate="",EOMONTH(O$5,0)&lt;_xlpm.StartDate,_xlpm.Remaining&lt;=0),0,MIN(_xlpm.MonthlyEnroll,_xlpm.Remaining))),0))</f>
        <v/>
      </c>
      <c r="P90" s="9" t="str">
        <f>IF($B90="","",IFERROR(_xlfn.LET(_xlpm.Site,$B90,_xlpm.ActDate,_xlfn.XLOOKUP(_xlpm.Site,tblSites[Site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90:INDEX($1:$1048576,ROW(),COLUMN()-1))),_xlpm.Remaining,MAX(0,_xlpm.MaxPts-_xlpm.PriorEnrolled),IF(OR(_xlpm.ActDate="",EOMONTH(P$5,0)&lt;_xlpm.StartDate,_xlpm.Remaining&lt;=0),0,MIN(_xlpm.MonthlyEnroll,_xlpm.Remaining))),0))</f>
        <v/>
      </c>
      <c r="Q90" s="9" t="str">
        <f>IF($B90="","",IFERROR(_xlfn.LET(_xlpm.Site,$B90,_xlpm.ActDate,_xlfn.XLOOKUP(_xlpm.Site,tblSites[Monthly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90:INDEX($1:$1048576,ROW(),COLUMN()-1))),_xlpm.Remaining,MAX(0,_xlpm.MaxPts-_xlpm.PriorEnrolled),IF(OR(_xlpm.ActDate="",EOMONTH(Q$5,0)&lt;_xlpm.StartDate,_xlpm.Remaining&lt;=0),0,MIN(_xlpm.MonthlyEnroll,_xlpm.Remaining))),0))</f>
        <v/>
      </c>
      <c r="R90" s="9" t="str">
        <f>IF($B90="","",IFERROR(_xlfn.LET(_xlpm.Site,$B90,_xlpm.ActDate,_xlfn.XLOOKUP(_xlpm.Site,tblSites[Site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90:INDEX($1:$1048576,ROW(),COLUMN()-1))),_xlpm.Remaining,MAX(0,_xlpm.MaxPts-_xlpm.PriorEnrolled),IF(OR(_xlpm.ActDate="",EOMONTH(R$5,0)&lt;_xlpm.StartDate,_xlpm.Remaining&lt;=0),0,MIN(_xlpm.MonthlyEnroll,_xlpm.Remaining))),0))</f>
        <v/>
      </c>
      <c r="S90" s="9" t="str">
        <f>IF($B90="","",IFERROR(_xlfn.LET(_xlpm.Site,$B90,_xlpm.ActDate,_xlfn.XLOOKUP(_xlpm.Site,tblSites[Max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90:INDEX($1:$1048576,ROW(),COLUMN()-1))),_xlpm.Remaining,MAX(0,_xlpm.MaxPts-_xlpm.PriorEnrolled),IF(OR(_xlpm.ActDate="",EOMONTH(S$5,0)&lt;_xlpm.StartDate,_xlpm.Remaining&lt;=0),0,MIN(_xlpm.MonthlyEnroll,_xlpm.Remaining))),0))</f>
        <v/>
      </c>
      <c r="T90" s="9" t="str">
        <f>IF($B90="","",IFERROR(_xlfn.LET(_xlpm.Site,$B90,_xlpm.ActDate,_xlfn.XLOOKUP(_xlpm.Site,tblSites[Current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90:INDEX($1:$1048576,ROW(),COLUMN()-1))),_xlpm.Remaining,MAX(0,_xlpm.MaxPts-_xlpm.PriorEnrolled),IF(OR(_xlpm.ActDate="",EOMONTH(T$5,0)&lt;_xlpm.StartDate,_xlpm.Remaining&lt;=0),0,MIN(_xlpm.MonthlyEnroll,_xlpm.Remaining))),0))</f>
        <v/>
      </c>
      <c r="U90" s="9" t="str">
        <f>IF($B90="","",IFERROR(_xlfn.LET(_xlpm.Site,$B90,_xlpm.ActDate,_xlfn.XLOOKUP(_xlpm.Site,tblSites[Include?],tblSites[Scenario?],""),_xlpm.ScreenDays,N('Study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90:INDEX($1:$1048576,ROW(),COLUMN()-1))),_xlpm.Remaining,MAX(0,_xlpm.MaxPts-_xlpm.PriorEnrolled),IF(OR(_xlpm.ActDate="",EOMONTH(U$5,0)&lt;_xlpm.StartDate,_xlpm.Remaining&lt;=0),0,MIN(_xlpm.MonthlyEnroll,_xlpm.Remaining))),0))</f>
        <v/>
      </c>
      <c r="V90" s="9" t="str">
        <f>IF($B90="","",IFERROR(_xlfn.LET(_xlpm.Site,$B90,_xlpm.ActDate,_xlfn.XLOOKUP(_xlpm.Site,tblSites[Scenario?],tblSites[Check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90:INDEX($1:$1048576,ROW(),COLUMN()-1))),_xlpm.Remaining,MAX(0,_xlpm.MaxPts-_xlpm.PriorEnrolled),IF(OR(_xlpm.ActDate="",EOMONTH(V$5,0)&lt;_xlpm.StartDate,_xlpm.Remaining&lt;=0),0,MIN(_xlpm.MonthlyEnroll,_xlpm.Remaining))),0))</f>
        <v/>
      </c>
      <c r="W90" s="9" t="str">
        <f>IF($B90="","",IFERROR(_xlfn.LET(_xlpm.Site,$B90,_xlpm.ActDate,_xlfn.XLOOKUP(_xlpm.Site,tblSites[Check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90:INDEX($1:$1048576,ROW(),COLUMN()-1))),_xlpm.Remaining,MAX(0,_xlpm.MaxPts-_xlpm.PriorEnrolled),IF(OR(_xlpm.ActDate="",EOMONTH(W$5,0)&lt;_xlpm.StartDate,_xlpm.Remaining&lt;=0),0,MIN(_xlpm.MonthlyEnroll,_xlpm.Remaining))),0))</f>
        <v/>
      </c>
      <c r="X90" s="9" t="str">
        <f>IF($B90="","",IFERROR(_xlfn.LET(_xlpm.Site,$B90,_xlpm.ActDate,_xlfn.XLOOKUP(_xlpm.Site,tblSites[Site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90:INDEX($1:$1048576,ROW(),COLUMN()-1))),_xlpm.Remaining,MAX(0,_xlpm.MaxPts-_xlpm.PriorEnrolled),IF(OR(_xlpm.ActDate="",EOMONTH(X$5,0)&lt;_xlpm.StartDate,_xlpm.Remaining&lt;=0),0,MIN(_xlpm.MonthlyEnroll,_xlpm.Remaining))),0))</f>
        <v/>
      </c>
      <c r="Y90" s="9" t="str">
        <f>IF($B90="","",IFERROR(_xlfn.LET(_xlpm.Site,$B90,_xlpm.ActDate,_xlfn.XLOOKUP(_xlpm.Site,#REF!,tblSites[Country],""),_xlpm.ScreenDays,N('Study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90:INDEX($1:$1048576,ROW(),COLUMN()-1))),_xlpm.Remaining,MAX(0,_xlpm.MaxPts-_xlpm.PriorEnrolled),IF(OR(_xlpm.ActDate="",EOMONTH(Y$5,0)&lt;_xlpm.StartDate,_xlpm.Remaining&lt;=0),0,MIN(_xlpm.MonthlyEnroll,_xlpm.Remaining))),0))</f>
        <v/>
      </c>
      <c r="Z90" s="9" t="str">
        <f>IF($B90="","",IFERROR(_xlfn.LET(_xlpm.Site,$B90,_xlpm.ActDate,_xlfn.XLOOKUP(_xlpm.Site,tblSites[Country],tblSites[Site],""),_xlpm.ScreenDays,N('Study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90:INDEX($1:$1048576,ROW(),COLUMN()-1))),_xlpm.Remaining,MAX(0,_xlpm.MaxPts-_xlpm.PriorEnrolled),IF(OR(_xlpm.ActDate="",EOMONTH(Z$5,0)&lt;_xlpm.StartDate,_xlpm.Remaining&lt;=0),0,MIN(_xlpm.MonthlyEnroll,_xlpm.Remaining))),0))</f>
        <v/>
      </c>
      <c r="AA90" s="9" t="str">
        <f>IF($B90="","",IFERROR(_xlfn.LET(_xlpm.Site,$B90,_xlpm.ActDate,_xlfn.XLOOKUP(_xlpm.Site,tblSites[Site],tblSites[Site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90:INDEX($1:$1048576,ROW(),COLUMN()-1))),_xlpm.Remaining,MAX(0,_xlpm.MaxPts-_xlpm.PriorEnrolled),IF(OR(_xlpm.ActDate="",EOMONTH(AA$5,0)&lt;_xlpm.StartDate,_xlpm.Remaining&lt;=0),0,MIN(_xlpm.MonthlyEnroll,_xlpm.Remaining))),0))</f>
        <v/>
      </c>
      <c r="AB90" s="9" t="str">
        <f>IF($B90="","",IFERROR(_xlfn.LET(_xlpm.Site,$B90,_xlpm.ActDate,_xlfn.XLOOKUP(_xlpm.Site,tblSites[Site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90:INDEX($1:$1048576,ROW(),COLUMN()-1))),_xlpm.Remaining,MAX(0,_xlpm.MaxPts-_xlpm.PriorEnrolled),IF(OR(_xlpm.ActDate="",EOMONTH(AB$5,0)&lt;_xlpm.StartDate,_xlpm.Remaining&lt;=0),0,MIN(_xlpm.MonthlyEnroll,_xlpm.Remaining))),0))</f>
        <v/>
      </c>
      <c r="AC90" s="9" t="str">
        <f>IF($B90="","",IFERROR(_xlfn.LET(_xlpm.Site,$B90,_xlpm.ActDate,_xlfn.XLOOKUP(_xlpm.Site,tblSites[Monthly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90:INDEX($1:$1048576,ROW(),COLUMN()-1))),_xlpm.Remaining,MAX(0,_xlpm.MaxPts-_xlpm.PriorEnrolled),IF(OR(_xlpm.ActDate="",EOMONTH(AC$5,0)&lt;_xlpm.StartDate,_xlpm.Remaining&lt;=0),0,MIN(_xlpm.MonthlyEnroll,_xlpm.Remaining))),0))</f>
        <v/>
      </c>
    </row>
    <row r="91" spans="3:29" x14ac:dyDescent="0.25">
      <c r="C91" s="9" cm="1">
        <f t="array" aca="1" ref="C91" ca="1">IF(C$5&lt;=TODAY(),0,IF($B91="","",IFERROR(_xlfn.LET(_xlpm.Site,$B91,_xlpm.SiteCol,INDIRECT("tblSites[Site]"),_xlpm.ActCol,INDIRECT("tblSites[Site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91" s="9" t="str">
        <f>IF($B91="","",IFERROR(_xlfn.LET(_xlpm.Site,$B91,_xlpm.ActDate,_xlfn.XLOOKUP(_xlpm.Site,tblSites[Site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91:INDEX($1:$1048576,ROW(),COLUMN()-1))),_xlpm.Remaining,MAX(0,_xlpm.MaxPts-_xlpm.PriorEnrolled),IF(OR(_xlpm.ActDate="",EOMONTH(D$5,0)&lt;_xlpm.StartDate,_xlpm.Remaining&lt;=0),0,MIN(_xlpm.MonthlyEnroll,_xlpm.Remaining))),0))</f>
        <v/>
      </c>
      <c r="E91" s="9" t="str">
        <f>IF($B91="","",IFERROR(_xlfn.LET(_xlpm.Site,$B91,_xlpm.ActDate,_xlfn.XLOOKUP(_xlpm.Site,tblSites[Monthly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91:INDEX($1:$1048576,ROW(),COLUMN()-1))),_xlpm.Remaining,MAX(0,_xlpm.MaxPts-_xlpm.PriorEnrolled),IF(OR(_xlpm.ActDate="",EOMONTH(E$5,0)&lt;_xlpm.StartDate,_xlpm.Remaining&lt;=0),0,MIN(_xlpm.MonthlyEnroll,_xlpm.Remaining))),0))</f>
        <v/>
      </c>
      <c r="F91" s="9" t="str">
        <f>IF($B91="","",IFERROR(_xlfn.LET(_xlpm.Site,$B91,_xlpm.ActDate,_xlfn.XLOOKUP(_xlpm.Site,tblSites[Site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91:INDEX($1:$1048576,ROW(),COLUMN()-1))),_xlpm.Remaining,MAX(0,_xlpm.MaxPts-_xlpm.PriorEnrolled),IF(OR(_xlpm.ActDate="",EOMONTH(F$5,0)&lt;_xlpm.StartDate,_xlpm.Remaining&lt;=0),0,MIN(_xlpm.MonthlyEnroll,_xlpm.Remaining))),0))</f>
        <v/>
      </c>
      <c r="G91" s="9" t="str">
        <f>IF($B91="","",IFERROR(_xlfn.LET(_xlpm.Site,$B91,_xlpm.ActDate,_xlfn.XLOOKUP(_xlpm.Site,tblSites[Max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91:INDEX($1:$1048576,ROW(),COLUMN()-1))),_xlpm.Remaining,MAX(0,_xlpm.MaxPts-_xlpm.PriorEnrolled),IF(OR(_xlpm.ActDate="",EOMONTH(G$5,0)&lt;_xlpm.StartDate,_xlpm.Remaining&lt;=0),0,MIN(_xlpm.MonthlyEnroll,_xlpm.Remaining))),0))</f>
        <v/>
      </c>
      <c r="H91" s="9" t="str">
        <f>IF($B91="","",IFERROR(_xlfn.LET(_xlpm.Site,$B91,_xlpm.ActDate,_xlfn.XLOOKUP(_xlpm.Site,tblSites[Current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91:INDEX($1:$1048576,ROW(),COLUMN()-1))),_xlpm.Remaining,MAX(0,_xlpm.MaxPts-_xlpm.PriorEnrolled),IF(OR(_xlpm.ActDate="",EOMONTH(H$5,0)&lt;_xlpm.StartDate,_xlpm.Remaining&lt;=0),0,MIN(_xlpm.MonthlyEnroll,_xlpm.Remaining))),0))</f>
        <v/>
      </c>
      <c r="I91" s="9" t="str">
        <f>IF($B91="","",IFERROR(_xlfn.LET(_xlpm.Site,$B91,_xlpm.ActDate,_xlfn.XLOOKUP(_xlpm.Site,tblSites[Include?],tblSites[Scenario?],""),_xlpm.ScreenDays,N('Study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91:INDEX($1:$1048576,ROW(),COLUMN()-1))),_xlpm.Remaining,MAX(0,_xlpm.MaxPts-_xlpm.PriorEnrolled),IF(OR(_xlpm.ActDate="",EOMONTH(I$5,0)&lt;_xlpm.StartDate,_xlpm.Remaining&lt;=0),0,MIN(_xlpm.MonthlyEnroll,_xlpm.Remaining))),0))</f>
        <v/>
      </c>
      <c r="J91" s="9" t="str">
        <f>IF($B91="","",IFERROR(_xlfn.LET(_xlpm.Site,$B91,_xlpm.ActDate,_xlfn.XLOOKUP(_xlpm.Site,tblSites[Scenario?],tblSites[Check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91:INDEX($1:$1048576,ROW(),COLUMN()-1))),_xlpm.Remaining,MAX(0,_xlpm.MaxPts-_xlpm.PriorEnrolled),IF(OR(_xlpm.ActDate="",EOMONTH(J$5,0)&lt;_xlpm.StartDate,_xlpm.Remaining&lt;=0),0,MIN(_xlpm.MonthlyEnroll,_xlpm.Remaining))),0))</f>
        <v/>
      </c>
      <c r="K91" s="9" t="str">
        <f>IF($B91="","",IFERROR(_xlfn.LET(_xlpm.Site,$B91,_xlpm.ActDate,_xlfn.XLOOKUP(_xlpm.Site,tblSites[Check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91:INDEX($1:$1048576,ROW(),COLUMN()-1))),_xlpm.Remaining,MAX(0,_xlpm.MaxPts-_xlpm.PriorEnrolled),IF(OR(_xlpm.ActDate="",EOMONTH(K$5,0)&lt;_xlpm.StartDate,_xlpm.Remaining&lt;=0),0,MIN(_xlpm.MonthlyEnroll,_xlpm.Remaining))),0))</f>
        <v/>
      </c>
      <c r="L91" s="9" t="str">
        <f>IF($B91="","",IFERROR(_xlfn.LET(_xlpm.Site,$B91,_xlpm.ActDate,_xlfn.XLOOKUP(_xlpm.Site,tblSites[Site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91:INDEX($1:$1048576,ROW(),COLUMN()-1))),_xlpm.Remaining,MAX(0,_xlpm.MaxPts-_xlpm.PriorEnrolled),IF(OR(_xlpm.ActDate="",EOMONTH(L$5,0)&lt;_xlpm.StartDate,_xlpm.Remaining&lt;=0),0,MIN(_xlpm.MonthlyEnroll,_xlpm.Remaining))),0))</f>
        <v/>
      </c>
      <c r="M91" s="9" t="str">
        <f>IF($B91="","",IFERROR(_xlfn.LET(_xlpm.Site,$B91,_xlpm.ActDate,_xlfn.XLOOKUP(_xlpm.Site,#REF!,tblSites[Country],""),_xlpm.ScreenDays,N('Study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91:INDEX($1:$1048576,ROW(),COLUMN()-1))),_xlpm.Remaining,MAX(0,_xlpm.MaxPts-_xlpm.PriorEnrolled),IF(OR(_xlpm.ActDate="",EOMONTH(M$5,0)&lt;_xlpm.StartDate,_xlpm.Remaining&lt;=0),0,MIN(_xlpm.MonthlyEnroll,_xlpm.Remaining))),0))</f>
        <v/>
      </c>
      <c r="N91" s="9" t="str">
        <f>IF($B91="","",IFERROR(_xlfn.LET(_xlpm.Site,$B91,_xlpm.ActDate,_xlfn.XLOOKUP(_xlpm.Site,tblSites[Country],tblSites[Site],""),_xlpm.ScreenDays,N('Study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91:INDEX($1:$1048576,ROW(),COLUMN()-1))),_xlpm.Remaining,MAX(0,_xlpm.MaxPts-_xlpm.PriorEnrolled),IF(OR(_xlpm.ActDate="",EOMONTH(N$5,0)&lt;_xlpm.StartDate,_xlpm.Remaining&lt;=0),0,MIN(_xlpm.MonthlyEnroll,_xlpm.Remaining))),0))</f>
        <v/>
      </c>
      <c r="O91" s="9" t="str">
        <f>IF($B91="","",IFERROR(_xlfn.LET(_xlpm.Site,$B91,_xlpm.ActDate,_xlfn.XLOOKUP(_xlpm.Site,tblSites[Site],tblSites[Site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91:INDEX($1:$1048576,ROW(),COLUMN()-1))),_xlpm.Remaining,MAX(0,_xlpm.MaxPts-_xlpm.PriorEnrolled),IF(OR(_xlpm.ActDate="",EOMONTH(O$5,0)&lt;_xlpm.StartDate,_xlpm.Remaining&lt;=0),0,MIN(_xlpm.MonthlyEnroll,_xlpm.Remaining))),0))</f>
        <v/>
      </c>
      <c r="P91" s="9" t="str">
        <f>IF($B91="","",IFERROR(_xlfn.LET(_xlpm.Site,$B91,_xlpm.ActDate,_xlfn.XLOOKUP(_xlpm.Site,tblSites[Site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91:INDEX($1:$1048576,ROW(),COLUMN()-1))),_xlpm.Remaining,MAX(0,_xlpm.MaxPts-_xlpm.PriorEnrolled),IF(OR(_xlpm.ActDate="",EOMONTH(P$5,0)&lt;_xlpm.StartDate,_xlpm.Remaining&lt;=0),0,MIN(_xlpm.MonthlyEnroll,_xlpm.Remaining))),0))</f>
        <v/>
      </c>
      <c r="Q91" s="9" t="str">
        <f>IF($B91="","",IFERROR(_xlfn.LET(_xlpm.Site,$B91,_xlpm.ActDate,_xlfn.XLOOKUP(_xlpm.Site,tblSites[Monthly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91:INDEX($1:$1048576,ROW(),COLUMN()-1))),_xlpm.Remaining,MAX(0,_xlpm.MaxPts-_xlpm.PriorEnrolled),IF(OR(_xlpm.ActDate="",EOMONTH(Q$5,0)&lt;_xlpm.StartDate,_xlpm.Remaining&lt;=0),0,MIN(_xlpm.MonthlyEnroll,_xlpm.Remaining))),0))</f>
        <v/>
      </c>
      <c r="R91" s="9" t="str">
        <f>IF($B91="","",IFERROR(_xlfn.LET(_xlpm.Site,$B91,_xlpm.ActDate,_xlfn.XLOOKUP(_xlpm.Site,tblSites[Site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91:INDEX($1:$1048576,ROW(),COLUMN()-1))),_xlpm.Remaining,MAX(0,_xlpm.MaxPts-_xlpm.PriorEnrolled),IF(OR(_xlpm.ActDate="",EOMONTH(R$5,0)&lt;_xlpm.StartDate,_xlpm.Remaining&lt;=0),0,MIN(_xlpm.MonthlyEnroll,_xlpm.Remaining))),0))</f>
        <v/>
      </c>
      <c r="S91" s="9" t="str">
        <f>IF($B91="","",IFERROR(_xlfn.LET(_xlpm.Site,$B91,_xlpm.ActDate,_xlfn.XLOOKUP(_xlpm.Site,tblSites[Max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91:INDEX($1:$1048576,ROW(),COLUMN()-1))),_xlpm.Remaining,MAX(0,_xlpm.MaxPts-_xlpm.PriorEnrolled),IF(OR(_xlpm.ActDate="",EOMONTH(S$5,0)&lt;_xlpm.StartDate,_xlpm.Remaining&lt;=0),0,MIN(_xlpm.MonthlyEnroll,_xlpm.Remaining))),0))</f>
        <v/>
      </c>
      <c r="T91" s="9" t="str">
        <f>IF($B91="","",IFERROR(_xlfn.LET(_xlpm.Site,$B91,_xlpm.ActDate,_xlfn.XLOOKUP(_xlpm.Site,tblSites[Current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91:INDEX($1:$1048576,ROW(),COLUMN()-1))),_xlpm.Remaining,MAX(0,_xlpm.MaxPts-_xlpm.PriorEnrolled),IF(OR(_xlpm.ActDate="",EOMONTH(T$5,0)&lt;_xlpm.StartDate,_xlpm.Remaining&lt;=0),0,MIN(_xlpm.MonthlyEnroll,_xlpm.Remaining))),0))</f>
        <v/>
      </c>
      <c r="U91" s="9" t="str">
        <f>IF($B91="","",IFERROR(_xlfn.LET(_xlpm.Site,$B91,_xlpm.ActDate,_xlfn.XLOOKUP(_xlpm.Site,tblSites[Include?],tblSites[Scenario?],""),_xlpm.ScreenDays,N('Study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91:INDEX($1:$1048576,ROW(),COLUMN()-1))),_xlpm.Remaining,MAX(0,_xlpm.MaxPts-_xlpm.PriorEnrolled),IF(OR(_xlpm.ActDate="",EOMONTH(U$5,0)&lt;_xlpm.StartDate,_xlpm.Remaining&lt;=0),0,MIN(_xlpm.MonthlyEnroll,_xlpm.Remaining))),0))</f>
        <v/>
      </c>
      <c r="V91" s="9" t="str">
        <f>IF($B91="","",IFERROR(_xlfn.LET(_xlpm.Site,$B91,_xlpm.ActDate,_xlfn.XLOOKUP(_xlpm.Site,tblSites[Scenario?],tblSites[Check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91:INDEX($1:$1048576,ROW(),COLUMN()-1))),_xlpm.Remaining,MAX(0,_xlpm.MaxPts-_xlpm.PriorEnrolled),IF(OR(_xlpm.ActDate="",EOMONTH(V$5,0)&lt;_xlpm.StartDate,_xlpm.Remaining&lt;=0),0,MIN(_xlpm.MonthlyEnroll,_xlpm.Remaining))),0))</f>
        <v/>
      </c>
      <c r="W91" s="9" t="str">
        <f>IF($B91="","",IFERROR(_xlfn.LET(_xlpm.Site,$B91,_xlpm.ActDate,_xlfn.XLOOKUP(_xlpm.Site,tblSites[Check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91:INDEX($1:$1048576,ROW(),COLUMN()-1))),_xlpm.Remaining,MAX(0,_xlpm.MaxPts-_xlpm.PriorEnrolled),IF(OR(_xlpm.ActDate="",EOMONTH(W$5,0)&lt;_xlpm.StartDate,_xlpm.Remaining&lt;=0),0,MIN(_xlpm.MonthlyEnroll,_xlpm.Remaining))),0))</f>
        <v/>
      </c>
      <c r="X91" s="9" t="str">
        <f>IF($B91="","",IFERROR(_xlfn.LET(_xlpm.Site,$B91,_xlpm.ActDate,_xlfn.XLOOKUP(_xlpm.Site,tblSites[Site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91:INDEX($1:$1048576,ROW(),COLUMN()-1))),_xlpm.Remaining,MAX(0,_xlpm.MaxPts-_xlpm.PriorEnrolled),IF(OR(_xlpm.ActDate="",EOMONTH(X$5,0)&lt;_xlpm.StartDate,_xlpm.Remaining&lt;=0),0,MIN(_xlpm.MonthlyEnroll,_xlpm.Remaining))),0))</f>
        <v/>
      </c>
      <c r="Y91" s="9" t="str">
        <f>IF($B91="","",IFERROR(_xlfn.LET(_xlpm.Site,$B91,_xlpm.ActDate,_xlfn.XLOOKUP(_xlpm.Site,#REF!,tblSites[Country],""),_xlpm.ScreenDays,N('Study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91:INDEX($1:$1048576,ROW(),COLUMN()-1))),_xlpm.Remaining,MAX(0,_xlpm.MaxPts-_xlpm.PriorEnrolled),IF(OR(_xlpm.ActDate="",EOMONTH(Y$5,0)&lt;_xlpm.StartDate,_xlpm.Remaining&lt;=0),0,MIN(_xlpm.MonthlyEnroll,_xlpm.Remaining))),0))</f>
        <v/>
      </c>
      <c r="Z91" s="9" t="str">
        <f>IF($B91="","",IFERROR(_xlfn.LET(_xlpm.Site,$B91,_xlpm.ActDate,_xlfn.XLOOKUP(_xlpm.Site,tblSites[Country],tblSites[Site],""),_xlpm.ScreenDays,N('Study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91:INDEX($1:$1048576,ROW(),COLUMN()-1))),_xlpm.Remaining,MAX(0,_xlpm.MaxPts-_xlpm.PriorEnrolled),IF(OR(_xlpm.ActDate="",EOMONTH(Z$5,0)&lt;_xlpm.StartDate,_xlpm.Remaining&lt;=0),0,MIN(_xlpm.MonthlyEnroll,_xlpm.Remaining))),0))</f>
        <v/>
      </c>
      <c r="AA91" s="9" t="str">
        <f>IF($B91="","",IFERROR(_xlfn.LET(_xlpm.Site,$B91,_xlpm.ActDate,_xlfn.XLOOKUP(_xlpm.Site,tblSites[Site],tblSites[Site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91:INDEX($1:$1048576,ROW(),COLUMN()-1))),_xlpm.Remaining,MAX(0,_xlpm.MaxPts-_xlpm.PriorEnrolled),IF(OR(_xlpm.ActDate="",EOMONTH(AA$5,0)&lt;_xlpm.StartDate,_xlpm.Remaining&lt;=0),0,MIN(_xlpm.MonthlyEnroll,_xlpm.Remaining))),0))</f>
        <v/>
      </c>
      <c r="AB91" s="9" t="str">
        <f>IF($B91="","",IFERROR(_xlfn.LET(_xlpm.Site,$B91,_xlpm.ActDate,_xlfn.XLOOKUP(_xlpm.Site,tblSites[Site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91:INDEX($1:$1048576,ROW(),COLUMN()-1))),_xlpm.Remaining,MAX(0,_xlpm.MaxPts-_xlpm.PriorEnrolled),IF(OR(_xlpm.ActDate="",EOMONTH(AB$5,0)&lt;_xlpm.StartDate,_xlpm.Remaining&lt;=0),0,MIN(_xlpm.MonthlyEnroll,_xlpm.Remaining))),0))</f>
        <v/>
      </c>
      <c r="AC91" s="9" t="str">
        <f>IF($B91="","",IFERROR(_xlfn.LET(_xlpm.Site,$B91,_xlpm.ActDate,_xlfn.XLOOKUP(_xlpm.Site,tblSites[Monthly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91:INDEX($1:$1048576,ROW(),COLUMN()-1))),_xlpm.Remaining,MAX(0,_xlpm.MaxPts-_xlpm.PriorEnrolled),IF(OR(_xlpm.ActDate="",EOMONTH(AC$5,0)&lt;_xlpm.StartDate,_xlpm.Remaining&lt;=0),0,MIN(_xlpm.MonthlyEnroll,_xlpm.Remaining))),0))</f>
        <v/>
      </c>
    </row>
    <row r="92" spans="3:29" x14ac:dyDescent="0.25">
      <c r="C92" s="9" cm="1">
        <f t="array" aca="1" ref="C92" ca="1">IF(C$5&lt;=TODAY(),0,IF($B92="","",IFERROR(_xlfn.LET(_xlpm.Site,$B92,_xlpm.SiteCol,INDIRECT("tblSites[Site]"),_xlpm.ActCol,INDIRECT("tblSites[Site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92" s="9" t="str">
        <f>IF($B92="","",IFERROR(_xlfn.LET(_xlpm.Site,$B92,_xlpm.ActDate,_xlfn.XLOOKUP(_xlpm.Site,tblSites[Site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92:INDEX($1:$1048576,ROW(),COLUMN()-1))),_xlpm.Remaining,MAX(0,_xlpm.MaxPts-_xlpm.PriorEnrolled),IF(OR(_xlpm.ActDate="",EOMONTH(D$5,0)&lt;_xlpm.StartDate,_xlpm.Remaining&lt;=0),0,MIN(_xlpm.MonthlyEnroll,_xlpm.Remaining))),0))</f>
        <v/>
      </c>
      <c r="E92" s="9" t="str">
        <f>IF($B92="","",IFERROR(_xlfn.LET(_xlpm.Site,$B92,_xlpm.ActDate,_xlfn.XLOOKUP(_xlpm.Site,tblSites[Monthly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92:INDEX($1:$1048576,ROW(),COLUMN()-1))),_xlpm.Remaining,MAX(0,_xlpm.MaxPts-_xlpm.PriorEnrolled),IF(OR(_xlpm.ActDate="",EOMONTH(E$5,0)&lt;_xlpm.StartDate,_xlpm.Remaining&lt;=0),0,MIN(_xlpm.MonthlyEnroll,_xlpm.Remaining))),0))</f>
        <v/>
      </c>
      <c r="F92" s="9" t="str">
        <f>IF($B92="","",IFERROR(_xlfn.LET(_xlpm.Site,$B92,_xlpm.ActDate,_xlfn.XLOOKUP(_xlpm.Site,tblSites[Site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92:INDEX($1:$1048576,ROW(),COLUMN()-1))),_xlpm.Remaining,MAX(0,_xlpm.MaxPts-_xlpm.PriorEnrolled),IF(OR(_xlpm.ActDate="",EOMONTH(F$5,0)&lt;_xlpm.StartDate,_xlpm.Remaining&lt;=0),0,MIN(_xlpm.MonthlyEnroll,_xlpm.Remaining))),0))</f>
        <v/>
      </c>
      <c r="G92" s="9" t="str">
        <f>IF($B92="","",IFERROR(_xlfn.LET(_xlpm.Site,$B92,_xlpm.ActDate,_xlfn.XLOOKUP(_xlpm.Site,tblSites[Max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92:INDEX($1:$1048576,ROW(),COLUMN()-1))),_xlpm.Remaining,MAX(0,_xlpm.MaxPts-_xlpm.PriorEnrolled),IF(OR(_xlpm.ActDate="",EOMONTH(G$5,0)&lt;_xlpm.StartDate,_xlpm.Remaining&lt;=0),0,MIN(_xlpm.MonthlyEnroll,_xlpm.Remaining))),0))</f>
        <v/>
      </c>
      <c r="H92" s="9" t="str">
        <f>IF($B92="","",IFERROR(_xlfn.LET(_xlpm.Site,$B92,_xlpm.ActDate,_xlfn.XLOOKUP(_xlpm.Site,tblSites[Current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92:INDEX($1:$1048576,ROW(),COLUMN()-1))),_xlpm.Remaining,MAX(0,_xlpm.MaxPts-_xlpm.PriorEnrolled),IF(OR(_xlpm.ActDate="",EOMONTH(H$5,0)&lt;_xlpm.StartDate,_xlpm.Remaining&lt;=0),0,MIN(_xlpm.MonthlyEnroll,_xlpm.Remaining))),0))</f>
        <v/>
      </c>
      <c r="I92" s="9" t="str">
        <f>IF($B92="","",IFERROR(_xlfn.LET(_xlpm.Site,$B92,_xlpm.ActDate,_xlfn.XLOOKUP(_xlpm.Site,tblSites[Include?],tblSites[Scenario?],""),_xlpm.ScreenDays,N('Study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92:INDEX($1:$1048576,ROW(),COLUMN()-1))),_xlpm.Remaining,MAX(0,_xlpm.MaxPts-_xlpm.PriorEnrolled),IF(OR(_xlpm.ActDate="",EOMONTH(I$5,0)&lt;_xlpm.StartDate,_xlpm.Remaining&lt;=0),0,MIN(_xlpm.MonthlyEnroll,_xlpm.Remaining))),0))</f>
        <v/>
      </c>
      <c r="J92" s="9" t="str">
        <f>IF($B92="","",IFERROR(_xlfn.LET(_xlpm.Site,$B92,_xlpm.ActDate,_xlfn.XLOOKUP(_xlpm.Site,tblSites[Scenario?],tblSites[Check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92:INDEX($1:$1048576,ROW(),COLUMN()-1))),_xlpm.Remaining,MAX(0,_xlpm.MaxPts-_xlpm.PriorEnrolled),IF(OR(_xlpm.ActDate="",EOMONTH(J$5,0)&lt;_xlpm.StartDate,_xlpm.Remaining&lt;=0),0,MIN(_xlpm.MonthlyEnroll,_xlpm.Remaining))),0))</f>
        <v/>
      </c>
      <c r="K92" s="9" t="str">
        <f>IF($B92="","",IFERROR(_xlfn.LET(_xlpm.Site,$B92,_xlpm.ActDate,_xlfn.XLOOKUP(_xlpm.Site,tblSites[Check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92:INDEX($1:$1048576,ROW(),COLUMN()-1))),_xlpm.Remaining,MAX(0,_xlpm.MaxPts-_xlpm.PriorEnrolled),IF(OR(_xlpm.ActDate="",EOMONTH(K$5,0)&lt;_xlpm.StartDate,_xlpm.Remaining&lt;=0),0,MIN(_xlpm.MonthlyEnroll,_xlpm.Remaining))),0))</f>
        <v/>
      </c>
      <c r="L92" s="9" t="str">
        <f>IF($B92="","",IFERROR(_xlfn.LET(_xlpm.Site,$B92,_xlpm.ActDate,_xlfn.XLOOKUP(_xlpm.Site,tblSites[Site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92:INDEX($1:$1048576,ROW(),COLUMN()-1))),_xlpm.Remaining,MAX(0,_xlpm.MaxPts-_xlpm.PriorEnrolled),IF(OR(_xlpm.ActDate="",EOMONTH(L$5,0)&lt;_xlpm.StartDate,_xlpm.Remaining&lt;=0),0,MIN(_xlpm.MonthlyEnroll,_xlpm.Remaining))),0))</f>
        <v/>
      </c>
      <c r="M92" s="9" t="str">
        <f>IF($B92="","",IFERROR(_xlfn.LET(_xlpm.Site,$B92,_xlpm.ActDate,_xlfn.XLOOKUP(_xlpm.Site,#REF!,tblSites[Country],""),_xlpm.ScreenDays,N('Study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92:INDEX($1:$1048576,ROW(),COLUMN()-1))),_xlpm.Remaining,MAX(0,_xlpm.MaxPts-_xlpm.PriorEnrolled),IF(OR(_xlpm.ActDate="",EOMONTH(M$5,0)&lt;_xlpm.StartDate,_xlpm.Remaining&lt;=0),0,MIN(_xlpm.MonthlyEnroll,_xlpm.Remaining))),0))</f>
        <v/>
      </c>
      <c r="N92" s="9" t="str">
        <f>IF($B92="","",IFERROR(_xlfn.LET(_xlpm.Site,$B92,_xlpm.ActDate,_xlfn.XLOOKUP(_xlpm.Site,tblSites[Country],tblSites[Site],""),_xlpm.ScreenDays,N('Study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92:INDEX($1:$1048576,ROW(),COLUMN()-1))),_xlpm.Remaining,MAX(0,_xlpm.MaxPts-_xlpm.PriorEnrolled),IF(OR(_xlpm.ActDate="",EOMONTH(N$5,0)&lt;_xlpm.StartDate,_xlpm.Remaining&lt;=0),0,MIN(_xlpm.MonthlyEnroll,_xlpm.Remaining))),0))</f>
        <v/>
      </c>
      <c r="O92" s="9" t="str">
        <f>IF($B92="","",IFERROR(_xlfn.LET(_xlpm.Site,$B92,_xlpm.ActDate,_xlfn.XLOOKUP(_xlpm.Site,tblSites[Site],tblSites[Site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92:INDEX($1:$1048576,ROW(),COLUMN()-1))),_xlpm.Remaining,MAX(0,_xlpm.MaxPts-_xlpm.PriorEnrolled),IF(OR(_xlpm.ActDate="",EOMONTH(O$5,0)&lt;_xlpm.StartDate,_xlpm.Remaining&lt;=0),0,MIN(_xlpm.MonthlyEnroll,_xlpm.Remaining))),0))</f>
        <v/>
      </c>
      <c r="P92" s="9" t="str">
        <f>IF($B92="","",IFERROR(_xlfn.LET(_xlpm.Site,$B92,_xlpm.ActDate,_xlfn.XLOOKUP(_xlpm.Site,tblSites[Site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92:INDEX($1:$1048576,ROW(),COLUMN()-1))),_xlpm.Remaining,MAX(0,_xlpm.MaxPts-_xlpm.PriorEnrolled),IF(OR(_xlpm.ActDate="",EOMONTH(P$5,0)&lt;_xlpm.StartDate,_xlpm.Remaining&lt;=0),0,MIN(_xlpm.MonthlyEnroll,_xlpm.Remaining))),0))</f>
        <v/>
      </c>
      <c r="Q92" s="9" t="str">
        <f>IF($B92="","",IFERROR(_xlfn.LET(_xlpm.Site,$B92,_xlpm.ActDate,_xlfn.XLOOKUP(_xlpm.Site,tblSites[Monthly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92:INDEX($1:$1048576,ROW(),COLUMN()-1))),_xlpm.Remaining,MAX(0,_xlpm.MaxPts-_xlpm.PriorEnrolled),IF(OR(_xlpm.ActDate="",EOMONTH(Q$5,0)&lt;_xlpm.StartDate,_xlpm.Remaining&lt;=0),0,MIN(_xlpm.MonthlyEnroll,_xlpm.Remaining))),0))</f>
        <v/>
      </c>
      <c r="R92" s="9" t="str">
        <f>IF($B92="","",IFERROR(_xlfn.LET(_xlpm.Site,$B92,_xlpm.ActDate,_xlfn.XLOOKUP(_xlpm.Site,tblSites[Site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92:INDEX($1:$1048576,ROW(),COLUMN()-1))),_xlpm.Remaining,MAX(0,_xlpm.MaxPts-_xlpm.PriorEnrolled),IF(OR(_xlpm.ActDate="",EOMONTH(R$5,0)&lt;_xlpm.StartDate,_xlpm.Remaining&lt;=0),0,MIN(_xlpm.MonthlyEnroll,_xlpm.Remaining))),0))</f>
        <v/>
      </c>
      <c r="S92" s="9" t="str">
        <f>IF($B92="","",IFERROR(_xlfn.LET(_xlpm.Site,$B92,_xlpm.ActDate,_xlfn.XLOOKUP(_xlpm.Site,tblSites[Max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92:INDEX($1:$1048576,ROW(),COLUMN()-1))),_xlpm.Remaining,MAX(0,_xlpm.MaxPts-_xlpm.PriorEnrolled),IF(OR(_xlpm.ActDate="",EOMONTH(S$5,0)&lt;_xlpm.StartDate,_xlpm.Remaining&lt;=0),0,MIN(_xlpm.MonthlyEnroll,_xlpm.Remaining))),0))</f>
        <v/>
      </c>
      <c r="T92" s="9" t="str">
        <f>IF($B92="","",IFERROR(_xlfn.LET(_xlpm.Site,$B92,_xlpm.ActDate,_xlfn.XLOOKUP(_xlpm.Site,tblSites[Current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92:INDEX($1:$1048576,ROW(),COLUMN()-1))),_xlpm.Remaining,MAX(0,_xlpm.MaxPts-_xlpm.PriorEnrolled),IF(OR(_xlpm.ActDate="",EOMONTH(T$5,0)&lt;_xlpm.StartDate,_xlpm.Remaining&lt;=0),0,MIN(_xlpm.MonthlyEnroll,_xlpm.Remaining))),0))</f>
        <v/>
      </c>
      <c r="U92" s="9" t="str">
        <f>IF($B92="","",IFERROR(_xlfn.LET(_xlpm.Site,$B92,_xlpm.ActDate,_xlfn.XLOOKUP(_xlpm.Site,tblSites[Include?],tblSites[Scenario?],""),_xlpm.ScreenDays,N('Study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92:INDEX($1:$1048576,ROW(),COLUMN()-1))),_xlpm.Remaining,MAX(0,_xlpm.MaxPts-_xlpm.PriorEnrolled),IF(OR(_xlpm.ActDate="",EOMONTH(U$5,0)&lt;_xlpm.StartDate,_xlpm.Remaining&lt;=0),0,MIN(_xlpm.MonthlyEnroll,_xlpm.Remaining))),0))</f>
        <v/>
      </c>
      <c r="V92" s="9" t="str">
        <f>IF($B92="","",IFERROR(_xlfn.LET(_xlpm.Site,$B92,_xlpm.ActDate,_xlfn.XLOOKUP(_xlpm.Site,tblSites[Scenario?],tblSites[Check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92:INDEX($1:$1048576,ROW(),COLUMN()-1))),_xlpm.Remaining,MAX(0,_xlpm.MaxPts-_xlpm.PriorEnrolled),IF(OR(_xlpm.ActDate="",EOMONTH(V$5,0)&lt;_xlpm.StartDate,_xlpm.Remaining&lt;=0),0,MIN(_xlpm.MonthlyEnroll,_xlpm.Remaining))),0))</f>
        <v/>
      </c>
      <c r="W92" s="9" t="str">
        <f>IF($B92="","",IFERROR(_xlfn.LET(_xlpm.Site,$B92,_xlpm.ActDate,_xlfn.XLOOKUP(_xlpm.Site,tblSites[Check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92:INDEX($1:$1048576,ROW(),COLUMN()-1))),_xlpm.Remaining,MAX(0,_xlpm.MaxPts-_xlpm.PriorEnrolled),IF(OR(_xlpm.ActDate="",EOMONTH(W$5,0)&lt;_xlpm.StartDate,_xlpm.Remaining&lt;=0),0,MIN(_xlpm.MonthlyEnroll,_xlpm.Remaining))),0))</f>
        <v/>
      </c>
      <c r="X92" s="9" t="str">
        <f>IF($B92="","",IFERROR(_xlfn.LET(_xlpm.Site,$B92,_xlpm.ActDate,_xlfn.XLOOKUP(_xlpm.Site,tblSites[Site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92:INDEX($1:$1048576,ROW(),COLUMN()-1))),_xlpm.Remaining,MAX(0,_xlpm.MaxPts-_xlpm.PriorEnrolled),IF(OR(_xlpm.ActDate="",EOMONTH(X$5,0)&lt;_xlpm.StartDate,_xlpm.Remaining&lt;=0),0,MIN(_xlpm.MonthlyEnroll,_xlpm.Remaining))),0))</f>
        <v/>
      </c>
      <c r="Y92" s="9" t="str">
        <f>IF($B92="","",IFERROR(_xlfn.LET(_xlpm.Site,$B92,_xlpm.ActDate,_xlfn.XLOOKUP(_xlpm.Site,#REF!,tblSites[Country],""),_xlpm.ScreenDays,N('Study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92:INDEX($1:$1048576,ROW(),COLUMN()-1))),_xlpm.Remaining,MAX(0,_xlpm.MaxPts-_xlpm.PriorEnrolled),IF(OR(_xlpm.ActDate="",EOMONTH(Y$5,0)&lt;_xlpm.StartDate,_xlpm.Remaining&lt;=0),0,MIN(_xlpm.MonthlyEnroll,_xlpm.Remaining))),0))</f>
        <v/>
      </c>
      <c r="Z92" s="9" t="str">
        <f>IF($B92="","",IFERROR(_xlfn.LET(_xlpm.Site,$B92,_xlpm.ActDate,_xlfn.XLOOKUP(_xlpm.Site,tblSites[Country],tblSites[Site],""),_xlpm.ScreenDays,N('Study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92:INDEX($1:$1048576,ROW(),COLUMN()-1))),_xlpm.Remaining,MAX(0,_xlpm.MaxPts-_xlpm.PriorEnrolled),IF(OR(_xlpm.ActDate="",EOMONTH(Z$5,0)&lt;_xlpm.StartDate,_xlpm.Remaining&lt;=0),0,MIN(_xlpm.MonthlyEnroll,_xlpm.Remaining))),0))</f>
        <v/>
      </c>
      <c r="AA92" s="9" t="str">
        <f>IF($B92="","",IFERROR(_xlfn.LET(_xlpm.Site,$B92,_xlpm.ActDate,_xlfn.XLOOKUP(_xlpm.Site,tblSites[Site],tblSites[Site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92:INDEX($1:$1048576,ROW(),COLUMN()-1))),_xlpm.Remaining,MAX(0,_xlpm.MaxPts-_xlpm.PriorEnrolled),IF(OR(_xlpm.ActDate="",EOMONTH(AA$5,0)&lt;_xlpm.StartDate,_xlpm.Remaining&lt;=0),0,MIN(_xlpm.MonthlyEnroll,_xlpm.Remaining))),0))</f>
        <v/>
      </c>
      <c r="AB92" s="9" t="str">
        <f>IF($B92="","",IFERROR(_xlfn.LET(_xlpm.Site,$B92,_xlpm.ActDate,_xlfn.XLOOKUP(_xlpm.Site,tblSites[Site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92:INDEX($1:$1048576,ROW(),COLUMN()-1))),_xlpm.Remaining,MAX(0,_xlpm.MaxPts-_xlpm.PriorEnrolled),IF(OR(_xlpm.ActDate="",EOMONTH(AB$5,0)&lt;_xlpm.StartDate,_xlpm.Remaining&lt;=0),0,MIN(_xlpm.MonthlyEnroll,_xlpm.Remaining))),0))</f>
        <v/>
      </c>
      <c r="AC92" s="9" t="str">
        <f>IF($B92="","",IFERROR(_xlfn.LET(_xlpm.Site,$B92,_xlpm.ActDate,_xlfn.XLOOKUP(_xlpm.Site,tblSites[Monthly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92:INDEX($1:$1048576,ROW(),COLUMN()-1))),_xlpm.Remaining,MAX(0,_xlpm.MaxPts-_xlpm.PriorEnrolled),IF(OR(_xlpm.ActDate="",EOMONTH(AC$5,0)&lt;_xlpm.StartDate,_xlpm.Remaining&lt;=0),0,MIN(_xlpm.MonthlyEnroll,_xlpm.Remaining))),0))</f>
        <v/>
      </c>
    </row>
    <row r="93" spans="3:29" x14ac:dyDescent="0.25">
      <c r="C93" s="9" cm="1">
        <f t="array" aca="1" ref="C93" ca="1">IF(C$5&lt;=TODAY(),0,IF($B93="","",IFERROR(_xlfn.LET(_xlpm.Site,$B93,_xlpm.SiteCol,INDIRECT("tblSites[Site]"),_xlpm.ActCol,INDIRECT("tblSites[Site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93" s="9" t="str">
        <f>IF($B93="","",IFERROR(_xlfn.LET(_xlpm.Site,$B93,_xlpm.ActDate,_xlfn.XLOOKUP(_xlpm.Site,tblSites[Site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93:INDEX($1:$1048576,ROW(),COLUMN()-1))),_xlpm.Remaining,MAX(0,_xlpm.MaxPts-_xlpm.PriorEnrolled),IF(OR(_xlpm.ActDate="",EOMONTH(D$5,0)&lt;_xlpm.StartDate,_xlpm.Remaining&lt;=0),0,MIN(_xlpm.MonthlyEnroll,_xlpm.Remaining))),0))</f>
        <v/>
      </c>
      <c r="E93" s="9" t="str">
        <f>IF($B93="","",IFERROR(_xlfn.LET(_xlpm.Site,$B93,_xlpm.ActDate,_xlfn.XLOOKUP(_xlpm.Site,tblSites[Monthly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93:INDEX($1:$1048576,ROW(),COLUMN()-1))),_xlpm.Remaining,MAX(0,_xlpm.MaxPts-_xlpm.PriorEnrolled),IF(OR(_xlpm.ActDate="",EOMONTH(E$5,0)&lt;_xlpm.StartDate,_xlpm.Remaining&lt;=0),0,MIN(_xlpm.MonthlyEnroll,_xlpm.Remaining))),0))</f>
        <v/>
      </c>
      <c r="F93" s="9" t="str">
        <f>IF($B93="","",IFERROR(_xlfn.LET(_xlpm.Site,$B93,_xlpm.ActDate,_xlfn.XLOOKUP(_xlpm.Site,tblSites[Site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93:INDEX($1:$1048576,ROW(),COLUMN()-1))),_xlpm.Remaining,MAX(0,_xlpm.MaxPts-_xlpm.PriorEnrolled),IF(OR(_xlpm.ActDate="",EOMONTH(F$5,0)&lt;_xlpm.StartDate,_xlpm.Remaining&lt;=0),0,MIN(_xlpm.MonthlyEnroll,_xlpm.Remaining))),0))</f>
        <v/>
      </c>
      <c r="G93" s="9" t="str">
        <f>IF($B93="","",IFERROR(_xlfn.LET(_xlpm.Site,$B93,_xlpm.ActDate,_xlfn.XLOOKUP(_xlpm.Site,tblSites[Max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93:INDEX($1:$1048576,ROW(),COLUMN()-1))),_xlpm.Remaining,MAX(0,_xlpm.MaxPts-_xlpm.PriorEnrolled),IF(OR(_xlpm.ActDate="",EOMONTH(G$5,0)&lt;_xlpm.StartDate,_xlpm.Remaining&lt;=0),0,MIN(_xlpm.MonthlyEnroll,_xlpm.Remaining))),0))</f>
        <v/>
      </c>
      <c r="H93" s="9" t="str">
        <f>IF($B93="","",IFERROR(_xlfn.LET(_xlpm.Site,$B93,_xlpm.ActDate,_xlfn.XLOOKUP(_xlpm.Site,tblSites[Current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93:INDEX($1:$1048576,ROW(),COLUMN()-1))),_xlpm.Remaining,MAX(0,_xlpm.MaxPts-_xlpm.PriorEnrolled),IF(OR(_xlpm.ActDate="",EOMONTH(H$5,0)&lt;_xlpm.StartDate,_xlpm.Remaining&lt;=0),0,MIN(_xlpm.MonthlyEnroll,_xlpm.Remaining))),0))</f>
        <v/>
      </c>
      <c r="I93" s="9" t="str">
        <f>IF($B93="","",IFERROR(_xlfn.LET(_xlpm.Site,$B93,_xlpm.ActDate,_xlfn.XLOOKUP(_xlpm.Site,tblSites[Include?],tblSites[Scenario?],""),_xlpm.ScreenDays,N('Study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93:INDEX($1:$1048576,ROW(),COLUMN()-1))),_xlpm.Remaining,MAX(0,_xlpm.MaxPts-_xlpm.PriorEnrolled),IF(OR(_xlpm.ActDate="",EOMONTH(I$5,0)&lt;_xlpm.StartDate,_xlpm.Remaining&lt;=0),0,MIN(_xlpm.MonthlyEnroll,_xlpm.Remaining))),0))</f>
        <v/>
      </c>
      <c r="J93" s="9" t="str">
        <f>IF($B93="","",IFERROR(_xlfn.LET(_xlpm.Site,$B93,_xlpm.ActDate,_xlfn.XLOOKUP(_xlpm.Site,tblSites[Scenario?],tblSites[Check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93:INDEX($1:$1048576,ROW(),COLUMN()-1))),_xlpm.Remaining,MAX(0,_xlpm.MaxPts-_xlpm.PriorEnrolled),IF(OR(_xlpm.ActDate="",EOMONTH(J$5,0)&lt;_xlpm.StartDate,_xlpm.Remaining&lt;=0),0,MIN(_xlpm.MonthlyEnroll,_xlpm.Remaining))),0))</f>
        <v/>
      </c>
      <c r="K93" s="9" t="str">
        <f>IF($B93="","",IFERROR(_xlfn.LET(_xlpm.Site,$B93,_xlpm.ActDate,_xlfn.XLOOKUP(_xlpm.Site,tblSites[Check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93:INDEX($1:$1048576,ROW(),COLUMN()-1))),_xlpm.Remaining,MAX(0,_xlpm.MaxPts-_xlpm.PriorEnrolled),IF(OR(_xlpm.ActDate="",EOMONTH(K$5,0)&lt;_xlpm.StartDate,_xlpm.Remaining&lt;=0),0,MIN(_xlpm.MonthlyEnroll,_xlpm.Remaining))),0))</f>
        <v/>
      </c>
      <c r="L93" s="9" t="str">
        <f>IF($B93="","",IFERROR(_xlfn.LET(_xlpm.Site,$B93,_xlpm.ActDate,_xlfn.XLOOKUP(_xlpm.Site,tblSites[Site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93:INDEX($1:$1048576,ROW(),COLUMN()-1))),_xlpm.Remaining,MAX(0,_xlpm.MaxPts-_xlpm.PriorEnrolled),IF(OR(_xlpm.ActDate="",EOMONTH(L$5,0)&lt;_xlpm.StartDate,_xlpm.Remaining&lt;=0),0,MIN(_xlpm.MonthlyEnroll,_xlpm.Remaining))),0))</f>
        <v/>
      </c>
      <c r="M93" s="9" t="str">
        <f>IF($B93="","",IFERROR(_xlfn.LET(_xlpm.Site,$B93,_xlpm.ActDate,_xlfn.XLOOKUP(_xlpm.Site,#REF!,tblSites[Country],""),_xlpm.ScreenDays,N('Study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93:INDEX($1:$1048576,ROW(),COLUMN()-1))),_xlpm.Remaining,MAX(0,_xlpm.MaxPts-_xlpm.PriorEnrolled),IF(OR(_xlpm.ActDate="",EOMONTH(M$5,0)&lt;_xlpm.StartDate,_xlpm.Remaining&lt;=0),0,MIN(_xlpm.MonthlyEnroll,_xlpm.Remaining))),0))</f>
        <v/>
      </c>
      <c r="N93" s="9" t="str">
        <f>IF($B93="","",IFERROR(_xlfn.LET(_xlpm.Site,$B93,_xlpm.ActDate,_xlfn.XLOOKUP(_xlpm.Site,tblSites[Country],tblSites[Site],""),_xlpm.ScreenDays,N('Study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93:INDEX($1:$1048576,ROW(),COLUMN()-1))),_xlpm.Remaining,MAX(0,_xlpm.MaxPts-_xlpm.PriorEnrolled),IF(OR(_xlpm.ActDate="",EOMONTH(N$5,0)&lt;_xlpm.StartDate,_xlpm.Remaining&lt;=0),0,MIN(_xlpm.MonthlyEnroll,_xlpm.Remaining))),0))</f>
        <v/>
      </c>
      <c r="O93" s="9" t="str">
        <f>IF($B93="","",IFERROR(_xlfn.LET(_xlpm.Site,$B93,_xlpm.ActDate,_xlfn.XLOOKUP(_xlpm.Site,tblSites[Site],tblSites[Site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93:INDEX($1:$1048576,ROW(),COLUMN()-1))),_xlpm.Remaining,MAX(0,_xlpm.MaxPts-_xlpm.PriorEnrolled),IF(OR(_xlpm.ActDate="",EOMONTH(O$5,0)&lt;_xlpm.StartDate,_xlpm.Remaining&lt;=0),0,MIN(_xlpm.MonthlyEnroll,_xlpm.Remaining))),0))</f>
        <v/>
      </c>
      <c r="P93" s="9" t="str">
        <f>IF($B93="","",IFERROR(_xlfn.LET(_xlpm.Site,$B93,_xlpm.ActDate,_xlfn.XLOOKUP(_xlpm.Site,tblSites[Site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93:INDEX($1:$1048576,ROW(),COLUMN()-1))),_xlpm.Remaining,MAX(0,_xlpm.MaxPts-_xlpm.PriorEnrolled),IF(OR(_xlpm.ActDate="",EOMONTH(P$5,0)&lt;_xlpm.StartDate,_xlpm.Remaining&lt;=0),0,MIN(_xlpm.MonthlyEnroll,_xlpm.Remaining))),0))</f>
        <v/>
      </c>
      <c r="Q93" s="9" t="str">
        <f>IF($B93="","",IFERROR(_xlfn.LET(_xlpm.Site,$B93,_xlpm.ActDate,_xlfn.XLOOKUP(_xlpm.Site,tblSites[Monthly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93:INDEX($1:$1048576,ROW(),COLUMN()-1))),_xlpm.Remaining,MAX(0,_xlpm.MaxPts-_xlpm.PriorEnrolled),IF(OR(_xlpm.ActDate="",EOMONTH(Q$5,0)&lt;_xlpm.StartDate,_xlpm.Remaining&lt;=0),0,MIN(_xlpm.MonthlyEnroll,_xlpm.Remaining))),0))</f>
        <v/>
      </c>
      <c r="R93" s="9" t="str">
        <f>IF($B93="","",IFERROR(_xlfn.LET(_xlpm.Site,$B93,_xlpm.ActDate,_xlfn.XLOOKUP(_xlpm.Site,tblSites[Site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93:INDEX($1:$1048576,ROW(),COLUMN()-1))),_xlpm.Remaining,MAX(0,_xlpm.MaxPts-_xlpm.PriorEnrolled),IF(OR(_xlpm.ActDate="",EOMONTH(R$5,0)&lt;_xlpm.StartDate,_xlpm.Remaining&lt;=0),0,MIN(_xlpm.MonthlyEnroll,_xlpm.Remaining))),0))</f>
        <v/>
      </c>
      <c r="S93" s="9" t="str">
        <f>IF($B93="","",IFERROR(_xlfn.LET(_xlpm.Site,$B93,_xlpm.ActDate,_xlfn.XLOOKUP(_xlpm.Site,tblSites[Max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93:INDEX($1:$1048576,ROW(),COLUMN()-1))),_xlpm.Remaining,MAX(0,_xlpm.MaxPts-_xlpm.PriorEnrolled),IF(OR(_xlpm.ActDate="",EOMONTH(S$5,0)&lt;_xlpm.StartDate,_xlpm.Remaining&lt;=0),0,MIN(_xlpm.MonthlyEnroll,_xlpm.Remaining))),0))</f>
        <v/>
      </c>
      <c r="T93" s="9" t="str">
        <f>IF($B93="","",IFERROR(_xlfn.LET(_xlpm.Site,$B93,_xlpm.ActDate,_xlfn.XLOOKUP(_xlpm.Site,tblSites[Current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93:INDEX($1:$1048576,ROW(),COLUMN()-1))),_xlpm.Remaining,MAX(0,_xlpm.MaxPts-_xlpm.PriorEnrolled),IF(OR(_xlpm.ActDate="",EOMONTH(T$5,0)&lt;_xlpm.StartDate,_xlpm.Remaining&lt;=0),0,MIN(_xlpm.MonthlyEnroll,_xlpm.Remaining))),0))</f>
        <v/>
      </c>
      <c r="U93" s="9" t="str">
        <f>IF($B93="","",IFERROR(_xlfn.LET(_xlpm.Site,$B93,_xlpm.ActDate,_xlfn.XLOOKUP(_xlpm.Site,tblSites[Include?],tblSites[Scenario?],""),_xlpm.ScreenDays,N('Study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93:INDEX($1:$1048576,ROW(),COLUMN()-1))),_xlpm.Remaining,MAX(0,_xlpm.MaxPts-_xlpm.PriorEnrolled),IF(OR(_xlpm.ActDate="",EOMONTH(U$5,0)&lt;_xlpm.StartDate,_xlpm.Remaining&lt;=0),0,MIN(_xlpm.MonthlyEnroll,_xlpm.Remaining))),0))</f>
        <v/>
      </c>
      <c r="V93" s="9" t="str">
        <f>IF($B93="","",IFERROR(_xlfn.LET(_xlpm.Site,$B93,_xlpm.ActDate,_xlfn.XLOOKUP(_xlpm.Site,tblSites[Scenario?],tblSites[Check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93:INDEX($1:$1048576,ROW(),COLUMN()-1))),_xlpm.Remaining,MAX(0,_xlpm.MaxPts-_xlpm.PriorEnrolled),IF(OR(_xlpm.ActDate="",EOMONTH(V$5,0)&lt;_xlpm.StartDate,_xlpm.Remaining&lt;=0),0,MIN(_xlpm.MonthlyEnroll,_xlpm.Remaining))),0))</f>
        <v/>
      </c>
      <c r="W93" s="9" t="str">
        <f>IF($B93="","",IFERROR(_xlfn.LET(_xlpm.Site,$B93,_xlpm.ActDate,_xlfn.XLOOKUP(_xlpm.Site,tblSites[Check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93:INDEX($1:$1048576,ROW(),COLUMN()-1))),_xlpm.Remaining,MAX(0,_xlpm.MaxPts-_xlpm.PriorEnrolled),IF(OR(_xlpm.ActDate="",EOMONTH(W$5,0)&lt;_xlpm.StartDate,_xlpm.Remaining&lt;=0),0,MIN(_xlpm.MonthlyEnroll,_xlpm.Remaining))),0))</f>
        <v/>
      </c>
      <c r="X93" s="9" t="str">
        <f>IF($B93="","",IFERROR(_xlfn.LET(_xlpm.Site,$B93,_xlpm.ActDate,_xlfn.XLOOKUP(_xlpm.Site,tblSites[Site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93:INDEX($1:$1048576,ROW(),COLUMN()-1))),_xlpm.Remaining,MAX(0,_xlpm.MaxPts-_xlpm.PriorEnrolled),IF(OR(_xlpm.ActDate="",EOMONTH(X$5,0)&lt;_xlpm.StartDate,_xlpm.Remaining&lt;=0),0,MIN(_xlpm.MonthlyEnroll,_xlpm.Remaining))),0))</f>
        <v/>
      </c>
      <c r="Y93" s="9" t="str">
        <f>IF($B93="","",IFERROR(_xlfn.LET(_xlpm.Site,$B93,_xlpm.ActDate,_xlfn.XLOOKUP(_xlpm.Site,#REF!,tblSites[Country],""),_xlpm.ScreenDays,N('Study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93:INDEX($1:$1048576,ROW(),COLUMN()-1))),_xlpm.Remaining,MAX(0,_xlpm.MaxPts-_xlpm.PriorEnrolled),IF(OR(_xlpm.ActDate="",EOMONTH(Y$5,0)&lt;_xlpm.StartDate,_xlpm.Remaining&lt;=0),0,MIN(_xlpm.MonthlyEnroll,_xlpm.Remaining))),0))</f>
        <v/>
      </c>
      <c r="Z93" s="9" t="str">
        <f>IF($B93="","",IFERROR(_xlfn.LET(_xlpm.Site,$B93,_xlpm.ActDate,_xlfn.XLOOKUP(_xlpm.Site,tblSites[Country],tblSites[Site],""),_xlpm.ScreenDays,N('Study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93:INDEX($1:$1048576,ROW(),COLUMN()-1))),_xlpm.Remaining,MAX(0,_xlpm.MaxPts-_xlpm.PriorEnrolled),IF(OR(_xlpm.ActDate="",EOMONTH(Z$5,0)&lt;_xlpm.StartDate,_xlpm.Remaining&lt;=0),0,MIN(_xlpm.MonthlyEnroll,_xlpm.Remaining))),0))</f>
        <v/>
      </c>
      <c r="AA93" s="9" t="str">
        <f>IF($B93="","",IFERROR(_xlfn.LET(_xlpm.Site,$B93,_xlpm.ActDate,_xlfn.XLOOKUP(_xlpm.Site,tblSites[Site],tblSites[Site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93:INDEX($1:$1048576,ROW(),COLUMN()-1))),_xlpm.Remaining,MAX(0,_xlpm.MaxPts-_xlpm.PriorEnrolled),IF(OR(_xlpm.ActDate="",EOMONTH(AA$5,0)&lt;_xlpm.StartDate,_xlpm.Remaining&lt;=0),0,MIN(_xlpm.MonthlyEnroll,_xlpm.Remaining))),0))</f>
        <v/>
      </c>
      <c r="AB93" s="9" t="str">
        <f>IF($B93="","",IFERROR(_xlfn.LET(_xlpm.Site,$B93,_xlpm.ActDate,_xlfn.XLOOKUP(_xlpm.Site,tblSites[Site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93:INDEX($1:$1048576,ROW(),COLUMN()-1))),_xlpm.Remaining,MAX(0,_xlpm.MaxPts-_xlpm.PriorEnrolled),IF(OR(_xlpm.ActDate="",EOMONTH(AB$5,0)&lt;_xlpm.StartDate,_xlpm.Remaining&lt;=0),0,MIN(_xlpm.MonthlyEnroll,_xlpm.Remaining))),0))</f>
        <v/>
      </c>
      <c r="AC93" s="9" t="str">
        <f>IF($B93="","",IFERROR(_xlfn.LET(_xlpm.Site,$B93,_xlpm.ActDate,_xlfn.XLOOKUP(_xlpm.Site,tblSites[Monthly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93:INDEX($1:$1048576,ROW(),COLUMN()-1))),_xlpm.Remaining,MAX(0,_xlpm.MaxPts-_xlpm.PriorEnrolled),IF(OR(_xlpm.ActDate="",EOMONTH(AC$5,0)&lt;_xlpm.StartDate,_xlpm.Remaining&lt;=0),0,MIN(_xlpm.MonthlyEnroll,_xlpm.Remaining))),0))</f>
        <v/>
      </c>
    </row>
    <row r="94" spans="3:29" x14ac:dyDescent="0.25">
      <c r="C94" s="9" cm="1">
        <f t="array" aca="1" ref="C94" ca="1">IF(C$5&lt;=TODAY(),0,IF($B94="","",IFERROR(_xlfn.LET(_xlpm.Site,$B94,_xlpm.SiteCol,INDIRECT("tblSites[Site]"),_xlpm.ActCol,INDIRECT("tblSites[Site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94" s="9" t="str">
        <f>IF($B94="","",IFERROR(_xlfn.LET(_xlpm.Site,$B94,_xlpm.ActDate,_xlfn.XLOOKUP(_xlpm.Site,tblSites[Site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94:INDEX($1:$1048576,ROW(),COLUMN()-1))),_xlpm.Remaining,MAX(0,_xlpm.MaxPts-_xlpm.PriorEnrolled),IF(OR(_xlpm.ActDate="",EOMONTH(D$5,0)&lt;_xlpm.StartDate,_xlpm.Remaining&lt;=0),0,MIN(_xlpm.MonthlyEnroll,_xlpm.Remaining))),0))</f>
        <v/>
      </c>
      <c r="E94" s="9" t="str">
        <f>IF($B94="","",IFERROR(_xlfn.LET(_xlpm.Site,$B94,_xlpm.ActDate,_xlfn.XLOOKUP(_xlpm.Site,tblSites[Monthly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94:INDEX($1:$1048576,ROW(),COLUMN()-1))),_xlpm.Remaining,MAX(0,_xlpm.MaxPts-_xlpm.PriorEnrolled),IF(OR(_xlpm.ActDate="",EOMONTH(E$5,0)&lt;_xlpm.StartDate,_xlpm.Remaining&lt;=0),0,MIN(_xlpm.MonthlyEnroll,_xlpm.Remaining))),0))</f>
        <v/>
      </c>
      <c r="F94" s="9" t="str">
        <f>IF($B94="","",IFERROR(_xlfn.LET(_xlpm.Site,$B94,_xlpm.ActDate,_xlfn.XLOOKUP(_xlpm.Site,tblSites[Site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94:INDEX($1:$1048576,ROW(),COLUMN()-1))),_xlpm.Remaining,MAX(0,_xlpm.MaxPts-_xlpm.PriorEnrolled),IF(OR(_xlpm.ActDate="",EOMONTH(F$5,0)&lt;_xlpm.StartDate,_xlpm.Remaining&lt;=0),0,MIN(_xlpm.MonthlyEnroll,_xlpm.Remaining))),0))</f>
        <v/>
      </c>
      <c r="G94" s="9" t="str">
        <f>IF($B94="","",IFERROR(_xlfn.LET(_xlpm.Site,$B94,_xlpm.ActDate,_xlfn.XLOOKUP(_xlpm.Site,tblSites[Max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94:INDEX($1:$1048576,ROW(),COLUMN()-1))),_xlpm.Remaining,MAX(0,_xlpm.MaxPts-_xlpm.PriorEnrolled),IF(OR(_xlpm.ActDate="",EOMONTH(G$5,0)&lt;_xlpm.StartDate,_xlpm.Remaining&lt;=0),0,MIN(_xlpm.MonthlyEnroll,_xlpm.Remaining))),0))</f>
        <v/>
      </c>
      <c r="H94" s="9" t="str">
        <f>IF($B94="","",IFERROR(_xlfn.LET(_xlpm.Site,$B94,_xlpm.ActDate,_xlfn.XLOOKUP(_xlpm.Site,tblSites[Current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94:INDEX($1:$1048576,ROW(),COLUMN()-1))),_xlpm.Remaining,MAX(0,_xlpm.MaxPts-_xlpm.PriorEnrolled),IF(OR(_xlpm.ActDate="",EOMONTH(H$5,0)&lt;_xlpm.StartDate,_xlpm.Remaining&lt;=0),0,MIN(_xlpm.MonthlyEnroll,_xlpm.Remaining))),0))</f>
        <v/>
      </c>
      <c r="I94" s="9" t="str">
        <f>IF($B94="","",IFERROR(_xlfn.LET(_xlpm.Site,$B94,_xlpm.ActDate,_xlfn.XLOOKUP(_xlpm.Site,tblSites[Include?],tblSites[Scenario?],""),_xlpm.ScreenDays,N('Study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94:INDEX($1:$1048576,ROW(),COLUMN()-1))),_xlpm.Remaining,MAX(0,_xlpm.MaxPts-_xlpm.PriorEnrolled),IF(OR(_xlpm.ActDate="",EOMONTH(I$5,0)&lt;_xlpm.StartDate,_xlpm.Remaining&lt;=0),0,MIN(_xlpm.MonthlyEnroll,_xlpm.Remaining))),0))</f>
        <v/>
      </c>
      <c r="J94" s="9" t="str">
        <f>IF($B94="","",IFERROR(_xlfn.LET(_xlpm.Site,$B94,_xlpm.ActDate,_xlfn.XLOOKUP(_xlpm.Site,tblSites[Scenario?],tblSites[Check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94:INDEX($1:$1048576,ROW(),COLUMN()-1))),_xlpm.Remaining,MAX(0,_xlpm.MaxPts-_xlpm.PriorEnrolled),IF(OR(_xlpm.ActDate="",EOMONTH(J$5,0)&lt;_xlpm.StartDate,_xlpm.Remaining&lt;=0),0,MIN(_xlpm.MonthlyEnroll,_xlpm.Remaining))),0))</f>
        <v/>
      </c>
      <c r="K94" s="9" t="str">
        <f>IF($B94="","",IFERROR(_xlfn.LET(_xlpm.Site,$B94,_xlpm.ActDate,_xlfn.XLOOKUP(_xlpm.Site,tblSites[Check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94:INDEX($1:$1048576,ROW(),COLUMN()-1))),_xlpm.Remaining,MAX(0,_xlpm.MaxPts-_xlpm.PriorEnrolled),IF(OR(_xlpm.ActDate="",EOMONTH(K$5,0)&lt;_xlpm.StartDate,_xlpm.Remaining&lt;=0),0,MIN(_xlpm.MonthlyEnroll,_xlpm.Remaining))),0))</f>
        <v/>
      </c>
      <c r="L94" s="9" t="str">
        <f>IF($B94="","",IFERROR(_xlfn.LET(_xlpm.Site,$B94,_xlpm.ActDate,_xlfn.XLOOKUP(_xlpm.Site,tblSites[Site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94:INDEX($1:$1048576,ROW(),COLUMN()-1))),_xlpm.Remaining,MAX(0,_xlpm.MaxPts-_xlpm.PriorEnrolled),IF(OR(_xlpm.ActDate="",EOMONTH(L$5,0)&lt;_xlpm.StartDate,_xlpm.Remaining&lt;=0),0,MIN(_xlpm.MonthlyEnroll,_xlpm.Remaining))),0))</f>
        <v/>
      </c>
      <c r="M94" s="9" t="str">
        <f>IF($B94="","",IFERROR(_xlfn.LET(_xlpm.Site,$B94,_xlpm.ActDate,_xlfn.XLOOKUP(_xlpm.Site,#REF!,tblSites[Country],""),_xlpm.ScreenDays,N('Study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94:INDEX($1:$1048576,ROW(),COLUMN()-1))),_xlpm.Remaining,MAX(0,_xlpm.MaxPts-_xlpm.PriorEnrolled),IF(OR(_xlpm.ActDate="",EOMONTH(M$5,0)&lt;_xlpm.StartDate,_xlpm.Remaining&lt;=0),0,MIN(_xlpm.MonthlyEnroll,_xlpm.Remaining))),0))</f>
        <v/>
      </c>
      <c r="N94" s="9" t="str">
        <f>IF($B94="","",IFERROR(_xlfn.LET(_xlpm.Site,$B94,_xlpm.ActDate,_xlfn.XLOOKUP(_xlpm.Site,tblSites[Country],tblSites[Site],""),_xlpm.ScreenDays,N('Study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94:INDEX($1:$1048576,ROW(),COLUMN()-1))),_xlpm.Remaining,MAX(0,_xlpm.MaxPts-_xlpm.PriorEnrolled),IF(OR(_xlpm.ActDate="",EOMONTH(N$5,0)&lt;_xlpm.StartDate,_xlpm.Remaining&lt;=0),0,MIN(_xlpm.MonthlyEnroll,_xlpm.Remaining))),0))</f>
        <v/>
      </c>
      <c r="O94" s="9" t="str">
        <f>IF($B94="","",IFERROR(_xlfn.LET(_xlpm.Site,$B94,_xlpm.ActDate,_xlfn.XLOOKUP(_xlpm.Site,tblSites[Site],tblSites[Site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94:INDEX($1:$1048576,ROW(),COLUMN()-1))),_xlpm.Remaining,MAX(0,_xlpm.MaxPts-_xlpm.PriorEnrolled),IF(OR(_xlpm.ActDate="",EOMONTH(O$5,0)&lt;_xlpm.StartDate,_xlpm.Remaining&lt;=0),0,MIN(_xlpm.MonthlyEnroll,_xlpm.Remaining))),0))</f>
        <v/>
      </c>
      <c r="P94" s="9" t="str">
        <f>IF($B94="","",IFERROR(_xlfn.LET(_xlpm.Site,$B94,_xlpm.ActDate,_xlfn.XLOOKUP(_xlpm.Site,tblSites[Site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94:INDEX($1:$1048576,ROW(),COLUMN()-1))),_xlpm.Remaining,MAX(0,_xlpm.MaxPts-_xlpm.PriorEnrolled),IF(OR(_xlpm.ActDate="",EOMONTH(P$5,0)&lt;_xlpm.StartDate,_xlpm.Remaining&lt;=0),0,MIN(_xlpm.MonthlyEnroll,_xlpm.Remaining))),0))</f>
        <v/>
      </c>
      <c r="Q94" s="9" t="str">
        <f>IF($B94="","",IFERROR(_xlfn.LET(_xlpm.Site,$B94,_xlpm.ActDate,_xlfn.XLOOKUP(_xlpm.Site,tblSites[Monthly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94:INDEX($1:$1048576,ROW(),COLUMN()-1))),_xlpm.Remaining,MAX(0,_xlpm.MaxPts-_xlpm.PriorEnrolled),IF(OR(_xlpm.ActDate="",EOMONTH(Q$5,0)&lt;_xlpm.StartDate,_xlpm.Remaining&lt;=0),0,MIN(_xlpm.MonthlyEnroll,_xlpm.Remaining))),0))</f>
        <v/>
      </c>
      <c r="R94" s="9" t="str">
        <f>IF($B94="","",IFERROR(_xlfn.LET(_xlpm.Site,$B94,_xlpm.ActDate,_xlfn.XLOOKUP(_xlpm.Site,tblSites[Site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94:INDEX($1:$1048576,ROW(),COLUMN()-1))),_xlpm.Remaining,MAX(0,_xlpm.MaxPts-_xlpm.PriorEnrolled),IF(OR(_xlpm.ActDate="",EOMONTH(R$5,0)&lt;_xlpm.StartDate,_xlpm.Remaining&lt;=0),0,MIN(_xlpm.MonthlyEnroll,_xlpm.Remaining))),0))</f>
        <v/>
      </c>
      <c r="S94" s="9" t="str">
        <f>IF($B94="","",IFERROR(_xlfn.LET(_xlpm.Site,$B94,_xlpm.ActDate,_xlfn.XLOOKUP(_xlpm.Site,tblSites[Max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94:INDEX($1:$1048576,ROW(),COLUMN()-1))),_xlpm.Remaining,MAX(0,_xlpm.MaxPts-_xlpm.PriorEnrolled),IF(OR(_xlpm.ActDate="",EOMONTH(S$5,0)&lt;_xlpm.StartDate,_xlpm.Remaining&lt;=0),0,MIN(_xlpm.MonthlyEnroll,_xlpm.Remaining))),0))</f>
        <v/>
      </c>
      <c r="T94" s="9" t="str">
        <f>IF($B94="","",IFERROR(_xlfn.LET(_xlpm.Site,$B94,_xlpm.ActDate,_xlfn.XLOOKUP(_xlpm.Site,tblSites[Current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94:INDEX($1:$1048576,ROW(),COLUMN()-1))),_xlpm.Remaining,MAX(0,_xlpm.MaxPts-_xlpm.PriorEnrolled),IF(OR(_xlpm.ActDate="",EOMONTH(T$5,0)&lt;_xlpm.StartDate,_xlpm.Remaining&lt;=0),0,MIN(_xlpm.MonthlyEnroll,_xlpm.Remaining))),0))</f>
        <v/>
      </c>
      <c r="U94" s="9" t="str">
        <f>IF($B94="","",IFERROR(_xlfn.LET(_xlpm.Site,$B94,_xlpm.ActDate,_xlfn.XLOOKUP(_xlpm.Site,tblSites[Include?],tblSites[Scenario?],""),_xlpm.ScreenDays,N('Study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94:INDEX($1:$1048576,ROW(),COLUMN()-1))),_xlpm.Remaining,MAX(0,_xlpm.MaxPts-_xlpm.PriorEnrolled),IF(OR(_xlpm.ActDate="",EOMONTH(U$5,0)&lt;_xlpm.StartDate,_xlpm.Remaining&lt;=0),0,MIN(_xlpm.MonthlyEnroll,_xlpm.Remaining))),0))</f>
        <v/>
      </c>
      <c r="V94" s="9" t="str">
        <f>IF($B94="","",IFERROR(_xlfn.LET(_xlpm.Site,$B94,_xlpm.ActDate,_xlfn.XLOOKUP(_xlpm.Site,tblSites[Scenario?],tblSites[Check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94:INDEX($1:$1048576,ROW(),COLUMN()-1))),_xlpm.Remaining,MAX(0,_xlpm.MaxPts-_xlpm.PriorEnrolled),IF(OR(_xlpm.ActDate="",EOMONTH(V$5,0)&lt;_xlpm.StartDate,_xlpm.Remaining&lt;=0),0,MIN(_xlpm.MonthlyEnroll,_xlpm.Remaining))),0))</f>
        <v/>
      </c>
      <c r="W94" s="9" t="str">
        <f>IF($B94="","",IFERROR(_xlfn.LET(_xlpm.Site,$B94,_xlpm.ActDate,_xlfn.XLOOKUP(_xlpm.Site,tblSites[Check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94:INDEX($1:$1048576,ROW(),COLUMN()-1))),_xlpm.Remaining,MAX(0,_xlpm.MaxPts-_xlpm.PriorEnrolled),IF(OR(_xlpm.ActDate="",EOMONTH(W$5,0)&lt;_xlpm.StartDate,_xlpm.Remaining&lt;=0),0,MIN(_xlpm.MonthlyEnroll,_xlpm.Remaining))),0))</f>
        <v/>
      </c>
      <c r="X94" s="9" t="str">
        <f>IF($B94="","",IFERROR(_xlfn.LET(_xlpm.Site,$B94,_xlpm.ActDate,_xlfn.XLOOKUP(_xlpm.Site,tblSites[Site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94:INDEX($1:$1048576,ROW(),COLUMN()-1))),_xlpm.Remaining,MAX(0,_xlpm.MaxPts-_xlpm.PriorEnrolled),IF(OR(_xlpm.ActDate="",EOMONTH(X$5,0)&lt;_xlpm.StartDate,_xlpm.Remaining&lt;=0),0,MIN(_xlpm.MonthlyEnroll,_xlpm.Remaining))),0))</f>
        <v/>
      </c>
      <c r="Y94" s="9" t="str">
        <f>IF($B94="","",IFERROR(_xlfn.LET(_xlpm.Site,$B94,_xlpm.ActDate,_xlfn.XLOOKUP(_xlpm.Site,#REF!,tblSites[Country],""),_xlpm.ScreenDays,N('Study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94:INDEX($1:$1048576,ROW(),COLUMN()-1))),_xlpm.Remaining,MAX(0,_xlpm.MaxPts-_xlpm.PriorEnrolled),IF(OR(_xlpm.ActDate="",EOMONTH(Y$5,0)&lt;_xlpm.StartDate,_xlpm.Remaining&lt;=0),0,MIN(_xlpm.MonthlyEnroll,_xlpm.Remaining))),0))</f>
        <v/>
      </c>
      <c r="Z94" s="9" t="str">
        <f>IF($B94="","",IFERROR(_xlfn.LET(_xlpm.Site,$B94,_xlpm.ActDate,_xlfn.XLOOKUP(_xlpm.Site,tblSites[Country],tblSites[Site],""),_xlpm.ScreenDays,N('Study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94:INDEX($1:$1048576,ROW(),COLUMN()-1))),_xlpm.Remaining,MAX(0,_xlpm.MaxPts-_xlpm.PriorEnrolled),IF(OR(_xlpm.ActDate="",EOMONTH(Z$5,0)&lt;_xlpm.StartDate,_xlpm.Remaining&lt;=0),0,MIN(_xlpm.MonthlyEnroll,_xlpm.Remaining))),0))</f>
        <v/>
      </c>
      <c r="AA94" s="9" t="str">
        <f>IF($B94="","",IFERROR(_xlfn.LET(_xlpm.Site,$B94,_xlpm.ActDate,_xlfn.XLOOKUP(_xlpm.Site,tblSites[Site],tblSites[Site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94:INDEX($1:$1048576,ROW(),COLUMN()-1))),_xlpm.Remaining,MAX(0,_xlpm.MaxPts-_xlpm.PriorEnrolled),IF(OR(_xlpm.ActDate="",EOMONTH(AA$5,0)&lt;_xlpm.StartDate,_xlpm.Remaining&lt;=0),0,MIN(_xlpm.MonthlyEnroll,_xlpm.Remaining))),0))</f>
        <v/>
      </c>
      <c r="AB94" s="9" t="str">
        <f>IF($B94="","",IFERROR(_xlfn.LET(_xlpm.Site,$B94,_xlpm.ActDate,_xlfn.XLOOKUP(_xlpm.Site,tblSites[Site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94:INDEX($1:$1048576,ROW(),COLUMN()-1))),_xlpm.Remaining,MAX(0,_xlpm.MaxPts-_xlpm.PriorEnrolled),IF(OR(_xlpm.ActDate="",EOMONTH(AB$5,0)&lt;_xlpm.StartDate,_xlpm.Remaining&lt;=0),0,MIN(_xlpm.MonthlyEnroll,_xlpm.Remaining))),0))</f>
        <v/>
      </c>
      <c r="AC94" s="9" t="str">
        <f>IF($B94="","",IFERROR(_xlfn.LET(_xlpm.Site,$B94,_xlpm.ActDate,_xlfn.XLOOKUP(_xlpm.Site,tblSites[Monthly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94:INDEX($1:$1048576,ROW(),COLUMN()-1))),_xlpm.Remaining,MAX(0,_xlpm.MaxPts-_xlpm.PriorEnrolled),IF(OR(_xlpm.ActDate="",EOMONTH(AC$5,0)&lt;_xlpm.StartDate,_xlpm.Remaining&lt;=0),0,MIN(_xlpm.MonthlyEnroll,_xlpm.Remaining))),0))</f>
        <v/>
      </c>
    </row>
    <row r="95" spans="3:29" x14ac:dyDescent="0.25">
      <c r="C95" s="9" cm="1">
        <f t="array" aca="1" ref="C95" ca="1">IF(C$5&lt;=TODAY(),0,IF($B95="","",IFERROR(_xlfn.LET(_xlpm.Site,$B95,_xlpm.SiteCol,INDIRECT("tblSites[Site]"),_xlpm.ActCol,INDIRECT("tblSites[Site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95" s="9" t="str">
        <f>IF($B95="","",IFERROR(_xlfn.LET(_xlpm.Site,$B95,_xlpm.ActDate,_xlfn.XLOOKUP(_xlpm.Site,tblSites[Site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95:INDEX($1:$1048576,ROW(),COLUMN()-1))),_xlpm.Remaining,MAX(0,_xlpm.MaxPts-_xlpm.PriorEnrolled),IF(OR(_xlpm.ActDate="",EOMONTH(D$5,0)&lt;_xlpm.StartDate,_xlpm.Remaining&lt;=0),0,MIN(_xlpm.MonthlyEnroll,_xlpm.Remaining))),0))</f>
        <v/>
      </c>
      <c r="E95" s="9" t="str">
        <f>IF($B95="","",IFERROR(_xlfn.LET(_xlpm.Site,$B95,_xlpm.ActDate,_xlfn.XLOOKUP(_xlpm.Site,tblSites[Monthly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95:INDEX($1:$1048576,ROW(),COLUMN()-1))),_xlpm.Remaining,MAX(0,_xlpm.MaxPts-_xlpm.PriorEnrolled),IF(OR(_xlpm.ActDate="",EOMONTH(E$5,0)&lt;_xlpm.StartDate,_xlpm.Remaining&lt;=0),0,MIN(_xlpm.MonthlyEnroll,_xlpm.Remaining))),0))</f>
        <v/>
      </c>
      <c r="F95" s="9" t="str">
        <f>IF($B95="","",IFERROR(_xlfn.LET(_xlpm.Site,$B95,_xlpm.ActDate,_xlfn.XLOOKUP(_xlpm.Site,tblSites[Site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95:INDEX($1:$1048576,ROW(),COLUMN()-1))),_xlpm.Remaining,MAX(0,_xlpm.MaxPts-_xlpm.PriorEnrolled),IF(OR(_xlpm.ActDate="",EOMONTH(F$5,0)&lt;_xlpm.StartDate,_xlpm.Remaining&lt;=0),0,MIN(_xlpm.MonthlyEnroll,_xlpm.Remaining))),0))</f>
        <v/>
      </c>
      <c r="G95" s="9" t="str">
        <f>IF($B95="","",IFERROR(_xlfn.LET(_xlpm.Site,$B95,_xlpm.ActDate,_xlfn.XLOOKUP(_xlpm.Site,tblSites[Max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95:INDEX($1:$1048576,ROW(),COLUMN()-1))),_xlpm.Remaining,MAX(0,_xlpm.MaxPts-_xlpm.PriorEnrolled),IF(OR(_xlpm.ActDate="",EOMONTH(G$5,0)&lt;_xlpm.StartDate,_xlpm.Remaining&lt;=0),0,MIN(_xlpm.MonthlyEnroll,_xlpm.Remaining))),0))</f>
        <v/>
      </c>
      <c r="H95" s="9" t="str">
        <f>IF($B95="","",IFERROR(_xlfn.LET(_xlpm.Site,$B95,_xlpm.ActDate,_xlfn.XLOOKUP(_xlpm.Site,tblSites[Current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95:INDEX($1:$1048576,ROW(),COLUMN()-1))),_xlpm.Remaining,MAX(0,_xlpm.MaxPts-_xlpm.PriorEnrolled),IF(OR(_xlpm.ActDate="",EOMONTH(H$5,0)&lt;_xlpm.StartDate,_xlpm.Remaining&lt;=0),0,MIN(_xlpm.MonthlyEnroll,_xlpm.Remaining))),0))</f>
        <v/>
      </c>
      <c r="I95" s="9" t="str">
        <f>IF($B95="","",IFERROR(_xlfn.LET(_xlpm.Site,$B95,_xlpm.ActDate,_xlfn.XLOOKUP(_xlpm.Site,tblSites[Include?],tblSites[Scenario?],""),_xlpm.ScreenDays,N('Study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95:INDEX($1:$1048576,ROW(),COLUMN()-1))),_xlpm.Remaining,MAX(0,_xlpm.MaxPts-_xlpm.PriorEnrolled),IF(OR(_xlpm.ActDate="",EOMONTH(I$5,0)&lt;_xlpm.StartDate,_xlpm.Remaining&lt;=0),0,MIN(_xlpm.MonthlyEnroll,_xlpm.Remaining))),0))</f>
        <v/>
      </c>
      <c r="J95" s="9" t="str">
        <f>IF($B95="","",IFERROR(_xlfn.LET(_xlpm.Site,$B95,_xlpm.ActDate,_xlfn.XLOOKUP(_xlpm.Site,tblSites[Scenario?],tblSites[Check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95:INDEX($1:$1048576,ROW(),COLUMN()-1))),_xlpm.Remaining,MAX(0,_xlpm.MaxPts-_xlpm.PriorEnrolled),IF(OR(_xlpm.ActDate="",EOMONTH(J$5,0)&lt;_xlpm.StartDate,_xlpm.Remaining&lt;=0),0,MIN(_xlpm.MonthlyEnroll,_xlpm.Remaining))),0))</f>
        <v/>
      </c>
      <c r="K95" s="9" t="str">
        <f>IF($B95="","",IFERROR(_xlfn.LET(_xlpm.Site,$B95,_xlpm.ActDate,_xlfn.XLOOKUP(_xlpm.Site,tblSites[Check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95:INDEX($1:$1048576,ROW(),COLUMN()-1))),_xlpm.Remaining,MAX(0,_xlpm.MaxPts-_xlpm.PriorEnrolled),IF(OR(_xlpm.ActDate="",EOMONTH(K$5,0)&lt;_xlpm.StartDate,_xlpm.Remaining&lt;=0),0,MIN(_xlpm.MonthlyEnroll,_xlpm.Remaining))),0))</f>
        <v/>
      </c>
      <c r="L95" s="9" t="str">
        <f>IF($B95="","",IFERROR(_xlfn.LET(_xlpm.Site,$B95,_xlpm.ActDate,_xlfn.XLOOKUP(_xlpm.Site,tblSites[Site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95:INDEX($1:$1048576,ROW(),COLUMN()-1))),_xlpm.Remaining,MAX(0,_xlpm.MaxPts-_xlpm.PriorEnrolled),IF(OR(_xlpm.ActDate="",EOMONTH(L$5,0)&lt;_xlpm.StartDate,_xlpm.Remaining&lt;=0),0,MIN(_xlpm.MonthlyEnroll,_xlpm.Remaining))),0))</f>
        <v/>
      </c>
      <c r="M95" s="9" t="str">
        <f>IF($B95="","",IFERROR(_xlfn.LET(_xlpm.Site,$B95,_xlpm.ActDate,_xlfn.XLOOKUP(_xlpm.Site,#REF!,tblSites[Country],""),_xlpm.ScreenDays,N('Study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95:INDEX($1:$1048576,ROW(),COLUMN()-1))),_xlpm.Remaining,MAX(0,_xlpm.MaxPts-_xlpm.PriorEnrolled),IF(OR(_xlpm.ActDate="",EOMONTH(M$5,0)&lt;_xlpm.StartDate,_xlpm.Remaining&lt;=0),0,MIN(_xlpm.MonthlyEnroll,_xlpm.Remaining))),0))</f>
        <v/>
      </c>
      <c r="N95" s="9" t="str">
        <f>IF($B95="","",IFERROR(_xlfn.LET(_xlpm.Site,$B95,_xlpm.ActDate,_xlfn.XLOOKUP(_xlpm.Site,tblSites[Country],tblSites[Site],""),_xlpm.ScreenDays,N('Study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95:INDEX($1:$1048576,ROW(),COLUMN()-1))),_xlpm.Remaining,MAX(0,_xlpm.MaxPts-_xlpm.PriorEnrolled),IF(OR(_xlpm.ActDate="",EOMONTH(N$5,0)&lt;_xlpm.StartDate,_xlpm.Remaining&lt;=0),0,MIN(_xlpm.MonthlyEnroll,_xlpm.Remaining))),0))</f>
        <v/>
      </c>
      <c r="O95" s="9" t="str">
        <f>IF($B95="","",IFERROR(_xlfn.LET(_xlpm.Site,$B95,_xlpm.ActDate,_xlfn.XLOOKUP(_xlpm.Site,tblSites[Site],tblSites[Site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95:INDEX($1:$1048576,ROW(),COLUMN()-1))),_xlpm.Remaining,MAX(0,_xlpm.MaxPts-_xlpm.PriorEnrolled),IF(OR(_xlpm.ActDate="",EOMONTH(O$5,0)&lt;_xlpm.StartDate,_xlpm.Remaining&lt;=0),0,MIN(_xlpm.MonthlyEnroll,_xlpm.Remaining))),0))</f>
        <v/>
      </c>
      <c r="P95" s="9" t="str">
        <f>IF($B95="","",IFERROR(_xlfn.LET(_xlpm.Site,$B95,_xlpm.ActDate,_xlfn.XLOOKUP(_xlpm.Site,tblSites[Site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95:INDEX($1:$1048576,ROW(),COLUMN()-1))),_xlpm.Remaining,MAX(0,_xlpm.MaxPts-_xlpm.PriorEnrolled),IF(OR(_xlpm.ActDate="",EOMONTH(P$5,0)&lt;_xlpm.StartDate,_xlpm.Remaining&lt;=0),0,MIN(_xlpm.MonthlyEnroll,_xlpm.Remaining))),0))</f>
        <v/>
      </c>
      <c r="Q95" s="9" t="str">
        <f>IF($B95="","",IFERROR(_xlfn.LET(_xlpm.Site,$B95,_xlpm.ActDate,_xlfn.XLOOKUP(_xlpm.Site,tblSites[Monthly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95:INDEX($1:$1048576,ROW(),COLUMN()-1))),_xlpm.Remaining,MAX(0,_xlpm.MaxPts-_xlpm.PriorEnrolled),IF(OR(_xlpm.ActDate="",EOMONTH(Q$5,0)&lt;_xlpm.StartDate,_xlpm.Remaining&lt;=0),0,MIN(_xlpm.MonthlyEnroll,_xlpm.Remaining))),0))</f>
        <v/>
      </c>
      <c r="R95" s="9" t="str">
        <f>IF($B95="","",IFERROR(_xlfn.LET(_xlpm.Site,$B95,_xlpm.ActDate,_xlfn.XLOOKUP(_xlpm.Site,tblSites[Site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95:INDEX($1:$1048576,ROW(),COLUMN()-1))),_xlpm.Remaining,MAX(0,_xlpm.MaxPts-_xlpm.PriorEnrolled),IF(OR(_xlpm.ActDate="",EOMONTH(R$5,0)&lt;_xlpm.StartDate,_xlpm.Remaining&lt;=0),0,MIN(_xlpm.MonthlyEnroll,_xlpm.Remaining))),0))</f>
        <v/>
      </c>
      <c r="S95" s="9" t="str">
        <f>IF($B95="","",IFERROR(_xlfn.LET(_xlpm.Site,$B95,_xlpm.ActDate,_xlfn.XLOOKUP(_xlpm.Site,tblSites[Max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95:INDEX($1:$1048576,ROW(),COLUMN()-1))),_xlpm.Remaining,MAX(0,_xlpm.MaxPts-_xlpm.PriorEnrolled),IF(OR(_xlpm.ActDate="",EOMONTH(S$5,0)&lt;_xlpm.StartDate,_xlpm.Remaining&lt;=0),0,MIN(_xlpm.MonthlyEnroll,_xlpm.Remaining))),0))</f>
        <v/>
      </c>
      <c r="T95" s="9" t="str">
        <f>IF($B95="","",IFERROR(_xlfn.LET(_xlpm.Site,$B95,_xlpm.ActDate,_xlfn.XLOOKUP(_xlpm.Site,tblSites[Current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95:INDEX($1:$1048576,ROW(),COLUMN()-1))),_xlpm.Remaining,MAX(0,_xlpm.MaxPts-_xlpm.PriorEnrolled),IF(OR(_xlpm.ActDate="",EOMONTH(T$5,0)&lt;_xlpm.StartDate,_xlpm.Remaining&lt;=0),0,MIN(_xlpm.MonthlyEnroll,_xlpm.Remaining))),0))</f>
        <v/>
      </c>
      <c r="U95" s="9" t="str">
        <f>IF($B95="","",IFERROR(_xlfn.LET(_xlpm.Site,$B95,_xlpm.ActDate,_xlfn.XLOOKUP(_xlpm.Site,tblSites[Include?],tblSites[Scenario?],""),_xlpm.ScreenDays,N('Study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95:INDEX($1:$1048576,ROW(),COLUMN()-1))),_xlpm.Remaining,MAX(0,_xlpm.MaxPts-_xlpm.PriorEnrolled),IF(OR(_xlpm.ActDate="",EOMONTH(U$5,0)&lt;_xlpm.StartDate,_xlpm.Remaining&lt;=0),0,MIN(_xlpm.MonthlyEnroll,_xlpm.Remaining))),0))</f>
        <v/>
      </c>
      <c r="V95" s="9" t="str">
        <f>IF($B95="","",IFERROR(_xlfn.LET(_xlpm.Site,$B95,_xlpm.ActDate,_xlfn.XLOOKUP(_xlpm.Site,tblSites[Scenario?],tblSites[Check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95:INDEX($1:$1048576,ROW(),COLUMN()-1))),_xlpm.Remaining,MAX(0,_xlpm.MaxPts-_xlpm.PriorEnrolled),IF(OR(_xlpm.ActDate="",EOMONTH(V$5,0)&lt;_xlpm.StartDate,_xlpm.Remaining&lt;=0),0,MIN(_xlpm.MonthlyEnroll,_xlpm.Remaining))),0))</f>
        <v/>
      </c>
      <c r="W95" s="9" t="str">
        <f>IF($B95="","",IFERROR(_xlfn.LET(_xlpm.Site,$B95,_xlpm.ActDate,_xlfn.XLOOKUP(_xlpm.Site,tblSites[Check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95:INDEX($1:$1048576,ROW(),COLUMN()-1))),_xlpm.Remaining,MAX(0,_xlpm.MaxPts-_xlpm.PriorEnrolled),IF(OR(_xlpm.ActDate="",EOMONTH(W$5,0)&lt;_xlpm.StartDate,_xlpm.Remaining&lt;=0),0,MIN(_xlpm.MonthlyEnroll,_xlpm.Remaining))),0))</f>
        <v/>
      </c>
      <c r="X95" s="9" t="str">
        <f>IF($B95="","",IFERROR(_xlfn.LET(_xlpm.Site,$B95,_xlpm.ActDate,_xlfn.XLOOKUP(_xlpm.Site,tblSites[Site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95:INDEX($1:$1048576,ROW(),COLUMN()-1))),_xlpm.Remaining,MAX(0,_xlpm.MaxPts-_xlpm.PriorEnrolled),IF(OR(_xlpm.ActDate="",EOMONTH(X$5,0)&lt;_xlpm.StartDate,_xlpm.Remaining&lt;=0),0,MIN(_xlpm.MonthlyEnroll,_xlpm.Remaining))),0))</f>
        <v/>
      </c>
      <c r="Y95" s="9" t="str">
        <f>IF($B95="","",IFERROR(_xlfn.LET(_xlpm.Site,$B95,_xlpm.ActDate,_xlfn.XLOOKUP(_xlpm.Site,#REF!,tblSites[Country],""),_xlpm.ScreenDays,N('Study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95:INDEX($1:$1048576,ROW(),COLUMN()-1))),_xlpm.Remaining,MAX(0,_xlpm.MaxPts-_xlpm.PriorEnrolled),IF(OR(_xlpm.ActDate="",EOMONTH(Y$5,0)&lt;_xlpm.StartDate,_xlpm.Remaining&lt;=0),0,MIN(_xlpm.MonthlyEnroll,_xlpm.Remaining))),0))</f>
        <v/>
      </c>
      <c r="Z95" s="9" t="str">
        <f>IF($B95="","",IFERROR(_xlfn.LET(_xlpm.Site,$B95,_xlpm.ActDate,_xlfn.XLOOKUP(_xlpm.Site,tblSites[Country],tblSites[Site],""),_xlpm.ScreenDays,N('Study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95:INDEX($1:$1048576,ROW(),COLUMN()-1))),_xlpm.Remaining,MAX(0,_xlpm.MaxPts-_xlpm.PriorEnrolled),IF(OR(_xlpm.ActDate="",EOMONTH(Z$5,0)&lt;_xlpm.StartDate,_xlpm.Remaining&lt;=0),0,MIN(_xlpm.MonthlyEnroll,_xlpm.Remaining))),0))</f>
        <v/>
      </c>
      <c r="AA95" s="9" t="str">
        <f>IF($B95="","",IFERROR(_xlfn.LET(_xlpm.Site,$B95,_xlpm.ActDate,_xlfn.XLOOKUP(_xlpm.Site,tblSites[Site],tblSites[Site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95:INDEX($1:$1048576,ROW(),COLUMN()-1))),_xlpm.Remaining,MAX(0,_xlpm.MaxPts-_xlpm.PriorEnrolled),IF(OR(_xlpm.ActDate="",EOMONTH(AA$5,0)&lt;_xlpm.StartDate,_xlpm.Remaining&lt;=0),0,MIN(_xlpm.MonthlyEnroll,_xlpm.Remaining))),0))</f>
        <v/>
      </c>
      <c r="AB95" s="9" t="str">
        <f>IF($B95="","",IFERROR(_xlfn.LET(_xlpm.Site,$B95,_xlpm.ActDate,_xlfn.XLOOKUP(_xlpm.Site,tblSites[Site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95:INDEX($1:$1048576,ROW(),COLUMN()-1))),_xlpm.Remaining,MAX(0,_xlpm.MaxPts-_xlpm.PriorEnrolled),IF(OR(_xlpm.ActDate="",EOMONTH(AB$5,0)&lt;_xlpm.StartDate,_xlpm.Remaining&lt;=0),0,MIN(_xlpm.MonthlyEnroll,_xlpm.Remaining))),0))</f>
        <v/>
      </c>
      <c r="AC95" s="9" t="str">
        <f>IF($B95="","",IFERROR(_xlfn.LET(_xlpm.Site,$B95,_xlpm.ActDate,_xlfn.XLOOKUP(_xlpm.Site,tblSites[Monthly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95:INDEX($1:$1048576,ROW(),COLUMN()-1))),_xlpm.Remaining,MAX(0,_xlpm.MaxPts-_xlpm.PriorEnrolled),IF(OR(_xlpm.ActDate="",EOMONTH(AC$5,0)&lt;_xlpm.StartDate,_xlpm.Remaining&lt;=0),0,MIN(_xlpm.MonthlyEnroll,_xlpm.Remaining))),0))</f>
        <v/>
      </c>
    </row>
    <row r="96" spans="3:29" x14ac:dyDescent="0.25">
      <c r="C96" s="9" cm="1">
        <f t="array" aca="1" ref="C96" ca="1">IF(C$5&lt;=TODAY(),0,IF($B96="","",IFERROR(_xlfn.LET(_xlpm.Site,$B96,_xlpm.SiteCol,INDIRECT("tblSites[Site]"),_xlpm.ActCol,INDIRECT("tblSites[Site Activation Date]"),_xlpm.MaxCol,INDIRECT("tblSites[Max Participants]"),_xlpm.RateCol,INDIRECT("tblSites[Monthly Enrollment Rate]"),_xlpm.ActDate,_xlfn.XLOOKUP(_xlpm.Site,_xlpm.SiteCol,_xlpm.ActCol,""),_xlpm.ScreenDays,N('Study Information'!$B$8),_xlpm.StartMonth,EOMONTH(_xlpm.ActDate+_xlpm.ScreenDays,0)+1,_xlpm.MaxPts,N(_xlfn.XLOOKUP(_xlpm.Site,_xlpm.SiteCol,_xlpm.MaxCol,0)),_xlpm.MonthlyRate,N(_xlfn.XLOOKUP(_xlpm.Site,_xlpm.SiteCol,_xlpm.RateCol,0)),_xlpm.PriorEnrolled,IF(COLUMN()=COLUMN($C$6),0,SUM(INDEX($1:$1048576,ROW(),COLUMN($C$6)):
INDEX($1:$1048576,ROW(),COLUMN()-1))),_xlpm.Remaining,MAX(0,_xlpm.MaxPts-_xlpm.PriorEnrolled),_xlpm.MonthlyEnroll,MIN(_xlpm.Remaining,MAX(1,ROUND(_xlpm.Remaining*_xlpm.MonthlyRate,0))),IF(OR(_xlpm.ActDate="",C$5&lt;_xlpm.StartMonth,_xlpm.Remaining&lt;=0),0,_xlpm.MonthlyEnroll)),0)))</f>
        <v>0</v>
      </c>
      <c r="D96" s="9" t="str">
        <f>IF($B96="","",IFERROR(_xlfn.LET(_xlpm.Site,$B96,_xlpm.ActDate,_xlfn.XLOOKUP(_xlpm.Site,tblSites[Site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96:INDEX($1:$1048576,ROW(),COLUMN()-1))),_xlpm.Remaining,MAX(0,_xlpm.MaxPts-_xlpm.PriorEnrolled),IF(OR(_xlpm.ActDate="",EOMONTH(D$5,0)&lt;_xlpm.StartDate,_xlpm.Remaining&lt;=0),0,MIN(_xlpm.MonthlyEnroll,_xlpm.Remaining))),0))</f>
        <v/>
      </c>
      <c r="E96" s="9" t="str">
        <f>IF($B96="","",IFERROR(_xlfn.LET(_xlpm.Site,$B96,_xlpm.ActDate,_xlfn.XLOOKUP(_xlpm.Site,tblSites[Monthly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96:INDEX($1:$1048576,ROW(),COLUMN()-1))),_xlpm.Remaining,MAX(0,_xlpm.MaxPts-_xlpm.PriorEnrolled),IF(OR(_xlpm.ActDate="",EOMONTH(E$5,0)&lt;_xlpm.StartDate,_xlpm.Remaining&lt;=0),0,MIN(_xlpm.MonthlyEnroll,_xlpm.Remaining))),0))</f>
        <v/>
      </c>
      <c r="F96" s="9" t="str">
        <f>IF($B96="","",IFERROR(_xlfn.LET(_xlpm.Site,$B96,_xlpm.ActDate,_xlfn.XLOOKUP(_xlpm.Site,tblSites[Site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96:INDEX($1:$1048576,ROW(),COLUMN()-1))),_xlpm.Remaining,MAX(0,_xlpm.MaxPts-_xlpm.PriorEnrolled),IF(OR(_xlpm.ActDate="",EOMONTH(F$5,0)&lt;_xlpm.StartDate,_xlpm.Remaining&lt;=0),0,MIN(_xlpm.MonthlyEnroll,_xlpm.Remaining))),0))</f>
        <v/>
      </c>
      <c r="G96" s="9" t="str">
        <f>IF($B96="","",IFERROR(_xlfn.LET(_xlpm.Site,$B96,_xlpm.ActDate,_xlfn.XLOOKUP(_xlpm.Site,tblSites[Max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96:INDEX($1:$1048576,ROW(),COLUMN()-1))),_xlpm.Remaining,MAX(0,_xlpm.MaxPts-_xlpm.PriorEnrolled),IF(OR(_xlpm.ActDate="",EOMONTH(G$5,0)&lt;_xlpm.StartDate,_xlpm.Remaining&lt;=0),0,MIN(_xlpm.MonthlyEnroll,_xlpm.Remaining))),0))</f>
        <v/>
      </c>
      <c r="H96" s="9" t="str">
        <f>IF($B96="","",IFERROR(_xlfn.LET(_xlpm.Site,$B96,_xlpm.ActDate,_xlfn.XLOOKUP(_xlpm.Site,tblSites[Current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96:INDEX($1:$1048576,ROW(),COLUMN()-1))),_xlpm.Remaining,MAX(0,_xlpm.MaxPts-_xlpm.PriorEnrolled),IF(OR(_xlpm.ActDate="",EOMONTH(H$5,0)&lt;_xlpm.StartDate,_xlpm.Remaining&lt;=0),0,MIN(_xlpm.MonthlyEnroll,_xlpm.Remaining))),0))</f>
        <v/>
      </c>
      <c r="I96" s="9" t="str">
        <f>IF($B96="","",IFERROR(_xlfn.LET(_xlpm.Site,$B96,_xlpm.ActDate,_xlfn.XLOOKUP(_xlpm.Site,tblSites[Include?],tblSites[Scenario?],""),_xlpm.ScreenDays,N('Study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96:INDEX($1:$1048576,ROW(),COLUMN()-1))),_xlpm.Remaining,MAX(0,_xlpm.MaxPts-_xlpm.PriorEnrolled),IF(OR(_xlpm.ActDate="",EOMONTH(I$5,0)&lt;_xlpm.StartDate,_xlpm.Remaining&lt;=0),0,MIN(_xlpm.MonthlyEnroll,_xlpm.Remaining))),0))</f>
        <v/>
      </c>
      <c r="J96" s="9" t="str">
        <f>IF($B96="","",IFERROR(_xlfn.LET(_xlpm.Site,$B96,_xlpm.ActDate,_xlfn.XLOOKUP(_xlpm.Site,tblSites[Scenario?],tblSites[Check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96:INDEX($1:$1048576,ROW(),COLUMN()-1))),_xlpm.Remaining,MAX(0,_xlpm.MaxPts-_xlpm.PriorEnrolled),IF(OR(_xlpm.ActDate="",EOMONTH(J$5,0)&lt;_xlpm.StartDate,_xlpm.Remaining&lt;=0),0,MIN(_xlpm.MonthlyEnroll,_xlpm.Remaining))),0))</f>
        <v/>
      </c>
      <c r="K96" s="9" t="str">
        <f>IF($B96="","",IFERROR(_xlfn.LET(_xlpm.Site,$B96,_xlpm.ActDate,_xlfn.XLOOKUP(_xlpm.Site,tblSites[Check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96:INDEX($1:$1048576,ROW(),COLUMN()-1))),_xlpm.Remaining,MAX(0,_xlpm.MaxPts-_xlpm.PriorEnrolled),IF(OR(_xlpm.ActDate="",EOMONTH(K$5,0)&lt;_xlpm.StartDate,_xlpm.Remaining&lt;=0),0,MIN(_xlpm.MonthlyEnroll,_xlpm.Remaining))),0))</f>
        <v/>
      </c>
      <c r="L96" s="9" t="str">
        <f>IF($B96="","",IFERROR(_xlfn.LET(_xlpm.Site,$B96,_xlpm.ActDate,_xlfn.XLOOKUP(_xlpm.Site,tblSites[Site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96:INDEX($1:$1048576,ROW(),COLUMN()-1))),_xlpm.Remaining,MAX(0,_xlpm.MaxPts-_xlpm.PriorEnrolled),IF(OR(_xlpm.ActDate="",EOMONTH(L$5,0)&lt;_xlpm.StartDate,_xlpm.Remaining&lt;=0),0,MIN(_xlpm.MonthlyEnroll,_xlpm.Remaining))),0))</f>
        <v/>
      </c>
      <c r="M96" s="9" t="str">
        <f>IF($B96="","",IFERROR(_xlfn.LET(_xlpm.Site,$B96,_xlpm.ActDate,_xlfn.XLOOKUP(_xlpm.Site,#REF!,tblSites[Country],""),_xlpm.ScreenDays,N('Study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96:INDEX($1:$1048576,ROW(),COLUMN()-1))),_xlpm.Remaining,MAX(0,_xlpm.MaxPts-_xlpm.PriorEnrolled),IF(OR(_xlpm.ActDate="",EOMONTH(M$5,0)&lt;_xlpm.StartDate,_xlpm.Remaining&lt;=0),0,MIN(_xlpm.MonthlyEnroll,_xlpm.Remaining))),0))</f>
        <v/>
      </c>
      <c r="N96" s="9" t="str">
        <f>IF($B96="","",IFERROR(_xlfn.LET(_xlpm.Site,$B96,_xlpm.ActDate,_xlfn.XLOOKUP(_xlpm.Site,tblSites[Country],tblSites[Site],""),_xlpm.ScreenDays,N('Study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96:INDEX($1:$1048576,ROW(),COLUMN()-1))),_xlpm.Remaining,MAX(0,_xlpm.MaxPts-_xlpm.PriorEnrolled),IF(OR(_xlpm.ActDate="",EOMONTH(N$5,0)&lt;_xlpm.StartDate,_xlpm.Remaining&lt;=0),0,MIN(_xlpm.MonthlyEnroll,_xlpm.Remaining))),0))</f>
        <v/>
      </c>
      <c r="O96" s="9" t="str">
        <f>IF($B96="","",IFERROR(_xlfn.LET(_xlpm.Site,$B96,_xlpm.ActDate,_xlfn.XLOOKUP(_xlpm.Site,tblSites[Site],tblSites[Site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96:INDEX($1:$1048576,ROW(),COLUMN()-1))),_xlpm.Remaining,MAX(0,_xlpm.MaxPts-_xlpm.PriorEnrolled),IF(OR(_xlpm.ActDate="",EOMONTH(O$5,0)&lt;_xlpm.StartDate,_xlpm.Remaining&lt;=0),0,MIN(_xlpm.MonthlyEnroll,_xlpm.Remaining))),0))</f>
        <v/>
      </c>
      <c r="P96" s="9" t="str">
        <f>IF($B96="","",IFERROR(_xlfn.LET(_xlpm.Site,$B96,_xlpm.ActDate,_xlfn.XLOOKUP(_xlpm.Site,tblSites[Site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96:INDEX($1:$1048576,ROW(),COLUMN()-1))),_xlpm.Remaining,MAX(0,_xlpm.MaxPts-_xlpm.PriorEnrolled),IF(OR(_xlpm.ActDate="",EOMONTH(P$5,0)&lt;_xlpm.StartDate,_xlpm.Remaining&lt;=0),0,MIN(_xlpm.MonthlyEnroll,_xlpm.Remaining))),0))</f>
        <v/>
      </c>
      <c r="Q96" s="9" t="str">
        <f>IF($B96="","",IFERROR(_xlfn.LET(_xlpm.Site,$B96,_xlpm.ActDate,_xlfn.XLOOKUP(_xlpm.Site,tblSites[Monthly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96:INDEX($1:$1048576,ROW(),COLUMN()-1))),_xlpm.Remaining,MAX(0,_xlpm.MaxPts-_xlpm.PriorEnrolled),IF(OR(_xlpm.ActDate="",EOMONTH(Q$5,0)&lt;_xlpm.StartDate,_xlpm.Remaining&lt;=0),0,MIN(_xlpm.MonthlyEnroll,_xlpm.Remaining))),0))</f>
        <v/>
      </c>
      <c r="R96" s="9" t="str">
        <f>IF($B96="","",IFERROR(_xlfn.LET(_xlpm.Site,$B96,_xlpm.ActDate,_xlfn.XLOOKUP(_xlpm.Site,tblSites[Site ER 
Global or Country Specific)],tblSites[Max Participants],""),_xlpm.ScreenDays,N('Study Information'!$B$8),_xlpm.StartDate,_xlpm.ActDate+_xlpm.ScreenDays,_xlpm.MaxPts,N(_xlfn.XLOOKUP(_xlpm.Site,tblSites[Site ER 
Global or Country Specific)],tblSites[Scenario?],0)),_xlpm.MonthlyRate,N(_xlfn.XLOOKUP(_xlpm.Site,tblSites[Site ER 
Global or Country Specific)],tblSites[Current Enrollment],0)),_xlpm.MonthlyEnroll,MAX(1,ROUND(_xlpm.MaxPts*_xlpm.MonthlyRate,0)),_xlpm.PriorEnrolled,IF(COLUMN()=COLUMN($C$6),0,SUM($C96:INDEX($1:$1048576,ROW(),COLUMN()-1))),_xlpm.Remaining,MAX(0,_xlpm.MaxPts-_xlpm.PriorEnrolled),IF(OR(_xlpm.ActDate="",EOMONTH(R$5,0)&lt;_xlpm.StartDate,_xlpm.Remaining&lt;=0),0,MIN(_xlpm.MonthlyEnroll,_xlpm.Remaining))),0))</f>
        <v/>
      </c>
      <c r="S96" s="9" t="str">
        <f>IF($B96="","",IFERROR(_xlfn.LET(_xlpm.Site,$B96,_xlpm.ActDate,_xlfn.XLOOKUP(_xlpm.Site,tblSites[Max Participants],tblSites[Current Enrollment],""),_xlpm.ScreenDays,N('Study Information'!$B$8),_xlpm.StartDate,_xlpm.ActDate+_xlpm.ScreenDays,_xlpm.MaxPts,N(_xlfn.XLOOKUP(_xlpm.Site,tblSites[Max Participants],tblSites[Check Yes/No],0)),_xlpm.MonthlyRate,N(_xlfn.XLOOKUP(_xlpm.Site,tblSites[Max Participants],tblSites[Include?],0)),_xlpm.MonthlyEnroll,MAX(1,ROUND(_xlpm.MaxPts*_xlpm.MonthlyRate,0)),_xlpm.PriorEnrolled,IF(COLUMN()=COLUMN($C$6),0,SUM($C96:INDEX($1:$1048576,ROW(),COLUMN()-1))),_xlpm.Remaining,MAX(0,_xlpm.MaxPts-_xlpm.PriorEnrolled),IF(OR(_xlpm.ActDate="",EOMONTH(S$5,0)&lt;_xlpm.StartDate,_xlpm.Remaining&lt;=0),0,MIN(_xlpm.MonthlyEnroll,_xlpm.Remaining))),0))</f>
        <v/>
      </c>
      <c r="T96" s="9" t="str">
        <f>IF($B96="","",IFERROR(_xlfn.LET(_xlpm.Site,$B96,_xlpm.ActDate,_xlfn.XLOOKUP(_xlpm.Site,tblSites[Current Enrollment],tblSites[Include?],""),_xlpm.ScreenDays,N('Study Information'!$B$8),_xlpm.StartDate,_xlpm.ActDate+_xlpm.ScreenDays,_xlpm.MaxPts,N(_xlfn.XLOOKUP(_xlpm.Site,tblSites[Current Enrollment],tblSites[Site Amounts],0)),_xlpm.MonthlyRate,N(_xlfn.XLOOKUP(_xlpm.Site,tblSites[Current Enrollment],tblSites[Scenario?],0)),_xlpm.MonthlyEnroll,MAX(1,ROUND(_xlpm.MaxPts*_xlpm.MonthlyRate,0)),_xlpm.PriorEnrolled,IF(COLUMN()=COLUMN($C$6),0,SUM($C96:INDEX($1:$1048576,ROW(),COLUMN()-1))),_xlpm.Remaining,MAX(0,_xlpm.MaxPts-_xlpm.PriorEnrolled),IF(OR(_xlpm.ActDate="",EOMONTH(T$5,0)&lt;_xlpm.StartDate,_xlpm.Remaining&lt;=0),0,MIN(_xlpm.MonthlyEnroll,_xlpm.Remaining))),0))</f>
        <v/>
      </c>
      <c r="U96" s="9" t="str">
        <f>IF($B96="","",IFERROR(_xlfn.LET(_xlpm.Site,$B96,_xlpm.ActDate,_xlfn.XLOOKUP(_xlpm.Site,tblSites[Include?],tblSites[Scenario?],""),_xlpm.ScreenDays,N('Study Information'!$B$8),_xlpm.StartDate,_xlpm.ActDate+_xlpm.ScreenDays,_xlpm.MaxPts,N(_xlfn.XLOOKUP(_xlpm.Site,tblSites[Include?],#REF!,0)),_xlpm.MonthlyRate,N(_xlfn.XLOOKUP(_xlpm.Site,tblSites[Include?],tblSites[Check Yes/No],0)),_xlpm.MonthlyEnroll,MAX(1,ROUND(_xlpm.MaxPts*_xlpm.MonthlyRate,0)),_xlpm.PriorEnrolled,IF(COLUMN()=COLUMN($C$6),0,SUM($C96:INDEX($1:$1048576,ROW(),COLUMN()-1))),_xlpm.Remaining,MAX(0,_xlpm.MaxPts-_xlpm.PriorEnrolled),IF(OR(_xlpm.ActDate="",EOMONTH(U$5,0)&lt;_xlpm.StartDate,_xlpm.Remaining&lt;=0),0,MIN(_xlpm.MonthlyEnroll,_xlpm.Remaining))),0))</f>
        <v/>
      </c>
      <c r="V96" s="9" t="str">
        <f>IF($B96="","",IFERROR(_xlfn.LET(_xlpm.Site,$B96,_xlpm.ActDate,_xlfn.XLOOKUP(_xlpm.Site,tblSites[Scenario?],tblSites[Check Yes/No],""),_xlpm.ScreenDays,N('Study Information'!$B$8),_xlpm.StartDate,_xlpm.ActDate+_xlpm.ScreenDays,_xlpm.MaxPts,N(_xlfn.XLOOKUP(_xlpm.Site,tblSites[Scenario?],tblSites[Country],0)),_xlpm.MonthlyRate,N(_xlfn.XLOOKUP(_xlpm.Site,tblSites[Scenario?],tblSites[Site Amounts],0)),_xlpm.MonthlyEnroll,MAX(1,ROUND(_xlpm.MaxPts*_xlpm.MonthlyRate,0)),_xlpm.PriorEnrolled,IF(COLUMN()=COLUMN($C$6),0,SUM($C96:INDEX($1:$1048576,ROW(),COLUMN()-1))),_xlpm.Remaining,MAX(0,_xlpm.MaxPts-_xlpm.PriorEnrolled),IF(OR(_xlpm.ActDate="",EOMONTH(V$5,0)&lt;_xlpm.StartDate,_xlpm.Remaining&lt;=0),0,MIN(_xlpm.MonthlyEnroll,_xlpm.Remaining))),0))</f>
        <v/>
      </c>
      <c r="W96" s="9" t="str">
        <f>IF($B96="","",IFERROR(_xlfn.LET(_xlpm.Site,$B96,_xlpm.ActDate,_xlfn.XLOOKUP(_xlpm.Site,tblSites[Check Yes/No],tblSites[Site Amounts],""),_xlpm.ScreenDays,N('Study Information'!$B$8),_xlpm.StartDate,_xlpm.ActDate+_xlpm.ScreenDays,_xlpm.MaxPts,N(_xlfn.XLOOKUP(_xlpm.Site,tblSites[Check Yes/No],tblSites[Site],0)),_xlpm.MonthlyRate,N(_xlfn.XLOOKUP(_xlpm.Site,tblSites[Check Yes/No],#REF!,0)),_xlpm.MonthlyEnroll,MAX(1,ROUND(_xlpm.MaxPts*_xlpm.MonthlyRate,0)),_xlpm.PriorEnrolled,IF(COLUMN()=COLUMN($C$6),0,SUM($C96:INDEX($1:$1048576,ROW(),COLUMN()-1))),_xlpm.Remaining,MAX(0,_xlpm.MaxPts-_xlpm.PriorEnrolled),IF(OR(_xlpm.ActDate="",EOMONTH(W$5,0)&lt;_xlpm.StartDate,_xlpm.Remaining&lt;=0),0,MIN(_xlpm.MonthlyEnroll,_xlpm.Remaining))),0))</f>
        <v/>
      </c>
      <c r="X96" s="9" t="str">
        <f>IF($B96="","",IFERROR(_xlfn.LET(_xlpm.Site,$B96,_xlpm.ActDate,_xlfn.XLOOKUP(_xlpm.Site,tblSites[Site Amounts],#REF!,""),_xlpm.ScreenDays,N('Study Information'!$B$8),_xlpm.StartDate,_xlpm.ActDate+_xlpm.ScreenDays,_xlpm.MaxPts,N(_xlfn.XLOOKUP(_xlpm.Site,tblSites[Site Amounts],tblSites[Site Activation Date],0)),_xlpm.MonthlyRate,N(_xlfn.XLOOKUP(_xlpm.Site,tblSites[Site Amounts],tblSites[Country],0)),_xlpm.MonthlyEnroll,MAX(1,ROUND(_xlpm.MaxPts*_xlpm.MonthlyRate,0)),_xlpm.PriorEnrolled,IF(COLUMN()=COLUMN($C$6),0,SUM($C96:INDEX($1:$1048576,ROW(),COLUMN()-1))),_xlpm.Remaining,MAX(0,_xlpm.MaxPts-_xlpm.PriorEnrolled),IF(OR(_xlpm.ActDate="",EOMONTH(X$5,0)&lt;_xlpm.StartDate,_xlpm.Remaining&lt;=0),0,MIN(_xlpm.MonthlyEnroll,_xlpm.Remaining))),0))</f>
        <v/>
      </c>
      <c r="Y96" s="9" t="str">
        <f>IF($B96="","",IFERROR(_xlfn.LET(_xlpm.Site,$B96,_xlpm.ActDate,_xlfn.XLOOKUP(_xlpm.Site,#REF!,tblSites[Country],""),_xlpm.ScreenDays,N('Study Information'!$B$8),_xlpm.StartDate,_xlpm.ActDate+_xlpm.ScreenDays,_xlpm.MaxPts,N(_xlfn.XLOOKUP(_xlpm.Site,#REF!,tblSites[Monthly Enrollment Rate],0)),_xlpm.MonthlyRate,N(_xlfn.XLOOKUP(_xlpm.Site,#REF!,tblSites[Site],0)),_xlpm.MonthlyEnroll,MAX(1,ROUND(_xlpm.MaxPts*_xlpm.MonthlyRate,0)),_xlpm.PriorEnrolled,IF(COLUMN()=COLUMN($C$6),0,SUM($C96:INDEX($1:$1048576,ROW(),COLUMN()-1))),_xlpm.Remaining,MAX(0,_xlpm.MaxPts-_xlpm.PriorEnrolled),IF(OR(_xlpm.ActDate="",EOMONTH(Y$5,0)&lt;_xlpm.StartDate,_xlpm.Remaining&lt;=0),0,MIN(_xlpm.MonthlyEnroll,_xlpm.Remaining))),0))</f>
        <v/>
      </c>
      <c r="Z96" s="9" t="str">
        <f>IF($B96="","",IFERROR(_xlfn.LET(_xlpm.Site,$B96,_xlpm.ActDate,_xlfn.XLOOKUP(_xlpm.Site,tblSites[Country],tblSites[Site],""),_xlpm.ScreenDays,N('Study Information'!$B$8),_xlpm.StartDate,_xlpm.ActDate+_xlpm.ScreenDays,_xlpm.MaxPts,N(_xlfn.XLOOKUP(_xlpm.Site,tblSites[Country],tblSites[Site ER 
Global or Country Specific)],0)),_xlpm.MonthlyRate,N(_xlfn.XLOOKUP(_xlpm.Site,tblSites[Country],tblSites[Site Activation Date],0)),_xlpm.MonthlyEnroll,MAX(1,ROUND(_xlpm.MaxPts*_xlpm.MonthlyRate,0)),_xlpm.PriorEnrolled,IF(COLUMN()=COLUMN($C$6),0,SUM($C96:INDEX($1:$1048576,ROW(),COLUMN()-1))),_xlpm.Remaining,MAX(0,_xlpm.MaxPts-_xlpm.PriorEnrolled),IF(OR(_xlpm.ActDate="",EOMONTH(Z$5,0)&lt;_xlpm.StartDate,_xlpm.Remaining&lt;=0),0,MIN(_xlpm.MonthlyEnroll,_xlpm.Remaining))),0))</f>
        <v/>
      </c>
      <c r="AA96" s="9" t="str">
        <f>IF($B96="","",IFERROR(_xlfn.LET(_xlpm.Site,$B96,_xlpm.ActDate,_xlfn.XLOOKUP(_xlpm.Site,tblSites[Site],tblSites[Site Activation Date],""),_xlpm.ScreenDays,N('Study Information'!$B$8),_xlpm.StartDate,_xlpm.ActDate+_xlpm.ScreenDays,_xlpm.MaxPts,N(_xlfn.XLOOKUP(_xlpm.Site,tblSites[Site],tblSites[Max Participants],0)),_xlpm.MonthlyRate,N(_xlfn.XLOOKUP(_xlpm.Site,tblSites[Site],tblSites[Monthly Enrollment Rate],0)),_xlpm.MonthlyEnroll,MAX(1,ROUND(_xlpm.MaxPts*_xlpm.MonthlyRate,0)),_xlpm.PriorEnrolled,IF(COLUMN()=COLUMN($C$6),0,SUM($C96:INDEX($1:$1048576,ROW(),COLUMN()-1))),_xlpm.Remaining,MAX(0,_xlpm.MaxPts-_xlpm.PriorEnrolled),IF(OR(_xlpm.ActDate="",EOMONTH(AA$5,0)&lt;_xlpm.StartDate,_xlpm.Remaining&lt;=0),0,MIN(_xlpm.MonthlyEnroll,_xlpm.Remaining))),0))</f>
        <v/>
      </c>
      <c r="AB96" s="9" t="str">
        <f>IF($B96="","",IFERROR(_xlfn.LET(_xlpm.Site,$B96,_xlpm.ActDate,_xlfn.XLOOKUP(_xlpm.Site,tblSites[Site Activation Date],tblSites[Monthly Enrollment Rate],""),_xlpm.ScreenDays,N('Study Information'!$B$8),_xlpm.StartDate,_xlpm.ActDate+_xlpm.ScreenDays,_xlpm.MaxPts,N(_xlfn.XLOOKUP(_xlpm.Site,tblSites[Site Activation Date],tblSites[Current Enrollment],0)),_xlpm.MonthlyRate,N(_xlfn.XLOOKUP(_xlpm.Site,tblSites[Site Activation Date],tblSites[Site ER 
Global or Country Specific)],0)),_xlpm.MonthlyEnroll,MAX(1,ROUND(_xlpm.MaxPts*_xlpm.MonthlyRate,0)),_xlpm.PriorEnrolled,IF(COLUMN()=COLUMN($C$6),0,SUM($C96:INDEX($1:$1048576,ROW(),COLUMN()-1))),_xlpm.Remaining,MAX(0,_xlpm.MaxPts-_xlpm.PriorEnrolled),IF(OR(_xlpm.ActDate="",EOMONTH(AB$5,0)&lt;_xlpm.StartDate,_xlpm.Remaining&lt;=0),0,MIN(_xlpm.MonthlyEnroll,_xlpm.Remaining))),0))</f>
        <v/>
      </c>
      <c r="AC96" s="9" t="str">
        <f>IF($B96="","",IFERROR(_xlfn.LET(_xlpm.Site,$B96,_xlpm.ActDate,_xlfn.XLOOKUP(_xlpm.Site,tblSites[Monthly Enrollment Rate],tblSites[Site ER 
Global or Country Specific)],""),_xlpm.ScreenDays,N('Study Information'!$B$8),_xlpm.StartDate,_xlpm.ActDate+_xlpm.ScreenDays,_xlpm.MaxPts,N(_xlfn.XLOOKUP(_xlpm.Site,tblSites[Monthly Enrollment Rate],tblSites[Include?],0)),_xlpm.MonthlyRate,N(_xlfn.XLOOKUP(_xlpm.Site,tblSites[Monthly Enrollment Rate],tblSites[Max Participants],0)),_xlpm.MonthlyEnroll,MAX(1,ROUND(_xlpm.MaxPts*_xlpm.MonthlyRate,0)),_xlpm.PriorEnrolled,IF(COLUMN()=COLUMN($C$6),0,SUM($C96:INDEX($1:$1048576,ROW(),COLUMN()-1))),_xlpm.Remaining,MAX(0,_xlpm.MaxPts-_xlpm.PriorEnrolled),IF(OR(_xlpm.ActDate="",EOMONTH(AC$5,0)&lt;_xlpm.StartDate,_xlpm.Remaining&lt;=0),0,MIN(_xlpm.MonthlyEnroll,_xlpm.Remaining))),0)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C06A-FAC1-44FC-A831-5F2D92CE776C}">
  <sheetPr codeName="Sheet4"/>
  <dimension ref="A1:X31"/>
  <sheetViews>
    <sheetView workbookViewId="0">
      <selection activeCell="A4" sqref="A4"/>
    </sheetView>
  </sheetViews>
  <sheetFormatPr defaultRowHeight="15" x14ac:dyDescent="0.25"/>
  <sheetData>
    <row r="1" spans="1:24" x14ac:dyDescent="0.25">
      <c r="A1" t="s">
        <v>0</v>
      </c>
      <c r="B1" s="4">
        <f>'Enrollment Forecast'!C5</f>
        <v>46023</v>
      </c>
      <c r="C1" s="4">
        <f>'Enrollment Forecast'!D5</f>
        <v>46054</v>
      </c>
      <c r="D1" s="4">
        <f>'Enrollment Forecast'!E5</f>
        <v>46082</v>
      </c>
      <c r="E1" s="4">
        <f>'Enrollment Forecast'!F5</f>
        <v>46113</v>
      </c>
      <c r="F1" s="4">
        <f>'Enrollment Forecast'!G5</f>
        <v>46143</v>
      </c>
      <c r="G1" s="4">
        <f>'Enrollment Forecast'!H5</f>
        <v>46174</v>
      </c>
      <c r="H1" s="4">
        <f>'Enrollment Forecast'!I5</f>
        <v>46204</v>
      </c>
      <c r="I1" s="4">
        <f>'Enrollment Forecast'!J5</f>
        <v>46235</v>
      </c>
      <c r="J1" s="4">
        <f>'Enrollment Forecast'!K5</f>
        <v>46266</v>
      </c>
      <c r="K1" s="4">
        <f>'Enrollment Forecast'!L5</f>
        <v>46296</v>
      </c>
      <c r="L1" s="4">
        <f>'Enrollment Forecast'!M5</f>
        <v>46327</v>
      </c>
      <c r="M1" s="4">
        <f>'Enrollment Forecast'!N5</f>
        <v>46357</v>
      </c>
      <c r="N1" s="4">
        <f>'Enrollment Forecast'!O5</f>
        <v>46388</v>
      </c>
      <c r="O1" s="4">
        <f>'Enrollment Forecast'!P5</f>
        <v>46419</v>
      </c>
      <c r="P1" s="4">
        <f>'Enrollment Forecast'!Q5</f>
        <v>46447</v>
      </c>
      <c r="Q1" s="4">
        <f>'Enrollment Forecast'!R5</f>
        <v>46478</v>
      </c>
      <c r="R1" s="4">
        <f>'Enrollment Forecast'!S5</f>
        <v>46508</v>
      </c>
      <c r="S1" s="4">
        <f>'Enrollment Forecast'!T5</f>
        <v>46539</v>
      </c>
      <c r="T1" s="4">
        <f>'Enrollment Forecast'!U5</f>
        <v>46569</v>
      </c>
      <c r="U1" s="4">
        <f>'Enrollment Forecast'!V5</f>
        <v>46600</v>
      </c>
      <c r="V1" s="4">
        <f>'Enrollment Forecast'!W5</f>
        <v>46631</v>
      </c>
      <c r="W1" s="4">
        <f>'Enrollment Forecast'!X5</f>
        <v>46661</v>
      </c>
      <c r="X1" s="4">
        <f>'Enrollment Forecast'!Y5</f>
        <v>46692</v>
      </c>
    </row>
    <row r="2" spans="1:24" x14ac:dyDescent="0.25">
      <c r="A2" t="str" cm="1">
        <f t="array" ref="A2:A4">_xlfn._xlws.SORT(_xlfn.UNIQUE(_xlfn._xlws.FILTER('Enrollment Forecast'!A6:A1000,('Enrollment Forecast'!A6:A1000&lt;&gt;"")*('Enrollment Forecast'!A6:A1000&lt;&gt;"0"))))</f>
        <v>Canada</v>
      </c>
      <c r="B2">
        <f ca="1">IF($A2="",NA(),SUMIFS('Enrollment Forecast'!C:C,'Enrollment Forecast'!$A:$A,$A2))</f>
        <v>0</v>
      </c>
      <c r="C2">
        <f ca="1">IF($A2="",NA(),SUMIFS('Enrollment Forecast'!D:D,'Enrollment Forecast'!$A:$A,$A2))</f>
        <v>0</v>
      </c>
      <c r="D2">
        <f ca="1">IF($A2="",NA(),SUMIFS('Enrollment Forecast'!E:E,'Enrollment Forecast'!$A:$A,$A2))</f>
        <v>0</v>
      </c>
      <c r="E2">
        <f ca="1">IF($A2="",NA(),SUMIFS('Enrollment Forecast'!F:F,'Enrollment Forecast'!$A:$A,$A2))</f>
        <v>0</v>
      </c>
      <c r="F2">
        <f ca="1">IF($A2="",NA(),SUMIFS('Enrollment Forecast'!G:G,'Enrollment Forecast'!$A:$A,$A2))</f>
        <v>0</v>
      </c>
      <c r="G2">
        <f ca="1">IF($A2="",NA(),SUMIFS('Enrollment Forecast'!H:H,'Enrollment Forecast'!$A:$A,$A2))</f>
        <v>0</v>
      </c>
      <c r="H2">
        <f ca="1">IF($A2="",NA(),SUMIFS('Enrollment Forecast'!I:I,'Enrollment Forecast'!$A:$A,$A2))</f>
        <v>0</v>
      </c>
      <c r="I2">
        <f ca="1">IF($A2="",NA(),SUMIFS('Enrollment Forecast'!J:J,'Enrollment Forecast'!$A:$A,$A2))</f>
        <v>2</v>
      </c>
      <c r="J2">
        <f ca="1">IF($A2="",NA(),SUMIFS('Enrollment Forecast'!K:K,'Enrollment Forecast'!$A:$A,$A2))</f>
        <v>2</v>
      </c>
      <c r="K2">
        <f ca="1">IF($A2="",NA(),SUMIFS('Enrollment Forecast'!L:L,'Enrollment Forecast'!$A:$A,$A2))</f>
        <v>2</v>
      </c>
      <c r="L2">
        <f ca="1">IF($A2="",NA(),SUMIFS('Enrollment Forecast'!M:M,'Enrollment Forecast'!$A:$A,$A2))</f>
        <v>2</v>
      </c>
      <c r="M2">
        <f ca="1">IF($A2="",NA(),SUMIFS('Enrollment Forecast'!N:N,'Enrollment Forecast'!$A:$A,$A2))</f>
        <v>2</v>
      </c>
      <c r="N2">
        <f ca="1">IF($A2="",NA(),SUMIFS('Enrollment Forecast'!O:O,'Enrollment Forecast'!$A:$A,$A2))</f>
        <v>2</v>
      </c>
      <c r="O2">
        <f ca="1">IF($A2="",NA(),SUMIFS('Enrollment Forecast'!P:P,'Enrollment Forecast'!$A:$A,$A2))</f>
        <v>2</v>
      </c>
      <c r="P2">
        <f ca="1">IF($A2="",NA(),SUMIFS('Enrollment Forecast'!Q:Q,'Enrollment Forecast'!$A:$A,$A2))</f>
        <v>2</v>
      </c>
      <c r="Q2">
        <f ca="1">IF($A2="",NA(),SUMIFS('Enrollment Forecast'!R:R,'Enrollment Forecast'!$A:$A,$A2))</f>
        <v>1</v>
      </c>
      <c r="R2">
        <f ca="1">IF($A2="",NA(),SUMIFS('Enrollment Forecast'!S:S,'Enrollment Forecast'!$A:$A,$A2))</f>
        <v>0</v>
      </c>
      <c r="S2">
        <f ca="1">IF($A2="",NA(),SUMIFS('Enrollment Forecast'!T:T,'Enrollment Forecast'!$A:$A,$A2))</f>
        <v>0</v>
      </c>
      <c r="T2">
        <f ca="1">IF($A2="",NA(),SUMIFS('Enrollment Forecast'!U:U,'Enrollment Forecast'!$A:$A,$A2))</f>
        <v>0</v>
      </c>
      <c r="U2">
        <f ca="1">IF($A2="",NA(),SUMIFS('Enrollment Forecast'!V:V,'Enrollment Forecast'!$A:$A,$A2))</f>
        <v>0</v>
      </c>
      <c r="V2">
        <f ca="1">IF($A2="",NA(),SUMIFS('Enrollment Forecast'!W:W,'Enrollment Forecast'!$A:$A,$A2))</f>
        <v>0</v>
      </c>
      <c r="W2">
        <f ca="1">IF($A2="",NA(),SUMIFS('Enrollment Forecast'!X:X,'Enrollment Forecast'!$A:$A,$A2))</f>
        <v>0</v>
      </c>
      <c r="X2">
        <f ca="1">IF($A2="",NA(),SUMIFS('Enrollment Forecast'!Y:Y,'Enrollment Forecast'!$A:$A,$A2))</f>
        <v>0</v>
      </c>
    </row>
    <row r="3" spans="1:24" x14ac:dyDescent="0.25">
      <c r="A3" t="str">
        <v>Germany</v>
      </c>
      <c r="B3">
        <f ca="1">IF($A3="","",(SUMIFS(
'Enrollment Forecast'!C:C,
'Enrollment Forecast'!$A:$A,
$A3
)))</f>
        <v>0</v>
      </c>
      <c r="C3">
        <f ca="1">IF($A3="","",(SUMIFS(
'Enrollment Forecast'!D:D,
'Enrollment Forecast'!$A:$A,
$A3
)))</f>
        <v>0</v>
      </c>
      <c r="D3">
        <f ca="1">IF($A3="","",(SUMIFS(
'Enrollment Forecast'!E:E,
'Enrollment Forecast'!$A:$A,
$A3
)))</f>
        <v>0</v>
      </c>
      <c r="E3">
        <f ca="1">IF($A3="","",(SUMIFS(
'Enrollment Forecast'!F:F,
'Enrollment Forecast'!$A:$A,
$A3
)))</f>
        <v>0</v>
      </c>
      <c r="F3">
        <f ca="1">IF($A3="","",(SUMIFS(
'Enrollment Forecast'!G:G,
'Enrollment Forecast'!$A:$A,
$A3
)))</f>
        <v>0</v>
      </c>
      <c r="G3">
        <f ca="1">IF($A3="","",(SUMIFS(
'Enrollment Forecast'!H:H,
'Enrollment Forecast'!$A:$A,
$A3
)))</f>
        <v>0</v>
      </c>
      <c r="H3">
        <f ca="1">IF($A3="","",(SUMIFS(
'Enrollment Forecast'!I:I,
'Enrollment Forecast'!$A:$A,
$A3
)))</f>
        <v>0</v>
      </c>
      <c r="I3">
        <f ca="1">IF($A3="","",(SUMIFS(
'Enrollment Forecast'!J:J,
'Enrollment Forecast'!$A:$A,
$A3
)))</f>
        <v>4</v>
      </c>
      <c r="J3">
        <f ca="1">IF($A3="","",(SUMIFS(
'Enrollment Forecast'!K:K,
'Enrollment Forecast'!$A:$A,
$A3
)))</f>
        <v>5</v>
      </c>
      <c r="K3">
        <f ca="1">IF($A3="","",(SUMIFS(
'Enrollment Forecast'!L:L,
'Enrollment Forecast'!$A:$A,
$A3
)))</f>
        <v>5</v>
      </c>
      <c r="L3">
        <f ca="1">IF($A3="","",(SUMIFS(
'Enrollment Forecast'!M:M,
'Enrollment Forecast'!$A:$A,
$A3
)))</f>
        <v>6</v>
      </c>
      <c r="M3">
        <f ca="1">IF($A3="","",(SUMIFS(
'Enrollment Forecast'!N:N,
'Enrollment Forecast'!$A:$A,
$A3
)))</f>
        <v>7</v>
      </c>
      <c r="N3">
        <f ca="1">IF($A3="","",(SUMIFS(
'Enrollment Forecast'!O:O,
'Enrollment Forecast'!$A:$A,
$A3
)))</f>
        <v>8</v>
      </c>
      <c r="O3">
        <f ca="1">IF($A3="","",(SUMIFS(
'Enrollment Forecast'!P:P,
'Enrollment Forecast'!$A:$A,
$A3
)))</f>
        <v>4</v>
      </c>
      <c r="P3">
        <f ca="1">IF($A3="","",(SUMIFS(
'Enrollment Forecast'!Q:Q,
'Enrollment Forecast'!$A:$A,
$A3
)))</f>
        <v>3</v>
      </c>
      <c r="Q3">
        <f ca="1">IF($A3="","",(SUMIFS(
'Enrollment Forecast'!R:R,
'Enrollment Forecast'!$A:$A,
$A3
)))</f>
        <v>3</v>
      </c>
      <c r="R3">
        <f ca="1">IF($A3="","",(SUMIFS(
'Enrollment Forecast'!S:S,
'Enrollment Forecast'!$A:$A,
$A3
)))</f>
        <v>2</v>
      </c>
      <c r="S3">
        <f ca="1">IF($A3="","",(SUMIFS(
'Enrollment Forecast'!T:T,
'Enrollment Forecast'!$A:$A,
$A3
)))</f>
        <v>0</v>
      </c>
      <c r="T3">
        <f ca="1">IF($A3="","",(SUMIFS(
'Enrollment Forecast'!U:U,
'Enrollment Forecast'!$A:$A,
$A3
)))</f>
        <v>0</v>
      </c>
      <c r="U3">
        <f ca="1">IF($A3="","",(SUMIFS(
'Enrollment Forecast'!V:V,
'Enrollment Forecast'!$A:$A,
$A3
)))</f>
        <v>0</v>
      </c>
      <c r="V3">
        <f ca="1">IF($A3="","",(SUMIFS(
'Enrollment Forecast'!W:W,
'Enrollment Forecast'!$A:$A,
$A3
)))</f>
        <v>0</v>
      </c>
      <c r="W3">
        <f ca="1">IF($A3="","",(SUMIFS(
'Enrollment Forecast'!X:X,
'Enrollment Forecast'!$A:$A,
$A3
)))</f>
        <v>0</v>
      </c>
      <c r="X3">
        <f ca="1">IF($A3="","",(SUMIFS(
'Enrollment Forecast'!Y:Y,
'Enrollment Forecast'!$A:$A,
$A3
)))</f>
        <v>0</v>
      </c>
    </row>
    <row r="4" spans="1:24" x14ac:dyDescent="0.25">
      <c r="A4" t="str">
        <v>United States</v>
      </c>
      <c r="B4">
        <f ca="1">IF($A4="","",(SUMIFS(
'Enrollment Forecast'!C:C,
'Enrollment Forecast'!$A:$A,
$A4
)))</f>
        <v>0</v>
      </c>
      <c r="C4">
        <f ca="1">IF($A4="","",(SUMIFS(
'Enrollment Forecast'!D:D,
'Enrollment Forecast'!$A:$A,
$A4
)))</f>
        <v>0</v>
      </c>
      <c r="D4">
        <f ca="1">IF($A4="","",(SUMIFS(
'Enrollment Forecast'!E:E,
'Enrollment Forecast'!$A:$A,
$A4
)))</f>
        <v>0</v>
      </c>
      <c r="E4">
        <f ca="1">IF($A4="","",(SUMIFS(
'Enrollment Forecast'!F:F,
'Enrollment Forecast'!$A:$A,
$A4
)))</f>
        <v>0</v>
      </c>
      <c r="F4">
        <f ca="1">IF($A4="","",(SUMIFS(
'Enrollment Forecast'!G:G,
'Enrollment Forecast'!$A:$A,
$A4
)))</f>
        <v>0</v>
      </c>
      <c r="G4">
        <f ca="1">IF($A4="","",(SUMIFS(
'Enrollment Forecast'!H:H,
'Enrollment Forecast'!$A:$A,
$A4
)))</f>
        <v>0</v>
      </c>
      <c r="H4">
        <f ca="1">IF($A4="","",(SUMIFS(
'Enrollment Forecast'!I:I,
'Enrollment Forecast'!$A:$A,
$A4
)))</f>
        <v>0</v>
      </c>
      <c r="I4">
        <f ca="1">IF($A4="","",(SUMIFS(
'Enrollment Forecast'!J:J,
'Enrollment Forecast'!$A:$A,
$A4
)))</f>
        <v>12</v>
      </c>
      <c r="J4">
        <f ca="1">IF($A4="","",(SUMIFS(
'Enrollment Forecast'!K:K,
'Enrollment Forecast'!$A:$A,
$A4
)))</f>
        <v>8</v>
      </c>
      <c r="K4">
        <f ca="1">IF($A4="","",(SUMIFS(
'Enrollment Forecast'!L:L,
'Enrollment Forecast'!$A:$A,
$A4
)))</f>
        <v>5</v>
      </c>
      <c r="L4">
        <f ca="1">IF($A4="","",(SUMIFS(
'Enrollment Forecast'!M:M,
'Enrollment Forecast'!$A:$A,
$A4
)))</f>
        <v>4</v>
      </c>
      <c r="M4">
        <f ca="1">IF($A4="","",(SUMIFS(
'Enrollment Forecast'!N:N,
'Enrollment Forecast'!$A:$A,
$A4
)))</f>
        <v>4</v>
      </c>
      <c r="N4">
        <f ca="1">IF($A4="","",(SUMIFS(
'Enrollment Forecast'!O:O,
'Enrollment Forecast'!$A:$A,
$A4
)))</f>
        <v>4</v>
      </c>
      <c r="O4">
        <f ca="1">IF($A4="","",(SUMIFS(
'Enrollment Forecast'!P:P,
'Enrollment Forecast'!$A:$A,
$A4
)))</f>
        <v>0</v>
      </c>
      <c r="P4">
        <f ca="1">IF($A4="","",(SUMIFS(
'Enrollment Forecast'!Q:Q,
'Enrollment Forecast'!$A:$A,
$A4
)))</f>
        <v>0</v>
      </c>
      <c r="Q4">
        <f ca="1">IF($A4="","",(SUMIFS(
'Enrollment Forecast'!R:R,
'Enrollment Forecast'!$A:$A,
$A4
)))</f>
        <v>0</v>
      </c>
      <c r="R4">
        <f ca="1">IF($A4="","",(SUMIFS(
'Enrollment Forecast'!S:S,
'Enrollment Forecast'!$A:$A,
$A4
)))</f>
        <v>0</v>
      </c>
      <c r="S4">
        <f ca="1">IF($A4="","",(SUMIFS(
'Enrollment Forecast'!T:T,
'Enrollment Forecast'!$A:$A,
$A4
)))</f>
        <v>0</v>
      </c>
      <c r="T4">
        <f ca="1">IF($A4="","",(SUMIFS(
'Enrollment Forecast'!U:U,
'Enrollment Forecast'!$A:$A,
$A4
)))</f>
        <v>0</v>
      </c>
      <c r="U4">
        <f ca="1">IF($A4="","",(SUMIFS(
'Enrollment Forecast'!V:V,
'Enrollment Forecast'!$A:$A,
$A4
)))</f>
        <v>0</v>
      </c>
      <c r="V4">
        <f ca="1">IF($A4="","",(SUMIFS(
'Enrollment Forecast'!W:W,
'Enrollment Forecast'!$A:$A,
$A4
)))</f>
        <v>0</v>
      </c>
      <c r="W4">
        <f ca="1">IF($A4="","",(SUMIFS(
'Enrollment Forecast'!X:X,
'Enrollment Forecast'!$A:$A,
$A4
)))</f>
        <v>0</v>
      </c>
      <c r="X4">
        <f ca="1">IF($A4="","",(SUMIFS(
'Enrollment Forecast'!Y:Y,
'Enrollment Forecast'!$A:$A,
$A4
)))</f>
        <v>0</v>
      </c>
    </row>
    <row r="5" spans="1:24" x14ac:dyDescent="0.25">
      <c r="B5" t="str">
        <f>IF($A5="","",(SUMIFS(
'Enrollment Forecast'!C:C,
'Enrollment Forecast'!$A:$A,
$A5
)))</f>
        <v/>
      </c>
      <c r="C5" t="str">
        <f>IF($A5="","",(SUMIFS(
'Enrollment Forecast'!D:D,
'Enrollment Forecast'!$A:$A,
$A5
)))</f>
        <v/>
      </c>
      <c r="D5" t="str">
        <f>IF($A5="","",(SUMIFS(
'Enrollment Forecast'!E:E,
'Enrollment Forecast'!$A:$A,
$A5
)))</f>
        <v/>
      </c>
      <c r="E5" t="str">
        <f>IF($A5="","",(SUMIFS(
'Enrollment Forecast'!F:F,
'Enrollment Forecast'!$A:$A,
$A5
)))</f>
        <v/>
      </c>
      <c r="F5" t="str">
        <f>IF($A5="","",(SUMIFS(
'Enrollment Forecast'!G:G,
'Enrollment Forecast'!$A:$A,
$A5
)))</f>
        <v/>
      </c>
      <c r="G5" t="str">
        <f>IF($A5="","",(SUMIFS(
'Enrollment Forecast'!H:H,
'Enrollment Forecast'!$A:$A,
$A5
)))</f>
        <v/>
      </c>
      <c r="H5" t="str">
        <f>IF($A5="","",(SUMIFS(
'Enrollment Forecast'!I:I,
'Enrollment Forecast'!$A:$A,
$A5
)))</f>
        <v/>
      </c>
      <c r="I5" t="str">
        <f>IF($A5="","",(SUMIFS(
'Enrollment Forecast'!J:J,
'Enrollment Forecast'!$A:$A,
$A5
)))</f>
        <v/>
      </c>
      <c r="J5" t="str">
        <f>IF($A5="","",(SUMIFS(
'Enrollment Forecast'!K:K,
'Enrollment Forecast'!$A:$A,
$A5
)))</f>
        <v/>
      </c>
      <c r="K5" t="str">
        <f>IF($A5="","",(SUMIFS(
'Enrollment Forecast'!L:L,
'Enrollment Forecast'!$A:$A,
$A5
)))</f>
        <v/>
      </c>
      <c r="L5" t="str">
        <f>IF($A5="","",(SUMIFS(
'Enrollment Forecast'!M:M,
'Enrollment Forecast'!$A:$A,
$A5
)))</f>
        <v/>
      </c>
      <c r="M5" t="str">
        <f>IF($A5="","",(SUMIFS(
'Enrollment Forecast'!N:N,
'Enrollment Forecast'!$A:$A,
$A5
)))</f>
        <v/>
      </c>
      <c r="N5" t="str">
        <f>IF($A5="","",(SUMIFS(
'Enrollment Forecast'!O:O,
'Enrollment Forecast'!$A:$A,
$A5
)))</f>
        <v/>
      </c>
      <c r="O5" t="str">
        <f>IF($A5="","",(SUMIFS(
'Enrollment Forecast'!P:P,
'Enrollment Forecast'!$A:$A,
$A5
)))</f>
        <v/>
      </c>
      <c r="P5" t="str">
        <f>IF($A5="","",(SUMIFS(
'Enrollment Forecast'!Q:Q,
'Enrollment Forecast'!$A:$A,
$A5
)))</f>
        <v/>
      </c>
      <c r="Q5" t="str">
        <f>IF($A5="","",(SUMIFS(
'Enrollment Forecast'!R:R,
'Enrollment Forecast'!$A:$A,
$A5
)))</f>
        <v/>
      </c>
      <c r="R5" t="str">
        <f>IF($A5="","",(SUMIFS(
'Enrollment Forecast'!S:S,
'Enrollment Forecast'!$A:$A,
$A5
)))</f>
        <v/>
      </c>
      <c r="S5" t="str">
        <f>IF($A5="","",(SUMIFS(
'Enrollment Forecast'!T:T,
'Enrollment Forecast'!$A:$A,
$A5
)))</f>
        <v/>
      </c>
      <c r="T5" t="str">
        <f>IF($A5="","",(SUMIFS(
'Enrollment Forecast'!U:U,
'Enrollment Forecast'!$A:$A,
$A5
)))</f>
        <v/>
      </c>
      <c r="U5" t="str">
        <f>IF($A5="","",(SUMIFS(
'Enrollment Forecast'!V:V,
'Enrollment Forecast'!$A:$A,
$A5
)))</f>
        <v/>
      </c>
      <c r="V5" t="str">
        <f>IF($A5="","",(SUMIFS(
'Enrollment Forecast'!W:W,
'Enrollment Forecast'!$A:$A,
$A5
)))</f>
        <v/>
      </c>
      <c r="W5" t="str">
        <f>IF($A5="","",(SUMIFS(
'Enrollment Forecast'!X:X,
'Enrollment Forecast'!$A:$A,
$A5
)))</f>
        <v/>
      </c>
      <c r="X5" t="str">
        <f>IF($A5="","",(SUMIFS(
'Enrollment Forecast'!Y:Y,
'Enrollment Forecast'!$A:$A,
$A5
)))</f>
        <v/>
      </c>
    </row>
    <row r="6" spans="1:24" x14ac:dyDescent="0.25">
      <c r="B6" t="str">
        <f>IF($A6="","",(SUMIFS(
'Enrollment Forecast'!C:C,
'Enrollment Forecast'!$A:$A,
$A6
)))</f>
        <v/>
      </c>
      <c r="C6" t="str">
        <f>IF($A6="","",(SUMIFS(
'Enrollment Forecast'!D:D,
'Enrollment Forecast'!$A:$A,
$A6
)))</f>
        <v/>
      </c>
      <c r="D6" t="str">
        <f>IF($A6="","",(SUMIFS(
'Enrollment Forecast'!E:E,
'Enrollment Forecast'!$A:$A,
$A6
)))</f>
        <v/>
      </c>
      <c r="E6" t="str">
        <f>IF($A6="","",(SUMIFS(
'Enrollment Forecast'!F:F,
'Enrollment Forecast'!$A:$A,
$A6
)))</f>
        <v/>
      </c>
      <c r="F6" t="str">
        <f>IF($A6="","",(SUMIFS(
'Enrollment Forecast'!G:G,
'Enrollment Forecast'!$A:$A,
$A6
)))</f>
        <v/>
      </c>
      <c r="G6" t="str">
        <f>IF($A6="","",(SUMIFS(
'Enrollment Forecast'!H:H,
'Enrollment Forecast'!$A:$A,
$A6
)))</f>
        <v/>
      </c>
      <c r="H6" t="str">
        <f>IF($A6="","",(SUMIFS(
'Enrollment Forecast'!I:I,
'Enrollment Forecast'!$A:$A,
$A6
)))</f>
        <v/>
      </c>
      <c r="I6" t="str">
        <f>IF($A6="","",(SUMIFS(
'Enrollment Forecast'!J:J,
'Enrollment Forecast'!$A:$A,
$A6
)))</f>
        <v/>
      </c>
      <c r="J6" t="str">
        <f>IF($A6="","",(SUMIFS(
'Enrollment Forecast'!K:K,
'Enrollment Forecast'!$A:$A,
$A6
)))</f>
        <v/>
      </c>
      <c r="K6" t="str">
        <f>IF($A6="","",(SUMIFS(
'Enrollment Forecast'!L:L,
'Enrollment Forecast'!$A:$A,
$A6
)))</f>
        <v/>
      </c>
      <c r="L6" t="str">
        <f>IF($A6="","",(SUMIFS(
'Enrollment Forecast'!M:M,
'Enrollment Forecast'!$A:$A,
$A6
)))</f>
        <v/>
      </c>
      <c r="M6" t="str">
        <f>IF($A6="","",(SUMIFS(
'Enrollment Forecast'!N:N,
'Enrollment Forecast'!$A:$A,
$A6
)))</f>
        <v/>
      </c>
      <c r="N6" t="str">
        <f>IF($A6="","",(SUMIFS(
'Enrollment Forecast'!O:O,
'Enrollment Forecast'!$A:$A,
$A6
)))</f>
        <v/>
      </c>
      <c r="O6" t="str">
        <f>IF($A6="","",(SUMIFS(
'Enrollment Forecast'!P:P,
'Enrollment Forecast'!$A:$A,
$A6
)))</f>
        <v/>
      </c>
      <c r="P6" t="str">
        <f>IF($A6="","",(SUMIFS(
'Enrollment Forecast'!Q:Q,
'Enrollment Forecast'!$A:$A,
$A6
)))</f>
        <v/>
      </c>
      <c r="Q6" t="str">
        <f>IF($A6="","",(SUMIFS(
'Enrollment Forecast'!R:R,
'Enrollment Forecast'!$A:$A,
$A6
)))</f>
        <v/>
      </c>
      <c r="R6" t="str">
        <f>IF($A6="","",(SUMIFS(
'Enrollment Forecast'!S:S,
'Enrollment Forecast'!$A:$A,
$A6
)))</f>
        <v/>
      </c>
      <c r="S6" t="str">
        <f>IF($A6="","",(SUMIFS(
'Enrollment Forecast'!T:T,
'Enrollment Forecast'!$A:$A,
$A6
)))</f>
        <v/>
      </c>
      <c r="T6" t="str">
        <f>IF($A6="","",(SUMIFS(
'Enrollment Forecast'!U:U,
'Enrollment Forecast'!$A:$A,
$A6
)))</f>
        <v/>
      </c>
      <c r="U6" t="str">
        <f>IF($A6="","",(SUMIFS(
'Enrollment Forecast'!V:V,
'Enrollment Forecast'!$A:$A,
$A6
)))</f>
        <v/>
      </c>
      <c r="V6" t="str">
        <f>IF($A6="","",(SUMIFS(
'Enrollment Forecast'!W:W,
'Enrollment Forecast'!$A:$A,
$A6
)))</f>
        <v/>
      </c>
      <c r="W6" t="str">
        <f>IF($A6="","",(SUMIFS(
'Enrollment Forecast'!X:X,
'Enrollment Forecast'!$A:$A,
$A6
)))</f>
        <v/>
      </c>
      <c r="X6" t="str">
        <f>IF($A6="","",(SUMIFS(
'Enrollment Forecast'!Y:Y,
'Enrollment Forecast'!$A:$A,
$A6
)))</f>
        <v/>
      </c>
    </row>
    <row r="7" spans="1:24" x14ac:dyDescent="0.25">
      <c r="B7" t="str">
        <f>IF($A7="","",(SUMIFS(
'Enrollment Forecast'!C:C,
'Enrollment Forecast'!$A:$A,
$A7
)))</f>
        <v/>
      </c>
      <c r="C7" t="str">
        <f>IF($A7="","",(SUMIFS(
'Enrollment Forecast'!D:D,
'Enrollment Forecast'!$A:$A,
$A7
)))</f>
        <v/>
      </c>
      <c r="D7" t="str">
        <f>IF($A7="","",(SUMIFS(
'Enrollment Forecast'!E:E,
'Enrollment Forecast'!$A:$A,
$A7
)))</f>
        <v/>
      </c>
      <c r="E7" t="str">
        <f>IF($A7="","",(SUMIFS(
'Enrollment Forecast'!F:F,
'Enrollment Forecast'!$A:$A,
$A7
)))</f>
        <v/>
      </c>
      <c r="F7" t="str">
        <f>IF($A7="","",(SUMIFS(
'Enrollment Forecast'!G:G,
'Enrollment Forecast'!$A:$A,
$A7
)))</f>
        <v/>
      </c>
      <c r="G7" t="str">
        <f>IF($A7="","",(SUMIFS(
'Enrollment Forecast'!H:H,
'Enrollment Forecast'!$A:$A,
$A7
)))</f>
        <v/>
      </c>
      <c r="H7" t="str">
        <f>IF($A7="","",(SUMIFS(
'Enrollment Forecast'!I:I,
'Enrollment Forecast'!$A:$A,
$A7
)))</f>
        <v/>
      </c>
      <c r="I7" t="str">
        <f>IF($A7="","",(SUMIFS(
'Enrollment Forecast'!J:J,
'Enrollment Forecast'!$A:$A,
$A7
)))</f>
        <v/>
      </c>
      <c r="J7" t="str">
        <f>IF($A7="","",(SUMIFS(
'Enrollment Forecast'!K:K,
'Enrollment Forecast'!$A:$A,
$A7
)))</f>
        <v/>
      </c>
      <c r="K7" t="str">
        <f>IF($A7="","",(SUMIFS(
'Enrollment Forecast'!L:L,
'Enrollment Forecast'!$A:$A,
$A7
)))</f>
        <v/>
      </c>
      <c r="L7" t="str">
        <f>IF($A7="","",(SUMIFS(
'Enrollment Forecast'!M:M,
'Enrollment Forecast'!$A:$A,
$A7
)))</f>
        <v/>
      </c>
      <c r="M7" t="str">
        <f>IF($A7="","",(SUMIFS(
'Enrollment Forecast'!N:N,
'Enrollment Forecast'!$A:$A,
$A7
)))</f>
        <v/>
      </c>
      <c r="N7" t="str">
        <f>IF($A7="","",(SUMIFS(
'Enrollment Forecast'!O:O,
'Enrollment Forecast'!$A:$A,
$A7
)))</f>
        <v/>
      </c>
      <c r="O7" t="str">
        <f>IF($A7="","",(SUMIFS(
'Enrollment Forecast'!P:P,
'Enrollment Forecast'!$A:$A,
$A7
)))</f>
        <v/>
      </c>
      <c r="P7" t="str">
        <f>IF($A7="","",(SUMIFS(
'Enrollment Forecast'!Q:Q,
'Enrollment Forecast'!$A:$A,
$A7
)))</f>
        <v/>
      </c>
      <c r="Q7" t="str">
        <f>IF($A7="","",(SUMIFS(
'Enrollment Forecast'!R:R,
'Enrollment Forecast'!$A:$A,
$A7
)))</f>
        <v/>
      </c>
      <c r="R7" t="str">
        <f>IF($A7="","",(SUMIFS(
'Enrollment Forecast'!S:S,
'Enrollment Forecast'!$A:$A,
$A7
)))</f>
        <v/>
      </c>
      <c r="S7" t="str">
        <f>IF($A7="","",(SUMIFS(
'Enrollment Forecast'!T:T,
'Enrollment Forecast'!$A:$A,
$A7
)))</f>
        <v/>
      </c>
      <c r="T7" t="str">
        <f>IF($A7="","",(SUMIFS(
'Enrollment Forecast'!U:U,
'Enrollment Forecast'!$A:$A,
$A7
)))</f>
        <v/>
      </c>
      <c r="U7" t="str">
        <f>IF($A7="","",(SUMIFS(
'Enrollment Forecast'!V:V,
'Enrollment Forecast'!$A:$A,
$A7
)))</f>
        <v/>
      </c>
      <c r="V7" t="str">
        <f>IF($A7="","",(SUMIFS(
'Enrollment Forecast'!W:W,
'Enrollment Forecast'!$A:$A,
$A7
)))</f>
        <v/>
      </c>
      <c r="W7" t="str">
        <f>IF($A7="","",(SUMIFS(
'Enrollment Forecast'!X:X,
'Enrollment Forecast'!$A:$A,
$A7
)))</f>
        <v/>
      </c>
      <c r="X7" t="str">
        <f>IF($A7="","",(SUMIFS(
'Enrollment Forecast'!Y:Y,
'Enrollment Forecast'!$A:$A,
$A7
)))</f>
        <v/>
      </c>
    </row>
    <row r="8" spans="1:24" x14ac:dyDescent="0.25">
      <c r="B8" t="str">
        <f>IF($A8="","",(SUMIFS(
'Enrollment Forecast'!C:C,
'Enrollment Forecast'!$A:$A,
$A8
)))</f>
        <v/>
      </c>
      <c r="C8" t="str">
        <f>IF($A8="","",(SUMIFS(
'Enrollment Forecast'!D:D,
'Enrollment Forecast'!$A:$A,
$A8
)))</f>
        <v/>
      </c>
      <c r="D8" t="str">
        <f>IF($A8="","",(SUMIFS(
'Enrollment Forecast'!E:E,
'Enrollment Forecast'!$A:$A,
$A8
)))</f>
        <v/>
      </c>
      <c r="E8" t="str">
        <f>IF($A8="","",(SUMIFS(
'Enrollment Forecast'!F:F,
'Enrollment Forecast'!$A:$A,
$A8
)))</f>
        <v/>
      </c>
      <c r="F8" t="str">
        <f>IF($A8="","",(SUMIFS(
'Enrollment Forecast'!G:G,
'Enrollment Forecast'!$A:$A,
$A8
)))</f>
        <v/>
      </c>
      <c r="G8" t="str">
        <f>IF($A8="","",(SUMIFS(
'Enrollment Forecast'!H:H,
'Enrollment Forecast'!$A:$A,
$A8
)))</f>
        <v/>
      </c>
      <c r="H8" t="str">
        <f>IF($A8="","",(SUMIFS(
'Enrollment Forecast'!I:I,
'Enrollment Forecast'!$A:$A,
$A8
)))</f>
        <v/>
      </c>
      <c r="I8" t="str">
        <f>IF($A8="","",(SUMIFS(
'Enrollment Forecast'!J:J,
'Enrollment Forecast'!$A:$A,
$A8
)))</f>
        <v/>
      </c>
      <c r="J8" t="str">
        <f>IF($A8="","",(SUMIFS(
'Enrollment Forecast'!K:K,
'Enrollment Forecast'!$A:$A,
$A8
)))</f>
        <v/>
      </c>
      <c r="K8" t="str">
        <f>IF($A8="","",(SUMIFS(
'Enrollment Forecast'!L:L,
'Enrollment Forecast'!$A:$A,
$A8
)))</f>
        <v/>
      </c>
      <c r="L8" t="str">
        <f>IF($A8="","",(SUMIFS(
'Enrollment Forecast'!M:M,
'Enrollment Forecast'!$A:$A,
$A8
)))</f>
        <v/>
      </c>
      <c r="M8" t="str">
        <f>IF($A8="","",(SUMIFS(
'Enrollment Forecast'!N:N,
'Enrollment Forecast'!$A:$A,
$A8
)))</f>
        <v/>
      </c>
      <c r="N8" t="str">
        <f>IF($A8="","",(SUMIFS(
'Enrollment Forecast'!O:O,
'Enrollment Forecast'!$A:$A,
$A8
)))</f>
        <v/>
      </c>
      <c r="O8" t="str">
        <f>IF($A8="","",(SUMIFS(
'Enrollment Forecast'!P:P,
'Enrollment Forecast'!$A:$A,
$A8
)))</f>
        <v/>
      </c>
      <c r="P8" t="str">
        <f>IF($A8="","",(SUMIFS(
'Enrollment Forecast'!Q:Q,
'Enrollment Forecast'!$A:$A,
$A8
)))</f>
        <v/>
      </c>
      <c r="Q8" t="str">
        <f>IF($A8="","",(SUMIFS(
'Enrollment Forecast'!R:R,
'Enrollment Forecast'!$A:$A,
$A8
)))</f>
        <v/>
      </c>
      <c r="R8" t="str">
        <f>IF($A8="","",(SUMIFS(
'Enrollment Forecast'!S:S,
'Enrollment Forecast'!$A:$A,
$A8
)))</f>
        <v/>
      </c>
      <c r="S8" t="str">
        <f>IF($A8="","",(SUMIFS(
'Enrollment Forecast'!T:T,
'Enrollment Forecast'!$A:$A,
$A8
)))</f>
        <v/>
      </c>
      <c r="T8" t="str">
        <f>IF($A8="","",(SUMIFS(
'Enrollment Forecast'!U:U,
'Enrollment Forecast'!$A:$A,
$A8
)))</f>
        <v/>
      </c>
      <c r="U8" t="str">
        <f>IF($A8="","",(SUMIFS(
'Enrollment Forecast'!V:V,
'Enrollment Forecast'!$A:$A,
$A8
)))</f>
        <v/>
      </c>
      <c r="V8" t="str">
        <f>IF($A8="","",(SUMIFS(
'Enrollment Forecast'!W:W,
'Enrollment Forecast'!$A:$A,
$A8
)))</f>
        <v/>
      </c>
      <c r="W8" t="str">
        <f>IF($A8="","",(SUMIFS(
'Enrollment Forecast'!X:X,
'Enrollment Forecast'!$A:$A,
$A8
)))</f>
        <v/>
      </c>
      <c r="X8" t="str">
        <f>IF($A8="","",(SUMIFS(
'Enrollment Forecast'!Y:Y,
'Enrollment Forecast'!$A:$A,
$A8
)))</f>
        <v/>
      </c>
    </row>
    <row r="9" spans="1:24" x14ac:dyDescent="0.25">
      <c r="B9" t="str">
        <f>IF($A9="","",(SUMIFS(
'Enrollment Forecast'!C:C,
'Enrollment Forecast'!$A:$A,
$A9
)))</f>
        <v/>
      </c>
      <c r="C9" t="str">
        <f>IF($A9="","",(SUMIFS(
'Enrollment Forecast'!D:D,
'Enrollment Forecast'!$A:$A,
$A9
)))</f>
        <v/>
      </c>
      <c r="D9" t="str">
        <f>IF($A9="","",(SUMIFS(
'Enrollment Forecast'!E:E,
'Enrollment Forecast'!$A:$A,
$A9
)))</f>
        <v/>
      </c>
      <c r="E9" t="str">
        <f>IF($A9="","",(SUMIFS(
'Enrollment Forecast'!F:F,
'Enrollment Forecast'!$A:$A,
$A9
)))</f>
        <v/>
      </c>
      <c r="F9" t="str">
        <f>IF($A9="","",(SUMIFS(
'Enrollment Forecast'!G:G,
'Enrollment Forecast'!$A:$A,
$A9
)))</f>
        <v/>
      </c>
      <c r="G9" t="str">
        <f>IF($A9="","",(SUMIFS(
'Enrollment Forecast'!H:H,
'Enrollment Forecast'!$A:$A,
$A9
)))</f>
        <v/>
      </c>
      <c r="H9" t="str">
        <f>IF($A9="","",(SUMIFS(
'Enrollment Forecast'!I:I,
'Enrollment Forecast'!$A:$A,
$A9
)))</f>
        <v/>
      </c>
      <c r="I9" t="str">
        <f>IF($A9="","",(SUMIFS(
'Enrollment Forecast'!J:J,
'Enrollment Forecast'!$A:$A,
$A9
)))</f>
        <v/>
      </c>
      <c r="J9" t="str">
        <f>IF($A9="","",(SUMIFS(
'Enrollment Forecast'!K:K,
'Enrollment Forecast'!$A:$A,
$A9
)))</f>
        <v/>
      </c>
      <c r="K9" t="str">
        <f>IF($A9="","",(SUMIFS(
'Enrollment Forecast'!L:L,
'Enrollment Forecast'!$A:$A,
$A9
)))</f>
        <v/>
      </c>
      <c r="L9" t="str">
        <f>IF($A9="","",(SUMIFS(
'Enrollment Forecast'!M:M,
'Enrollment Forecast'!$A:$A,
$A9
)))</f>
        <v/>
      </c>
      <c r="M9" t="str">
        <f>IF($A9="","",(SUMIFS(
'Enrollment Forecast'!N:N,
'Enrollment Forecast'!$A:$A,
$A9
)))</f>
        <v/>
      </c>
      <c r="N9" t="str">
        <f>IF($A9="","",(SUMIFS(
'Enrollment Forecast'!O:O,
'Enrollment Forecast'!$A:$A,
$A9
)))</f>
        <v/>
      </c>
      <c r="O9" t="str">
        <f>IF($A9="","",(SUMIFS(
'Enrollment Forecast'!P:P,
'Enrollment Forecast'!$A:$A,
$A9
)))</f>
        <v/>
      </c>
      <c r="P9" t="str">
        <f>IF($A9="","",(SUMIFS(
'Enrollment Forecast'!Q:Q,
'Enrollment Forecast'!$A:$A,
$A9
)))</f>
        <v/>
      </c>
      <c r="Q9" t="str">
        <f>IF($A9="","",(SUMIFS(
'Enrollment Forecast'!R:R,
'Enrollment Forecast'!$A:$A,
$A9
)))</f>
        <v/>
      </c>
      <c r="R9" t="str">
        <f>IF($A9="","",(SUMIFS(
'Enrollment Forecast'!S:S,
'Enrollment Forecast'!$A:$A,
$A9
)))</f>
        <v/>
      </c>
      <c r="S9" t="str">
        <f>IF($A9="","",(SUMIFS(
'Enrollment Forecast'!T:T,
'Enrollment Forecast'!$A:$A,
$A9
)))</f>
        <v/>
      </c>
      <c r="T9" t="str">
        <f>IF($A9="","",(SUMIFS(
'Enrollment Forecast'!U:U,
'Enrollment Forecast'!$A:$A,
$A9
)))</f>
        <v/>
      </c>
      <c r="U9" t="str">
        <f>IF($A9="","",(SUMIFS(
'Enrollment Forecast'!V:V,
'Enrollment Forecast'!$A:$A,
$A9
)))</f>
        <v/>
      </c>
      <c r="V9" t="str">
        <f>IF($A9="","",(SUMIFS(
'Enrollment Forecast'!W:W,
'Enrollment Forecast'!$A:$A,
$A9
)))</f>
        <v/>
      </c>
      <c r="W9" t="str">
        <f>IF($A9="","",(SUMIFS(
'Enrollment Forecast'!X:X,
'Enrollment Forecast'!$A:$A,
$A9
)))</f>
        <v/>
      </c>
      <c r="X9" t="str">
        <f>IF($A9="","",(SUMIFS(
'Enrollment Forecast'!Y:Y,
'Enrollment Forecast'!$A:$A,
$A9
)))</f>
        <v/>
      </c>
    </row>
    <row r="10" spans="1:24" x14ac:dyDescent="0.25">
      <c r="B10" t="str">
        <f>IF($A10="","",(SUMIFS(
'Enrollment Forecast'!C:C,
'Enrollment Forecast'!$A:$A,
$A10
)))</f>
        <v/>
      </c>
      <c r="C10" t="str">
        <f>IF($A10="","",(SUMIFS(
'Enrollment Forecast'!D:D,
'Enrollment Forecast'!$A:$A,
$A10
)))</f>
        <v/>
      </c>
      <c r="D10" t="str">
        <f>IF($A10="","",(SUMIFS(
'Enrollment Forecast'!E:E,
'Enrollment Forecast'!$A:$A,
$A10
)))</f>
        <v/>
      </c>
      <c r="E10" t="str">
        <f>IF($A10="","",(SUMIFS(
'Enrollment Forecast'!F:F,
'Enrollment Forecast'!$A:$A,
$A10
)))</f>
        <v/>
      </c>
      <c r="F10" t="str">
        <f>IF($A10="","",(SUMIFS(
'Enrollment Forecast'!G:G,
'Enrollment Forecast'!$A:$A,
$A10
)))</f>
        <v/>
      </c>
      <c r="G10" t="str">
        <f>IF($A10="","",(SUMIFS(
'Enrollment Forecast'!H:H,
'Enrollment Forecast'!$A:$A,
$A10
)))</f>
        <v/>
      </c>
      <c r="H10" t="str">
        <f>IF($A10="","",(SUMIFS(
'Enrollment Forecast'!I:I,
'Enrollment Forecast'!$A:$A,
$A10
)))</f>
        <v/>
      </c>
      <c r="I10" t="str">
        <f>IF($A10="","",(SUMIFS(
'Enrollment Forecast'!J:J,
'Enrollment Forecast'!$A:$A,
$A10
)))</f>
        <v/>
      </c>
      <c r="J10" t="str">
        <f>IF($A10="","",(SUMIFS(
'Enrollment Forecast'!K:K,
'Enrollment Forecast'!$A:$A,
$A10
)))</f>
        <v/>
      </c>
      <c r="K10" t="str">
        <f>IF($A10="","",(SUMIFS(
'Enrollment Forecast'!L:L,
'Enrollment Forecast'!$A:$A,
$A10
)))</f>
        <v/>
      </c>
      <c r="L10" t="str">
        <f>IF($A10="","",(SUMIFS(
'Enrollment Forecast'!M:M,
'Enrollment Forecast'!$A:$A,
$A10
)))</f>
        <v/>
      </c>
      <c r="M10" t="str">
        <f>IF($A10="","",(SUMIFS(
'Enrollment Forecast'!N:N,
'Enrollment Forecast'!$A:$A,
$A10
)))</f>
        <v/>
      </c>
      <c r="N10" t="str">
        <f>IF($A10="","",(SUMIFS(
'Enrollment Forecast'!O:O,
'Enrollment Forecast'!$A:$A,
$A10
)))</f>
        <v/>
      </c>
      <c r="O10" t="str">
        <f>IF($A10="","",(SUMIFS(
'Enrollment Forecast'!P:P,
'Enrollment Forecast'!$A:$A,
$A10
)))</f>
        <v/>
      </c>
      <c r="P10" t="str">
        <f>IF($A10="","",(SUMIFS(
'Enrollment Forecast'!Q:Q,
'Enrollment Forecast'!$A:$A,
$A10
)))</f>
        <v/>
      </c>
      <c r="Q10" t="str">
        <f>IF($A10="","",(SUMIFS(
'Enrollment Forecast'!R:R,
'Enrollment Forecast'!$A:$A,
$A10
)))</f>
        <v/>
      </c>
      <c r="R10" t="str">
        <f>IF($A10="","",(SUMIFS(
'Enrollment Forecast'!S:S,
'Enrollment Forecast'!$A:$A,
$A10
)))</f>
        <v/>
      </c>
      <c r="S10" t="str">
        <f>IF($A10="","",(SUMIFS(
'Enrollment Forecast'!T:T,
'Enrollment Forecast'!$A:$A,
$A10
)))</f>
        <v/>
      </c>
      <c r="T10" t="str">
        <f>IF($A10="","",(SUMIFS(
'Enrollment Forecast'!U:U,
'Enrollment Forecast'!$A:$A,
$A10
)))</f>
        <v/>
      </c>
      <c r="U10" t="str">
        <f>IF($A10="","",(SUMIFS(
'Enrollment Forecast'!V:V,
'Enrollment Forecast'!$A:$A,
$A10
)))</f>
        <v/>
      </c>
      <c r="V10" t="str">
        <f>IF($A10="","",(SUMIFS(
'Enrollment Forecast'!W:W,
'Enrollment Forecast'!$A:$A,
$A10
)))</f>
        <v/>
      </c>
      <c r="W10" t="str">
        <f>IF($A10="","",(SUMIFS(
'Enrollment Forecast'!X:X,
'Enrollment Forecast'!$A:$A,
$A10
)))</f>
        <v/>
      </c>
      <c r="X10" t="str">
        <f>IF($A10="","",(SUMIFS(
'Enrollment Forecast'!Y:Y,
'Enrollment Forecast'!$A:$A,
$A10
)))</f>
        <v/>
      </c>
    </row>
    <row r="11" spans="1:24" x14ac:dyDescent="0.25">
      <c r="B11" t="str">
        <f>IF($A11="","",(SUMIFS(
'Enrollment Forecast'!C:C,
'Enrollment Forecast'!$A:$A,
$A11
)))</f>
        <v/>
      </c>
      <c r="C11" t="str">
        <f>IF($A11="","",(SUMIFS(
'Enrollment Forecast'!D:D,
'Enrollment Forecast'!$A:$A,
$A11
)))</f>
        <v/>
      </c>
      <c r="D11" t="str">
        <f>IF($A11="","",(SUMIFS(
'Enrollment Forecast'!E:E,
'Enrollment Forecast'!$A:$A,
$A11
)))</f>
        <v/>
      </c>
      <c r="E11" t="str">
        <f>IF($A11="","",(SUMIFS(
'Enrollment Forecast'!F:F,
'Enrollment Forecast'!$A:$A,
$A11
)))</f>
        <v/>
      </c>
      <c r="F11" t="str">
        <f>IF($A11="","",(SUMIFS(
'Enrollment Forecast'!G:G,
'Enrollment Forecast'!$A:$A,
$A11
)))</f>
        <v/>
      </c>
      <c r="G11" t="str">
        <f>IF($A11="","",(SUMIFS(
'Enrollment Forecast'!H:H,
'Enrollment Forecast'!$A:$A,
$A11
)))</f>
        <v/>
      </c>
      <c r="H11" t="str">
        <f>IF($A11="","",(SUMIFS(
'Enrollment Forecast'!I:I,
'Enrollment Forecast'!$A:$A,
$A11
)))</f>
        <v/>
      </c>
      <c r="I11" t="str">
        <f>IF($A11="","",(SUMIFS(
'Enrollment Forecast'!J:J,
'Enrollment Forecast'!$A:$A,
$A11
)))</f>
        <v/>
      </c>
      <c r="J11" t="str">
        <f>IF($A11="","",(SUMIFS(
'Enrollment Forecast'!K:K,
'Enrollment Forecast'!$A:$A,
$A11
)))</f>
        <v/>
      </c>
      <c r="K11" t="str">
        <f>IF($A11="","",(SUMIFS(
'Enrollment Forecast'!L:L,
'Enrollment Forecast'!$A:$A,
$A11
)))</f>
        <v/>
      </c>
      <c r="L11" t="str">
        <f>IF($A11="","",(SUMIFS(
'Enrollment Forecast'!M:M,
'Enrollment Forecast'!$A:$A,
$A11
)))</f>
        <v/>
      </c>
      <c r="M11" t="str">
        <f>IF($A11="","",(SUMIFS(
'Enrollment Forecast'!N:N,
'Enrollment Forecast'!$A:$A,
$A11
)))</f>
        <v/>
      </c>
      <c r="N11" t="str">
        <f>IF($A11="","",(SUMIFS(
'Enrollment Forecast'!O:O,
'Enrollment Forecast'!$A:$A,
$A11
)))</f>
        <v/>
      </c>
      <c r="O11" t="str">
        <f>IF($A11="","",(SUMIFS(
'Enrollment Forecast'!P:P,
'Enrollment Forecast'!$A:$A,
$A11
)))</f>
        <v/>
      </c>
      <c r="P11" t="str">
        <f>IF($A11="","",(SUMIFS(
'Enrollment Forecast'!Q:Q,
'Enrollment Forecast'!$A:$A,
$A11
)))</f>
        <v/>
      </c>
      <c r="Q11" t="str">
        <f>IF($A11="","",(SUMIFS(
'Enrollment Forecast'!R:R,
'Enrollment Forecast'!$A:$A,
$A11
)))</f>
        <v/>
      </c>
      <c r="R11" t="str">
        <f>IF($A11="","",(SUMIFS(
'Enrollment Forecast'!S:S,
'Enrollment Forecast'!$A:$A,
$A11
)))</f>
        <v/>
      </c>
      <c r="S11" t="str">
        <f>IF($A11="","",(SUMIFS(
'Enrollment Forecast'!T:T,
'Enrollment Forecast'!$A:$A,
$A11
)))</f>
        <v/>
      </c>
      <c r="T11" t="str">
        <f>IF($A11="","",(SUMIFS(
'Enrollment Forecast'!U:U,
'Enrollment Forecast'!$A:$A,
$A11
)))</f>
        <v/>
      </c>
      <c r="U11" t="str">
        <f>IF($A11="","",(SUMIFS(
'Enrollment Forecast'!V:V,
'Enrollment Forecast'!$A:$A,
$A11
)))</f>
        <v/>
      </c>
      <c r="V11" t="str">
        <f>IF($A11="","",(SUMIFS(
'Enrollment Forecast'!W:W,
'Enrollment Forecast'!$A:$A,
$A11
)))</f>
        <v/>
      </c>
      <c r="W11" t="str">
        <f>IF($A11="","",(SUMIFS(
'Enrollment Forecast'!X:X,
'Enrollment Forecast'!$A:$A,
$A11
)))</f>
        <v/>
      </c>
      <c r="X11" t="str">
        <f>IF($A11="","",(SUMIFS(
'Enrollment Forecast'!Y:Y,
'Enrollment Forecast'!$A:$A,
$A11
)))</f>
        <v/>
      </c>
    </row>
    <row r="12" spans="1:24" x14ac:dyDescent="0.25">
      <c r="B12" t="str">
        <f>IF($A12="","",(SUMIFS(
'Enrollment Forecast'!C:C,
'Enrollment Forecast'!$A:$A,
$A12
)))</f>
        <v/>
      </c>
      <c r="C12" t="str">
        <f>IF($A12="","",(SUMIFS(
'Enrollment Forecast'!D:D,
'Enrollment Forecast'!$A:$A,
$A12
)))</f>
        <v/>
      </c>
      <c r="D12" t="str">
        <f>IF($A12="","",(SUMIFS(
'Enrollment Forecast'!E:E,
'Enrollment Forecast'!$A:$A,
$A12
)))</f>
        <v/>
      </c>
      <c r="E12" t="str">
        <f>IF($A12="","",(SUMIFS(
'Enrollment Forecast'!F:F,
'Enrollment Forecast'!$A:$A,
$A12
)))</f>
        <v/>
      </c>
      <c r="F12" t="str">
        <f>IF($A12="","",(SUMIFS(
'Enrollment Forecast'!G:G,
'Enrollment Forecast'!$A:$A,
$A12
)))</f>
        <v/>
      </c>
      <c r="G12" t="str">
        <f>IF($A12="","",(SUMIFS(
'Enrollment Forecast'!H:H,
'Enrollment Forecast'!$A:$A,
$A12
)))</f>
        <v/>
      </c>
      <c r="H12" t="str">
        <f>IF($A12="","",(SUMIFS(
'Enrollment Forecast'!I:I,
'Enrollment Forecast'!$A:$A,
$A12
)))</f>
        <v/>
      </c>
      <c r="I12" t="str">
        <f>IF($A12="","",(SUMIFS(
'Enrollment Forecast'!J:J,
'Enrollment Forecast'!$A:$A,
$A12
)))</f>
        <v/>
      </c>
      <c r="J12" t="str">
        <f>IF($A12="","",(SUMIFS(
'Enrollment Forecast'!K:K,
'Enrollment Forecast'!$A:$A,
$A12
)))</f>
        <v/>
      </c>
      <c r="K12" t="str">
        <f>IF($A12="","",(SUMIFS(
'Enrollment Forecast'!L:L,
'Enrollment Forecast'!$A:$A,
$A12
)))</f>
        <v/>
      </c>
      <c r="L12" t="str">
        <f>IF($A12="","",(SUMIFS(
'Enrollment Forecast'!M:M,
'Enrollment Forecast'!$A:$A,
$A12
)))</f>
        <v/>
      </c>
      <c r="M12" t="str">
        <f>IF($A12="","",(SUMIFS(
'Enrollment Forecast'!N:N,
'Enrollment Forecast'!$A:$A,
$A12
)))</f>
        <v/>
      </c>
      <c r="N12" t="str">
        <f>IF($A12="","",(SUMIFS(
'Enrollment Forecast'!O:O,
'Enrollment Forecast'!$A:$A,
$A12
)))</f>
        <v/>
      </c>
      <c r="O12" t="str">
        <f>IF($A12="","",(SUMIFS(
'Enrollment Forecast'!P:P,
'Enrollment Forecast'!$A:$A,
$A12
)))</f>
        <v/>
      </c>
      <c r="P12" t="str">
        <f>IF($A12="","",(SUMIFS(
'Enrollment Forecast'!Q:Q,
'Enrollment Forecast'!$A:$A,
$A12
)))</f>
        <v/>
      </c>
      <c r="Q12" t="str">
        <f>IF($A12="","",(SUMIFS(
'Enrollment Forecast'!R:R,
'Enrollment Forecast'!$A:$A,
$A12
)))</f>
        <v/>
      </c>
      <c r="R12" t="str">
        <f>IF($A12="","",(SUMIFS(
'Enrollment Forecast'!S:S,
'Enrollment Forecast'!$A:$A,
$A12
)))</f>
        <v/>
      </c>
      <c r="S12" t="str">
        <f>IF($A12="","",(SUMIFS(
'Enrollment Forecast'!T:T,
'Enrollment Forecast'!$A:$A,
$A12
)))</f>
        <v/>
      </c>
      <c r="T12" t="str">
        <f>IF($A12="","",(SUMIFS(
'Enrollment Forecast'!U:U,
'Enrollment Forecast'!$A:$A,
$A12
)))</f>
        <v/>
      </c>
      <c r="U12" t="str">
        <f>IF($A12="","",(SUMIFS(
'Enrollment Forecast'!V:V,
'Enrollment Forecast'!$A:$A,
$A12
)))</f>
        <v/>
      </c>
      <c r="V12" t="str">
        <f>IF($A12="","",(SUMIFS(
'Enrollment Forecast'!W:W,
'Enrollment Forecast'!$A:$A,
$A12
)))</f>
        <v/>
      </c>
      <c r="W12" t="str">
        <f>IF($A12="","",(SUMIFS(
'Enrollment Forecast'!X:X,
'Enrollment Forecast'!$A:$A,
$A12
)))</f>
        <v/>
      </c>
      <c r="X12" t="str">
        <f>IF($A12="","",(SUMIFS(
'Enrollment Forecast'!Y:Y,
'Enrollment Forecast'!$A:$A,
$A12
)))</f>
        <v/>
      </c>
    </row>
    <row r="13" spans="1:24" x14ac:dyDescent="0.25">
      <c r="B13" t="str">
        <f>IF($A13="","",(SUMIFS(
'Enrollment Forecast'!C:C,
'Enrollment Forecast'!$A:$A,
$A13
)))</f>
        <v/>
      </c>
      <c r="C13" t="str">
        <f>IF($A13="","",(SUMIFS(
'Enrollment Forecast'!D:D,
'Enrollment Forecast'!$A:$A,
$A13
)))</f>
        <v/>
      </c>
      <c r="D13" t="str">
        <f>IF($A13="","",(SUMIFS(
'Enrollment Forecast'!E:E,
'Enrollment Forecast'!$A:$A,
$A13
)))</f>
        <v/>
      </c>
      <c r="E13" t="str">
        <f>IF($A13="","",(SUMIFS(
'Enrollment Forecast'!F:F,
'Enrollment Forecast'!$A:$A,
$A13
)))</f>
        <v/>
      </c>
      <c r="F13" t="str">
        <f>IF($A13="","",(SUMIFS(
'Enrollment Forecast'!G:G,
'Enrollment Forecast'!$A:$A,
$A13
)))</f>
        <v/>
      </c>
      <c r="G13" t="str">
        <f>IF($A13="","",(SUMIFS(
'Enrollment Forecast'!H:H,
'Enrollment Forecast'!$A:$A,
$A13
)))</f>
        <v/>
      </c>
      <c r="H13" t="str">
        <f>IF($A13="","",(SUMIFS(
'Enrollment Forecast'!I:I,
'Enrollment Forecast'!$A:$A,
$A13
)))</f>
        <v/>
      </c>
      <c r="I13" t="str">
        <f>IF($A13="","",(SUMIFS(
'Enrollment Forecast'!J:J,
'Enrollment Forecast'!$A:$A,
$A13
)))</f>
        <v/>
      </c>
      <c r="J13" t="str">
        <f>IF($A13="","",(SUMIFS(
'Enrollment Forecast'!K:K,
'Enrollment Forecast'!$A:$A,
$A13
)))</f>
        <v/>
      </c>
      <c r="K13" t="str">
        <f>IF($A13="","",(SUMIFS(
'Enrollment Forecast'!L:L,
'Enrollment Forecast'!$A:$A,
$A13
)))</f>
        <v/>
      </c>
      <c r="L13" t="str">
        <f>IF($A13="","",(SUMIFS(
'Enrollment Forecast'!M:M,
'Enrollment Forecast'!$A:$A,
$A13
)))</f>
        <v/>
      </c>
      <c r="M13" t="str">
        <f>IF($A13="","",(SUMIFS(
'Enrollment Forecast'!N:N,
'Enrollment Forecast'!$A:$A,
$A13
)))</f>
        <v/>
      </c>
      <c r="N13" t="str">
        <f>IF($A13="","",(SUMIFS(
'Enrollment Forecast'!O:O,
'Enrollment Forecast'!$A:$A,
$A13
)))</f>
        <v/>
      </c>
      <c r="O13" t="str">
        <f>IF($A13="","",(SUMIFS(
'Enrollment Forecast'!P:P,
'Enrollment Forecast'!$A:$A,
$A13
)))</f>
        <v/>
      </c>
      <c r="P13" t="str">
        <f>IF($A13="","",(SUMIFS(
'Enrollment Forecast'!Q:Q,
'Enrollment Forecast'!$A:$A,
$A13
)))</f>
        <v/>
      </c>
      <c r="Q13" t="str">
        <f>IF($A13="","",(SUMIFS(
'Enrollment Forecast'!R:R,
'Enrollment Forecast'!$A:$A,
$A13
)))</f>
        <v/>
      </c>
      <c r="R13" t="str">
        <f>IF($A13="","",(SUMIFS(
'Enrollment Forecast'!S:S,
'Enrollment Forecast'!$A:$A,
$A13
)))</f>
        <v/>
      </c>
      <c r="S13" t="str">
        <f>IF($A13="","",(SUMIFS(
'Enrollment Forecast'!T:T,
'Enrollment Forecast'!$A:$A,
$A13
)))</f>
        <v/>
      </c>
      <c r="T13" t="str">
        <f>IF($A13="","",(SUMIFS(
'Enrollment Forecast'!U:U,
'Enrollment Forecast'!$A:$A,
$A13
)))</f>
        <v/>
      </c>
      <c r="U13" t="str">
        <f>IF($A13="","",(SUMIFS(
'Enrollment Forecast'!V:V,
'Enrollment Forecast'!$A:$A,
$A13
)))</f>
        <v/>
      </c>
      <c r="V13" t="str">
        <f>IF($A13="","",(SUMIFS(
'Enrollment Forecast'!W:W,
'Enrollment Forecast'!$A:$A,
$A13
)))</f>
        <v/>
      </c>
      <c r="W13" t="str">
        <f>IF($A13="","",(SUMIFS(
'Enrollment Forecast'!X:X,
'Enrollment Forecast'!$A:$A,
$A13
)))</f>
        <v/>
      </c>
      <c r="X13" t="str">
        <f>IF($A13="","",(SUMIFS(
'Enrollment Forecast'!Y:Y,
'Enrollment Forecast'!$A:$A,
$A13
)))</f>
        <v/>
      </c>
    </row>
    <row r="14" spans="1:24" x14ac:dyDescent="0.25">
      <c r="B14" t="str">
        <f>IF($A14="","",(SUMIFS(
'Enrollment Forecast'!C:C,
'Enrollment Forecast'!$A:$A,
$A14
)))</f>
        <v/>
      </c>
      <c r="C14" t="str">
        <f>IF($A14="","",(SUMIFS(
'Enrollment Forecast'!D:D,
'Enrollment Forecast'!$A:$A,
$A14
)))</f>
        <v/>
      </c>
      <c r="D14" t="str">
        <f>IF($A14="","",(SUMIFS(
'Enrollment Forecast'!E:E,
'Enrollment Forecast'!$A:$A,
$A14
)))</f>
        <v/>
      </c>
      <c r="E14" t="str">
        <f>IF($A14="","",(SUMIFS(
'Enrollment Forecast'!F:F,
'Enrollment Forecast'!$A:$A,
$A14
)))</f>
        <v/>
      </c>
      <c r="F14" t="str">
        <f>IF($A14="","",(SUMIFS(
'Enrollment Forecast'!G:G,
'Enrollment Forecast'!$A:$A,
$A14
)))</f>
        <v/>
      </c>
      <c r="G14" t="str">
        <f>IF($A14="","",(SUMIFS(
'Enrollment Forecast'!H:H,
'Enrollment Forecast'!$A:$A,
$A14
)))</f>
        <v/>
      </c>
      <c r="H14" t="str">
        <f>IF($A14="","",(SUMIFS(
'Enrollment Forecast'!I:I,
'Enrollment Forecast'!$A:$A,
$A14
)))</f>
        <v/>
      </c>
      <c r="I14" t="str">
        <f>IF($A14="","",(SUMIFS(
'Enrollment Forecast'!J:J,
'Enrollment Forecast'!$A:$A,
$A14
)))</f>
        <v/>
      </c>
      <c r="J14" t="str">
        <f>IF($A14="","",(SUMIFS(
'Enrollment Forecast'!K:K,
'Enrollment Forecast'!$A:$A,
$A14
)))</f>
        <v/>
      </c>
      <c r="K14" t="str">
        <f>IF($A14="","",(SUMIFS(
'Enrollment Forecast'!L:L,
'Enrollment Forecast'!$A:$A,
$A14
)))</f>
        <v/>
      </c>
      <c r="L14" t="str">
        <f>IF($A14="","",(SUMIFS(
'Enrollment Forecast'!M:M,
'Enrollment Forecast'!$A:$A,
$A14
)))</f>
        <v/>
      </c>
      <c r="M14" t="str">
        <f>IF($A14="","",(SUMIFS(
'Enrollment Forecast'!N:N,
'Enrollment Forecast'!$A:$A,
$A14
)))</f>
        <v/>
      </c>
      <c r="N14" t="str">
        <f>IF($A14="","",(SUMIFS(
'Enrollment Forecast'!O:O,
'Enrollment Forecast'!$A:$A,
$A14
)))</f>
        <v/>
      </c>
      <c r="O14" t="str">
        <f>IF($A14="","",(SUMIFS(
'Enrollment Forecast'!P:P,
'Enrollment Forecast'!$A:$A,
$A14
)))</f>
        <v/>
      </c>
      <c r="P14" t="str">
        <f>IF($A14="","",(SUMIFS(
'Enrollment Forecast'!Q:Q,
'Enrollment Forecast'!$A:$A,
$A14
)))</f>
        <v/>
      </c>
      <c r="Q14" t="str">
        <f>IF($A14="","",(SUMIFS(
'Enrollment Forecast'!R:R,
'Enrollment Forecast'!$A:$A,
$A14
)))</f>
        <v/>
      </c>
      <c r="R14" t="str">
        <f>IF($A14="","",(SUMIFS(
'Enrollment Forecast'!S:S,
'Enrollment Forecast'!$A:$A,
$A14
)))</f>
        <v/>
      </c>
      <c r="S14" t="str">
        <f>IF($A14="","",(SUMIFS(
'Enrollment Forecast'!T:T,
'Enrollment Forecast'!$A:$A,
$A14
)))</f>
        <v/>
      </c>
      <c r="T14" t="str">
        <f>IF($A14="","",(SUMIFS(
'Enrollment Forecast'!U:U,
'Enrollment Forecast'!$A:$A,
$A14
)))</f>
        <v/>
      </c>
      <c r="U14" t="str">
        <f>IF($A14="","",(SUMIFS(
'Enrollment Forecast'!V:V,
'Enrollment Forecast'!$A:$A,
$A14
)))</f>
        <v/>
      </c>
      <c r="V14" t="str">
        <f>IF($A14="","",(SUMIFS(
'Enrollment Forecast'!W:W,
'Enrollment Forecast'!$A:$A,
$A14
)))</f>
        <v/>
      </c>
      <c r="W14" t="str">
        <f>IF($A14="","",(SUMIFS(
'Enrollment Forecast'!X:X,
'Enrollment Forecast'!$A:$A,
$A14
)))</f>
        <v/>
      </c>
      <c r="X14" t="str">
        <f>IF($A14="","",(SUMIFS(
'Enrollment Forecast'!Y:Y,
'Enrollment Forecast'!$A:$A,
$A14
)))</f>
        <v/>
      </c>
    </row>
    <row r="15" spans="1:24" x14ac:dyDescent="0.25">
      <c r="B15" t="str">
        <f>IF($A15="","",(SUMIFS(
'Enrollment Forecast'!C:C,
'Enrollment Forecast'!$A:$A,
$A15
)))</f>
        <v/>
      </c>
      <c r="C15" t="str">
        <f>IF($A15="","",(SUMIFS(
'Enrollment Forecast'!D:D,
'Enrollment Forecast'!$A:$A,
$A15
)))</f>
        <v/>
      </c>
      <c r="D15" t="str">
        <f>IF($A15="","",(SUMIFS(
'Enrollment Forecast'!E:E,
'Enrollment Forecast'!$A:$A,
$A15
)))</f>
        <v/>
      </c>
      <c r="E15" t="str">
        <f>IF($A15="","",(SUMIFS(
'Enrollment Forecast'!F:F,
'Enrollment Forecast'!$A:$A,
$A15
)))</f>
        <v/>
      </c>
      <c r="F15" t="str">
        <f>IF($A15="","",(SUMIFS(
'Enrollment Forecast'!G:G,
'Enrollment Forecast'!$A:$A,
$A15
)))</f>
        <v/>
      </c>
      <c r="G15" t="str">
        <f>IF($A15="","",(SUMIFS(
'Enrollment Forecast'!H:H,
'Enrollment Forecast'!$A:$A,
$A15
)))</f>
        <v/>
      </c>
      <c r="H15" t="str">
        <f>IF($A15="","",(SUMIFS(
'Enrollment Forecast'!I:I,
'Enrollment Forecast'!$A:$A,
$A15
)))</f>
        <v/>
      </c>
      <c r="I15" t="str">
        <f>IF($A15="","",(SUMIFS(
'Enrollment Forecast'!J:J,
'Enrollment Forecast'!$A:$A,
$A15
)))</f>
        <v/>
      </c>
      <c r="J15" t="str">
        <f>IF($A15="","",(SUMIFS(
'Enrollment Forecast'!K:K,
'Enrollment Forecast'!$A:$A,
$A15
)))</f>
        <v/>
      </c>
      <c r="K15" t="str">
        <f>IF($A15="","",(SUMIFS(
'Enrollment Forecast'!L:L,
'Enrollment Forecast'!$A:$A,
$A15
)))</f>
        <v/>
      </c>
      <c r="L15" t="str">
        <f>IF($A15="","",(SUMIFS(
'Enrollment Forecast'!M:M,
'Enrollment Forecast'!$A:$A,
$A15
)))</f>
        <v/>
      </c>
      <c r="M15" t="str">
        <f>IF($A15="","",(SUMIFS(
'Enrollment Forecast'!N:N,
'Enrollment Forecast'!$A:$A,
$A15
)))</f>
        <v/>
      </c>
      <c r="N15" t="str">
        <f>IF($A15="","",(SUMIFS(
'Enrollment Forecast'!O:O,
'Enrollment Forecast'!$A:$A,
$A15
)))</f>
        <v/>
      </c>
      <c r="O15" t="str">
        <f>IF($A15="","",(SUMIFS(
'Enrollment Forecast'!P:P,
'Enrollment Forecast'!$A:$A,
$A15
)))</f>
        <v/>
      </c>
      <c r="P15" t="str">
        <f>IF($A15="","",(SUMIFS(
'Enrollment Forecast'!Q:Q,
'Enrollment Forecast'!$A:$A,
$A15
)))</f>
        <v/>
      </c>
      <c r="Q15" t="str">
        <f>IF($A15="","",(SUMIFS(
'Enrollment Forecast'!R:R,
'Enrollment Forecast'!$A:$A,
$A15
)))</f>
        <v/>
      </c>
      <c r="R15" t="str">
        <f>IF($A15="","",(SUMIFS(
'Enrollment Forecast'!S:S,
'Enrollment Forecast'!$A:$A,
$A15
)))</f>
        <v/>
      </c>
      <c r="S15" t="str">
        <f>IF($A15="","",(SUMIFS(
'Enrollment Forecast'!T:T,
'Enrollment Forecast'!$A:$A,
$A15
)))</f>
        <v/>
      </c>
      <c r="T15" t="str">
        <f>IF($A15="","",(SUMIFS(
'Enrollment Forecast'!U:U,
'Enrollment Forecast'!$A:$A,
$A15
)))</f>
        <v/>
      </c>
      <c r="U15" t="str">
        <f>IF($A15="","",(SUMIFS(
'Enrollment Forecast'!V:V,
'Enrollment Forecast'!$A:$A,
$A15
)))</f>
        <v/>
      </c>
      <c r="V15" t="str">
        <f>IF($A15="","",(SUMIFS(
'Enrollment Forecast'!W:W,
'Enrollment Forecast'!$A:$A,
$A15
)))</f>
        <v/>
      </c>
      <c r="W15" t="str">
        <f>IF($A15="","",(SUMIFS(
'Enrollment Forecast'!X:X,
'Enrollment Forecast'!$A:$A,
$A15
)))</f>
        <v/>
      </c>
      <c r="X15" t="str">
        <f>IF($A15="","",(SUMIFS(
'Enrollment Forecast'!Y:Y,
'Enrollment Forecast'!$A:$A,
$A15
)))</f>
        <v/>
      </c>
    </row>
    <row r="16" spans="1:24" x14ac:dyDescent="0.25">
      <c r="B16" t="str">
        <f>IF($A16="","",(SUMIFS(
'Enrollment Forecast'!C:C,
'Enrollment Forecast'!$A:$A,
$A16
)))</f>
        <v/>
      </c>
      <c r="C16" t="str">
        <f>IF($A16="","",(SUMIFS(
'Enrollment Forecast'!D:D,
'Enrollment Forecast'!$A:$A,
$A16
)))</f>
        <v/>
      </c>
      <c r="D16" t="str">
        <f>IF($A16="","",(SUMIFS(
'Enrollment Forecast'!E:E,
'Enrollment Forecast'!$A:$A,
$A16
)))</f>
        <v/>
      </c>
      <c r="E16" t="str">
        <f>IF($A16="","",(SUMIFS(
'Enrollment Forecast'!F:F,
'Enrollment Forecast'!$A:$A,
$A16
)))</f>
        <v/>
      </c>
      <c r="F16" t="str">
        <f>IF($A16="","",(SUMIFS(
'Enrollment Forecast'!G:G,
'Enrollment Forecast'!$A:$A,
$A16
)))</f>
        <v/>
      </c>
      <c r="G16" t="str">
        <f>IF($A16="","",(SUMIFS(
'Enrollment Forecast'!H:H,
'Enrollment Forecast'!$A:$A,
$A16
)))</f>
        <v/>
      </c>
      <c r="H16" t="str">
        <f>IF($A16="","",(SUMIFS(
'Enrollment Forecast'!I:I,
'Enrollment Forecast'!$A:$A,
$A16
)))</f>
        <v/>
      </c>
      <c r="I16" t="str">
        <f>IF($A16="","",(SUMIFS(
'Enrollment Forecast'!J:J,
'Enrollment Forecast'!$A:$A,
$A16
)))</f>
        <v/>
      </c>
      <c r="J16" t="str">
        <f>IF($A16="","",(SUMIFS(
'Enrollment Forecast'!K:K,
'Enrollment Forecast'!$A:$A,
$A16
)))</f>
        <v/>
      </c>
      <c r="K16" t="str">
        <f>IF($A16="","",(SUMIFS(
'Enrollment Forecast'!L:L,
'Enrollment Forecast'!$A:$A,
$A16
)))</f>
        <v/>
      </c>
      <c r="L16" t="str">
        <f>IF($A16="","",(SUMIFS(
'Enrollment Forecast'!M:M,
'Enrollment Forecast'!$A:$A,
$A16
)))</f>
        <v/>
      </c>
      <c r="M16" t="str">
        <f>IF($A16="","",(SUMIFS(
'Enrollment Forecast'!N:N,
'Enrollment Forecast'!$A:$A,
$A16
)))</f>
        <v/>
      </c>
      <c r="N16" t="str">
        <f>IF($A16="","",(SUMIFS(
'Enrollment Forecast'!O:O,
'Enrollment Forecast'!$A:$A,
$A16
)))</f>
        <v/>
      </c>
      <c r="O16" t="str">
        <f>IF($A16="","",(SUMIFS(
'Enrollment Forecast'!P:P,
'Enrollment Forecast'!$A:$A,
$A16
)))</f>
        <v/>
      </c>
      <c r="P16" t="str">
        <f>IF($A16="","",(SUMIFS(
'Enrollment Forecast'!Q:Q,
'Enrollment Forecast'!$A:$A,
$A16
)))</f>
        <v/>
      </c>
      <c r="Q16" t="str">
        <f>IF($A16="","",(SUMIFS(
'Enrollment Forecast'!R:R,
'Enrollment Forecast'!$A:$A,
$A16
)))</f>
        <v/>
      </c>
      <c r="R16" t="str">
        <f>IF($A16="","",(SUMIFS(
'Enrollment Forecast'!S:S,
'Enrollment Forecast'!$A:$A,
$A16
)))</f>
        <v/>
      </c>
      <c r="S16" t="str">
        <f>IF($A16="","",(SUMIFS(
'Enrollment Forecast'!T:T,
'Enrollment Forecast'!$A:$A,
$A16
)))</f>
        <v/>
      </c>
      <c r="T16" t="str">
        <f>IF($A16="","",(SUMIFS(
'Enrollment Forecast'!U:U,
'Enrollment Forecast'!$A:$A,
$A16
)))</f>
        <v/>
      </c>
      <c r="U16" t="str">
        <f>IF($A16="","",(SUMIFS(
'Enrollment Forecast'!V:V,
'Enrollment Forecast'!$A:$A,
$A16
)))</f>
        <v/>
      </c>
      <c r="V16" t="str">
        <f>IF($A16="","",(SUMIFS(
'Enrollment Forecast'!W:W,
'Enrollment Forecast'!$A:$A,
$A16
)))</f>
        <v/>
      </c>
      <c r="W16" t="str">
        <f>IF($A16="","",(SUMIFS(
'Enrollment Forecast'!X:X,
'Enrollment Forecast'!$A:$A,
$A16
)))</f>
        <v/>
      </c>
      <c r="X16" t="str">
        <f>IF($A16="","",(SUMIFS(
'Enrollment Forecast'!Y:Y,
'Enrollment Forecast'!$A:$A,
$A16
)))</f>
        <v/>
      </c>
    </row>
    <row r="17" spans="2:24" x14ac:dyDescent="0.25">
      <c r="B17" t="str">
        <f>IF($A17="","",(SUMIFS(
'Enrollment Forecast'!C:C,
'Enrollment Forecast'!$A:$A,
$A17
)))</f>
        <v/>
      </c>
      <c r="C17" t="str">
        <f>IF($A17="","",(SUMIFS(
'Enrollment Forecast'!D:D,
'Enrollment Forecast'!$A:$A,
$A17
)))</f>
        <v/>
      </c>
      <c r="D17" t="str">
        <f>IF($A17="","",(SUMIFS(
'Enrollment Forecast'!E:E,
'Enrollment Forecast'!$A:$A,
$A17
)))</f>
        <v/>
      </c>
      <c r="E17" t="str">
        <f>IF($A17="","",(SUMIFS(
'Enrollment Forecast'!F:F,
'Enrollment Forecast'!$A:$A,
$A17
)))</f>
        <v/>
      </c>
      <c r="F17" t="str">
        <f>IF($A17="","",(SUMIFS(
'Enrollment Forecast'!G:G,
'Enrollment Forecast'!$A:$A,
$A17
)))</f>
        <v/>
      </c>
      <c r="G17" t="str">
        <f>IF($A17="","",(SUMIFS(
'Enrollment Forecast'!H:H,
'Enrollment Forecast'!$A:$A,
$A17
)))</f>
        <v/>
      </c>
      <c r="H17" t="str">
        <f>IF($A17="","",(SUMIFS(
'Enrollment Forecast'!I:I,
'Enrollment Forecast'!$A:$A,
$A17
)))</f>
        <v/>
      </c>
      <c r="I17" t="str">
        <f>IF($A17="","",(SUMIFS(
'Enrollment Forecast'!J:J,
'Enrollment Forecast'!$A:$A,
$A17
)))</f>
        <v/>
      </c>
      <c r="J17" t="str">
        <f>IF($A17="","",(SUMIFS(
'Enrollment Forecast'!K:K,
'Enrollment Forecast'!$A:$A,
$A17
)))</f>
        <v/>
      </c>
      <c r="K17" t="str">
        <f>IF($A17="","",(SUMIFS(
'Enrollment Forecast'!L:L,
'Enrollment Forecast'!$A:$A,
$A17
)))</f>
        <v/>
      </c>
      <c r="L17" t="str">
        <f>IF($A17="","",(SUMIFS(
'Enrollment Forecast'!M:M,
'Enrollment Forecast'!$A:$A,
$A17
)))</f>
        <v/>
      </c>
      <c r="M17" t="str">
        <f>IF($A17="","",(SUMIFS(
'Enrollment Forecast'!N:N,
'Enrollment Forecast'!$A:$A,
$A17
)))</f>
        <v/>
      </c>
      <c r="N17" t="str">
        <f>IF($A17="","",(SUMIFS(
'Enrollment Forecast'!O:O,
'Enrollment Forecast'!$A:$A,
$A17
)))</f>
        <v/>
      </c>
      <c r="O17" t="str">
        <f>IF($A17="","",(SUMIFS(
'Enrollment Forecast'!P:P,
'Enrollment Forecast'!$A:$A,
$A17
)))</f>
        <v/>
      </c>
      <c r="P17" t="str">
        <f>IF($A17="","",(SUMIFS(
'Enrollment Forecast'!Q:Q,
'Enrollment Forecast'!$A:$A,
$A17
)))</f>
        <v/>
      </c>
      <c r="Q17" t="str">
        <f>IF($A17="","",(SUMIFS(
'Enrollment Forecast'!R:R,
'Enrollment Forecast'!$A:$A,
$A17
)))</f>
        <v/>
      </c>
      <c r="R17" t="str">
        <f>IF($A17="","",(SUMIFS(
'Enrollment Forecast'!S:S,
'Enrollment Forecast'!$A:$A,
$A17
)))</f>
        <v/>
      </c>
      <c r="S17" t="str">
        <f>IF($A17="","",(SUMIFS(
'Enrollment Forecast'!T:T,
'Enrollment Forecast'!$A:$A,
$A17
)))</f>
        <v/>
      </c>
      <c r="T17" t="str">
        <f>IF($A17="","",(SUMIFS(
'Enrollment Forecast'!U:U,
'Enrollment Forecast'!$A:$A,
$A17
)))</f>
        <v/>
      </c>
      <c r="U17" t="str">
        <f>IF($A17="","",(SUMIFS(
'Enrollment Forecast'!V:V,
'Enrollment Forecast'!$A:$A,
$A17
)))</f>
        <v/>
      </c>
      <c r="V17" t="str">
        <f>IF($A17="","",(SUMIFS(
'Enrollment Forecast'!W:W,
'Enrollment Forecast'!$A:$A,
$A17
)))</f>
        <v/>
      </c>
      <c r="W17" t="str">
        <f>IF($A17="","",(SUMIFS(
'Enrollment Forecast'!X:X,
'Enrollment Forecast'!$A:$A,
$A17
)))</f>
        <v/>
      </c>
      <c r="X17" t="str">
        <f>IF($A17="","",(SUMIFS(
'Enrollment Forecast'!Y:Y,
'Enrollment Forecast'!$A:$A,
$A17
)))</f>
        <v/>
      </c>
    </row>
    <row r="18" spans="2:24" x14ac:dyDescent="0.25">
      <c r="B18" t="str">
        <f>IF($A18="","",(SUMIFS(
'Enrollment Forecast'!C:C,
'Enrollment Forecast'!$A:$A,
$A18
)))</f>
        <v/>
      </c>
      <c r="C18" t="str">
        <f>IF($A18="","",(SUMIFS(
'Enrollment Forecast'!D:D,
'Enrollment Forecast'!$A:$A,
$A18
)))</f>
        <v/>
      </c>
      <c r="D18" t="str">
        <f>IF($A18="","",(SUMIFS(
'Enrollment Forecast'!E:E,
'Enrollment Forecast'!$A:$A,
$A18
)))</f>
        <v/>
      </c>
      <c r="E18" t="str">
        <f>IF($A18="","",(SUMIFS(
'Enrollment Forecast'!F:F,
'Enrollment Forecast'!$A:$A,
$A18
)))</f>
        <v/>
      </c>
      <c r="F18" t="str">
        <f>IF($A18="","",(SUMIFS(
'Enrollment Forecast'!G:G,
'Enrollment Forecast'!$A:$A,
$A18
)))</f>
        <v/>
      </c>
      <c r="G18" t="str">
        <f>IF($A18="","",(SUMIFS(
'Enrollment Forecast'!H:H,
'Enrollment Forecast'!$A:$A,
$A18
)))</f>
        <v/>
      </c>
      <c r="H18" t="str">
        <f>IF($A18="","",(SUMIFS(
'Enrollment Forecast'!I:I,
'Enrollment Forecast'!$A:$A,
$A18
)))</f>
        <v/>
      </c>
      <c r="I18" t="str">
        <f>IF($A18="","",(SUMIFS(
'Enrollment Forecast'!J:J,
'Enrollment Forecast'!$A:$A,
$A18
)))</f>
        <v/>
      </c>
      <c r="J18" t="str">
        <f>IF($A18="","",(SUMIFS(
'Enrollment Forecast'!K:K,
'Enrollment Forecast'!$A:$A,
$A18
)))</f>
        <v/>
      </c>
      <c r="K18" t="str">
        <f>IF($A18="","",(SUMIFS(
'Enrollment Forecast'!L:L,
'Enrollment Forecast'!$A:$A,
$A18
)))</f>
        <v/>
      </c>
      <c r="L18" t="str">
        <f>IF($A18="","",(SUMIFS(
'Enrollment Forecast'!M:M,
'Enrollment Forecast'!$A:$A,
$A18
)))</f>
        <v/>
      </c>
      <c r="M18" t="str">
        <f>IF($A18="","",(SUMIFS(
'Enrollment Forecast'!N:N,
'Enrollment Forecast'!$A:$A,
$A18
)))</f>
        <v/>
      </c>
      <c r="N18" t="str">
        <f>IF($A18="","",(SUMIFS(
'Enrollment Forecast'!O:O,
'Enrollment Forecast'!$A:$A,
$A18
)))</f>
        <v/>
      </c>
      <c r="O18" t="str">
        <f>IF($A18="","",(SUMIFS(
'Enrollment Forecast'!P:P,
'Enrollment Forecast'!$A:$A,
$A18
)))</f>
        <v/>
      </c>
      <c r="P18" t="str">
        <f>IF($A18="","",(SUMIFS(
'Enrollment Forecast'!Q:Q,
'Enrollment Forecast'!$A:$A,
$A18
)))</f>
        <v/>
      </c>
      <c r="Q18" t="str">
        <f>IF($A18="","",(SUMIFS(
'Enrollment Forecast'!R:R,
'Enrollment Forecast'!$A:$A,
$A18
)))</f>
        <v/>
      </c>
      <c r="R18" t="str">
        <f>IF($A18="","",(SUMIFS(
'Enrollment Forecast'!S:S,
'Enrollment Forecast'!$A:$A,
$A18
)))</f>
        <v/>
      </c>
      <c r="S18" t="str">
        <f>IF($A18="","",(SUMIFS(
'Enrollment Forecast'!T:T,
'Enrollment Forecast'!$A:$A,
$A18
)))</f>
        <v/>
      </c>
      <c r="T18" t="str">
        <f>IF($A18="","",(SUMIFS(
'Enrollment Forecast'!U:U,
'Enrollment Forecast'!$A:$A,
$A18
)))</f>
        <v/>
      </c>
      <c r="U18" t="str">
        <f>IF($A18="","",(SUMIFS(
'Enrollment Forecast'!V:V,
'Enrollment Forecast'!$A:$A,
$A18
)))</f>
        <v/>
      </c>
      <c r="V18" t="str">
        <f>IF($A18="","",(SUMIFS(
'Enrollment Forecast'!W:W,
'Enrollment Forecast'!$A:$A,
$A18
)))</f>
        <v/>
      </c>
      <c r="W18" t="str">
        <f>IF($A18="","",(SUMIFS(
'Enrollment Forecast'!X:X,
'Enrollment Forecast'!$A:$A,
$A18
)))</f>
        <v/>
      </c>
      <c r="X18" t="str">
        <f>IF($A18="","",(SUMIFS(
'Enrollment Forecast'!Y:Y,
'Enrollment Forecast'!$A:$A,
$A18
)))</f>
        <v/>
      </c>
    </row>
    <row r="19" spans="2:24" x14ac:dyDescent="0.25">
      <c r="B19" t="str">
        <f>IF($A19="","",(SUMIFS(
'Enrollment Forecast'!C:C,
'Enrollment Forecast'!$A:$A,
$A19
)))</f>
        <v/>
      </c>
      <c r="C19" t="str">
        <f>IF($A19="","",(SUMIFS(
'Enrollment Forecast'!D:D,
'Enrollment Forecast'!$A:$A,
$A19
)))</f>
        <v/>
      </c>
      <c r="D19" t="str">
        <f>IF($A19="","",(SUMIFS(
'Enrollment Forecast'!E:E,
'Enrollment Forecast'!$A:$A,
$A19
)))</f>
        <v/>
      </c>
      <c r="E19" t="str">
        <f>IF($A19="","",(SUMIFS(
'Enrollment Forecast'!F:F,
'Enrollment Forecast'!$A:$A,
$A19
)))</f>
        <v/>
      </c>
      <c r="F19" t="str">
        <f>IF($A19="","",(SUMIFS(
'Enrollment Forecast'!G:G,
'Enrollment Forecast'!$A:$A,
$A19
)))</f>
        <v/>
      </c>
      <c r="G19" t="str">
        <f>IF($A19="","",(SUMIFS(
'Enrollment Forecast'!H:H,
'Enrollment Forecast'!$A:$A,
$A19
)))</f>
        <v/>
      </c>
      <c r="H19" t="str">
        <f>IF($A19="","",(SUMIFS(
'Enrollment Forecast'!I:I,
'Enrollment Forecast'!$A:$A,
$A19
)))</f>
        <v/>
      </c>
      <c r="I19" t="str">
        <f>IF($A19="","",(SUMIFS(
'Enrollment Forecast'!J:J,
'Enrollment Forecast'!$A:$A,
$A19
)))</f>
        <v/>
      </c>
      <c r="J19" t="str">
        <f>IF($A19="","",(SUMIFS(
'Enrollment Forecast'!K:K,
'Enrollment Forecast'!$A:$A,
$A19
)))</f>
        <v/>
      </c>
      <c r="K19" t="str">
        <f>IF($A19="","",(SUMIFS(
'Enrollment Forecast'!L:L,
'Enrollment Forecast'!$A:$A,
$A19
)))</f>
        <v/>
      </c>
      <c r="L19" t="str">
        <f>IF($A19="","",(SUMIFS(
'Enrollment Forecast'!M:M,
'Enrollment Forecast'!$A:$A,
$A19
)))</f>
        <v/>
      </c>
      <c r="M19" t="str">
        <f>IF($A19="","",(SUMIFS(
'Enrollment Forecast'!N:N,
'Enrollment Forecast'!$A:$A,
$A19
)))</f>
        <v/>
      </c>
      <c r="N19" t="str">
        <f>IF($A19="","",(SUMIFS(
'Enrollment Forecast'!O:O,
'Enrollment Forecast'!$A:$A,
$A19
)))</f>
        <v/>
      </c>
      <c r="O19" t="str">
        <f>IF($A19="","",(SUMIFS(
'Enrollment Forecast'!P:P,
'Enrollment Forecast'!$A:$A,
$A19
)))</f>
        <v/>
      </c>
      <c r="P19" t="str">
        <f>IF($A19="","",(SUMIFS(
'Enrollment Forecast'!Q:Q,
'Enrollment Forecast'!$A:$A,
$A19
)))</f>
        <v/>
      </c>
      <c r="Q19" t="str">
        <f>IF($A19="","",(SUMIFS(
'Enrollment Forecast'!R:R,
'Enrollment Forecast'!$A:$A,
$A19
)))</f>
        <v/>
      </c>
      <c r="R19" t="str">
        <f>IF($A19="","",(SUMIFS(
'Enrollment Forecast'!S:S,
'Enrollment Forecast'!$A:$A,
$A19
)))</f>
        <v/>
      </c>
      <c r="S19" t="str">
        <f>IF($A19="","",(SUMIFS(
'Enrollment Forecast'!T:T,
'Enrollment Forecast'!$A:$A,
$A19
)))</f>
        <v/>
      </c>
      <c r="T19" t="str">
        <f>IF($A19="","",(SUMIFS(
'Enrollment Forecast'!U:U,
'Enrollment Forecast'!$A:$A,
$A19
)))</f>
        <v/>
      </c>
      <c r="U19" t="str">
        <f>IF($A19="","",(SUMIFS(
'Enrollment Forecast'!V:V,
'Enrollment Forecast'!$A:$A,
$A19
)))</f>
        <v/>
      </c>
      <c r="V19" t="str">
        <f>IF($A19="","",(SUMIFS(
'Enrollment Forecast'!W:W,
'Enrollment Forecast'!$A:$A,
$A19
)))</f>
        <v/>
      </c>
      <c r="W19" t="str">
        <f>IF($A19="","",(SUMIFS(
'Enrollment Forecast'!X:X,
'Enrollment Forecast'!$A:$A,
$A19
)))</f>
        <v/>
      </c>
      <c r="X19" t="str">
        <f>IF($A19="","",(SUMIFS(
'Enrollment Forecast'!Y:Y,
'Enrollment Forecast'!$A:$A,
$A19
)))</f>
        <v/>
      </c>
    </row>
    <row r="20" spans="2:24" x14ac:dyDescent="0.25">
      <c r="B20" t="str">
        <f>IF($A20="","",(SUMIFS(
'Enrollment Forecast'!C:C,
'Enrollment Forecast'!$A:$A,
$A20
)))</f>
        <v/>
      </c>
      <c r="C20" t="str">
        <f>IF($A20="","",(SUMIFS(
'Enrollment Forecast'!D:D,
'Enrollment Forecast'!$A:$A,
$A20
)))</f>
        <v/>
      </c>
      <c r="D20" t="str">
        <f>IF($A20="","",(SUMIFS(
'Enrollment Forecast'!E:E,
'Enrollment Forecast'!$A:$A,
$A20
)))</f>
        <v/>
      </c>
      <c r="E20" t="str">
        <f>IF($A20="","",(SUMIFS(
'Enrollment Forecast'!F:F,
'Enrollment Forecast'!$A:$A,
$A20
)))</f>
        <v/>
      </c>
      <c r="F20" t="str">
        <f>IF($A20="","",(SUMIFS(
'Enrollment Forecast'!G:G,
'Enrollment Forecast'!$A:$A,
$A20
)))</f>
        <v/>
      </c>
      <c r="G20" t="str">
        <f>IF($A20="","",(SUMIFS(
'Enrollment Forecast'!H:H,
'Enrollment Forecast'!$A:$A,
$A20
)))</f>
        <v/>
      </c>
      <c r="H20" t="str">
        <f>IF($A20="","",(SUMIFS(
'Enrollment Forecast'!I:I,
'Enrollment Forecast'!$A:$A,
$A20
)))</f>
        <v/>
      </c>
      <c r="I20" t="str">
        <f>IF($A20="","",(SUMIFS(
'Enrollment Forecast'!J:J,
'Enrollment Forecast'!$A:$A,
$A20
)))</f>
        <v/>
      </c>
      <c r="J20" t="str">
        <f>IF($A20="","",(SUMIFS(
'Enrollment Forecast'!K:K,
'Enrollment Forecast'!$A:$A,
$A20
)))</f>
        <v/>
      </c>
      <c r="K20" t="str">
        <f>IF($A20="","",(SUMIFS(
'Enrollment Forecast'!L:L,
'Enrollment Forecast'!$A:$A,
$A20
)))</f>
        <v/>
      </c>
      <c r="L20" t="str">
        <f>IF($A20="","",(SUMIFS(
'Enrollment Forecast'!M:M,
'Enrollment Forecast'!$A:$A,
$A20
)))</f>
        <v/>
      </c>
      <c r="M20" t="str">
        <f>IF($A20="","",(SUMIFS(
'Enrollment Forecast'!N:N,
'Enrollment Forecast'!$A:$A,
$A20
)))</f>
        <v/>
      </c>
      <c r="N20" t="str">
        <f>IF($A20="","",(SUMIFS(
'Enrollment Forecast'!O:O,
'Enrollment Forecast'!$A:$A,
$A20
)))</f>
        <v/>
      </c>
      <c r="O20" t="str">
        <f>IF($A20="","",(SUMIFS(
'Enrollment Forecast'!P:P,
'Enrollment Forecast'!$A:$A,
$A20
)))</f>
        <v/>
      </c>
      <c r="P20" t="str">
        <f>IF($A20="","",(SUMIFS(
'Enrollment Forecast'!Q:Q,
'Enrollment Forecast'!$A:$A,
$A20
)))</f>
        <v/>
      </c>
      <c r="Q20" t="str">
        <f>IF($A20="","",(SUMIFS(
'Enrollment Forecast'!R:R,
'Enrollment Forecast'!$A:$A,
$A20
)))</f>
        <v/>
      </c>
      <c r="R20" t="str">
        <f>IF($A20="","",(SUMIFS(
'Enrollment Forecast'!S:S,
'Enrollment Forecast'!$A:$A,
$A20
)))</f>
        <v/>
      </c>
      <c r="S20" t="str">
        <f>IF($A20="","",(SUMIFS(
'Enrollment Forecast'!T:T,
'Enrollment Forecast'!$A:$A,
$A20
)))</f>
        <v/>
      </c>
      <c r="T20" t="str">
        <f>IF($A20="","",(SUMIFS(
'Enrollment Forecast'!U:U,
'Enrollment Forecast'!$A:$A,
$A20
)))</f>
        <v/>
      </c>
      <c r="U20" t="str">
        <f>IF($A20="","",(SUMIFS(
'Enrollment Forecast'!V:V,
'Enrollment Forecast'!$A:$A,
$A20
)))</f>
        <v/>
      </c>
      <c r="V20" t="str">
        <f>IF($A20="","",(SUMIFS(
'Enrollment Forecast'!W:W,
'Enrollment Forecast'!$A:$A,
$A20
)))</f>
        <v/>
      </c>
      <c r="W20" t="str">
        <f>IF($A20="","",(SUMIFS(
'Enrollment Forecast'!X:X,
'Enrollment Forecast'!$A:$A,
$A20
)))</f>
        <v/>
      </c>
      <c r="X20" t="str">
        <f>IF($A20="","",(SUMIFS(
'Enrollment Forecast'!Y:Y,
'Enrollment Forecast'!$A:$A,
$A20
)))</f>
        <v/>
      </c>
    </row>
    <row r="21" spans="2:24" x14ac:dyDescent="0.25">
      <c r="B21" t="str">
        <f>IF($A21="","",(SUMIFS(
'Enrollment Forecast'!C:C,
'Enrollment Forecast'!$A:$A,
$A21
)))</f>
        <v/>
      </c>
      <c r="C21" t="str">
        <f>IF($A21="","",(SUMIFS(
'Enrollment Forecast'!D:D,
'Enrollment Forecast'!$A:$A,
$A21
)))</f>
        <v/>
      </c>
      <c r="D21" t="str">
        <f>IF($A21="","",(SUMIFS(
'Enrollment Forecast'!E:E,
'Enrollment Forecast'!$A:$A,
$A21
)))</f>
        <v/>
      </c>
      <c r="E21" t="str">
        <f>IF($A21="","",(SUMIFS(
'Enrollment Forecast'!F:F,
'Enrollment Forecast'!$A:$A,
$A21
)))</f>
        <v/>
      </c>
      <c r="F21" t="str">
        <f>IF($A21="","",(SUMIFS(
'Enrollment Forecast'!G:G,
'Enrollment Forecast'!$A:$A,
$A21
)))</f>
        <v/>
      </c>
      <c r="G21" t="str">
        <f>IF($A21="","",(SUMIFS(
'Enrollment Forecast'!H:H,
'Enrollment Forecast'!$A:$A,
$A21
)))</f>
        <v/>
      </c>
      <c r="H21" t="str">
        <f>IF($A21="","",(SUMIFS(
'Enrollment Forecast'!I:I,
'Enrollment Forecast'!$A:$A,
$A21
)))</f>
        <v/>
      </c>
      <c r="I21" t="str">
        <f>IF($A21="","",(SUMIFS(
'Enrollment Forecast'!J:J,
'Enrollment Forecast'!$A:$A,
$A21
)))</f>
        <v/>
      </c>
      <c r="J21" t="str">
        <f>IF($A21="","",(SUMIFS(
'Enrollment Forecast'!K:K,
'Enrollment Forecast'!$A:$A,
$A21
)))</f>
        <v/>
      </c>
      <c r="K21" t="str">
        <f>IF($A21="","",(SUMIFS(
'Enrollment Forecast'!L:L,
'Enrollment Forecast'!$A:$A,
$A21
)))</f>
        <v/>
      </c>
      <c r="L21" t="str">
        <f>IF($A21="","",(SUMIFS(
'Enrollment Forecast'!M:M,
'Enrollment Forecast'!$A:$A,
$A21
)))</f>
        <v/>
      </c>
      <c r="M21" t="str">
        <f>IF($A21="","",(SUMIFS(
'Enrollment Forecast'!N:N,
'Enrollment Forecast'!$A:$A,
$A21
)))</f>
        <v/>
      </c>
      <c r="N21" t="str">
        <f>IF($A21="","",(SUMIFS(
'Enrollment Forecast'!O:O,
'Enrollment Forecast'!$A:$A,
$A21
)))</f>
        <v/>
      </c>
      <c r="O21" t="str">
        <f>IF($A21="","",(SUMIFS(
'Enrollment Forecast'!P:P,
'Enrollment Forecast'!$A:$A,
$A21
)))</f>
        <v/>
      </c>
      <c r="P21" t="str">
        <f>IF($A21="","",(SUMIFS(
'Enrollment Forecast'!Q:Q,
'Enrollment Forecast'!$A:$A,
$A21
)))</f>
        <v/>
      </c>
      <c r="Q21" t="str">
        <f>IF($A21="","",(SUMIFS(
'Enrollment Forecast'!R:R,
'Enrollment Forecast'!$A:$A,
$A21
)))</f>
        <v/>
      </c>
      <c r="R21" t="str">
        <f>IF($A21="","",(SUMIFS(
'Enrollment Forecast'!S:S,
'Enrollment Forecast'!$A:$A,
$A21
)))</f>
        <v/>
      </c>
      <c r="S21" t="str">
        <f>IF($A21="","",(SUMIFS(
'Enrollment Forecast'!T:T,
'Enrollment Forecast'!$A:$A,
$A21
)))</f>
        <v/>
      </c>
      <c r="T21" t="str">
        <f>IF($A21="","",(SUMIFS(
'Enrollment Forecast'!U:U,
'Enrollment Forecast'!$A:$A,
$A21
)))</f>
        <v/>
      </c>
      <c r="U21" t="str">
        <f>IF($A21="","",(SUMIFS(
'Enrollment Forecast'!V:V,
'Enrollment Forecast'!$A:$A,
$A21
)))</f>
        <v/>
      </c>
      <c r="V21" t="str">
        <f>IF($A21="","",(SUMIFS(
'Enrollment Forecast'!W:W,
'Enrollment Forecast'!$A:$A,
$A21
)))</f>
        <v/>
      </c>
      <c r="W21" t="str">
        <f>IF($A21="","",(SUMIFS(
'Enrollment Forecast'!X:X,
'Enrollment Forecast'!$A:$A,
$A21
)))</f>
        <v/>
      </c>
      <c r="X21" t="str">
        <f>IF($A21="","",(SUMIFS(
'Enrollment Forecast'!Y:Y,
'Enrollment Forecast'!$A:$A,
$A21
)))</f>
        <v/>
      </c>
    </row>
    <row r="22" spans="2:24" x14ac:dyDescent="0.25">
      <c r="B22" t="str">
        <f>IF($A22="","",(SUMIFS(
'Enrollment Forecast'!C:C,
'Enrollment Forecast'!$A:$A,
$A22
)))</f>
        <v/>
      </c>
      <c r="C22" t="str">
        <f>IF($A22="","",(SUMIFS(
'Enrollment Forecast'!D:D,
'Enrollment Forecast'!$A:$A,
$A22
)))</f>
        <v/>
      </c>
      <c r="D22" t="str">
        <f>IF($A22="","",(SUMIFS(
'Enrollment Forecast'!E:E,
'Enrollment Forecast'!$A:$A,
$A22
)))</f>
        <v/>
      </c>
      <c r="E22" t="str">
        <f>IF($A22="","",(SUMIFS(
'Enrollment Forecast'!F:F,
'Enrollment Forecast'!$A:$A,
$A22
)))</f>
        <v/>
      </c>
      <c r="F22" t="str">
        <f>IF($A22="","",(SUMIFS(
'Enrollment Forecast'!G:G,
'Enrollment Forecast'!$A:$A,
$A22
)))</f>
        <v/>
      </c>
      <c r="G22" t="str">
        <f>IF($A22="","",(SUMIFS(
'Enrollment Forecast'!H:H,
'Enrollment Forecast'!$A:$A,
$A22
)))</f>
        <v/>
      </c>
      <c r="H22" t="str">
        <f>IF($A22="","",(SUMIFS(
'Enrollment Forecast'!I:I,
'Enrollment Forecast'!$A:$A,
$A22
)))</f>
        <v/>
      </c>
      <c r="I22" t="str">
        <f>IF($A22="","",(SUMIFS(
'Enrollment Forecast'!J:J,
'Enrollment Forecast'!$A:$A,
$A22
)))</f>
        <v/>
      </c>
      <c r="J22" t="str">
        <f>IF($A22="","",(SUMIFS(
'Enrollment Forecast'!K:K,
'Enrollment Forecast'!$A:$A,
$A22
)))</f>
        <v/>
      </c>
      <c r="K22" t="str">
        <f>IF($A22="","",(SUMIFS(
'Enrollment Forecast'!L:L,
'Enrollment Forecast'!$A:$A,
$A22
)))</f>
        <v/>
      </c>
      <c r="L22" t="str">
        <f>IF($A22="","",(SUMIFS(
'Enrollment Forecast'!M:M,
'Enrollment Forecast'!$A:$A,
$A22
)))</f>
        <v/>
      </c>
      <c r="M22" t="str">
        <f>IF($A22="","",(SUMIFS(
'Enrollment Forecast'!N:N,
'Enrollment Forecast'!$A:$A,
$A22
)))</f>
        <v/>
      </c>
      <c r="N22" t="str">
        <f>IF($A22="","",(SUMIFS(
'Enrollment Forecast'!O:O,
'Enrollment Forecast'!$A:$A,
$A22
)))</f>
        <v/>
      </c>
      <c r="O22" t="str">
        <f>IF($A22="","",(SUMIFS(
'Enrollment Forecast'!P:P,
'Enrollment Forecast'!$A:$A,
$A22
)))</f>
        <v/>
      </c>
      <c r="P22" t="str">
        <f>IF($A22="","",(SUMIFS(
'Enrollment Forecast'!Q:Q,
'Enrollment Forecast'!$A:$A,
$A22
)))</f>
        <v/>
      </c>
      <c r="Q22" t="str">
        <f>IF($A22="","",(SUMIFS(
'Enrollment Forecast'!R:R,
'Enrollment Forecast'!$A:$A,
$A22
)))</f>
        <v/>
      </c>
      <c r="R22" t="str">
        <f>IF($A22="","",(SUMIFS(
'Enrollment Forecast'!S:S,
'Enrollment Forecast'!$A:$A,
$A22
)))</f>
        <v/>
      </c>
      <c r="S22" t="str">
        <f>IF($A22="","",(SUMIFS(
'Enrollment Forecast'!T:T,
'Enrollment Forecast'!$A:$A,
$A22
)))</f>
        <v/>
      </c>
      <c r="T22" t="str">
        <f>IF($A22="","",(SUMIFS(
'Enrollment Forecast'!U:U,
'Enrollment Forecast'!$A:$A,
$A22
)))</f>
        <v/>
      </c>
      <c r="U22" t="str">
        <f>IF($A22="","",(SUMIFS(
'Enrollment Forecast'!V:V,
'Enrollment Forecast'!$A:$A,
$A22
)))</f>
        <v/>
      </c>
      <c r="V22" t="str">
        <f>IF($A22="","",(SUMIFS(
'Enrollment Forecast'!W:W,
'Enrollment Forecast'!$A:$A,
$A22
)))</f>
        <v/>
      </c>
      <c r="W22" t="str">
        <f>IF($A22="","",(SUMIFS(
'Enrollment Forecast'!X:X,
'Enrollment Forecast'!$A:$A,
$A22
)))</f>
        <v/>
      </c>
      <c r="X22" t="str">
        <f>IF($A22="","",(SUMIFS(
'Enrollment Forecast'!Y:Y,
'Enrollment Forecast'!$A:$A,
$A22
)))</f>
        <v/>
      </c>
    </row>
    <row r="23" spans="2:24" x14ac:dyDescent="0.25">
      <c r="B23" t="str">
        <f>IF($A23="","",(SUMIFS(
'Enrollment Forecast'!C:C,
'Enrollment Forecast'!$A:$A,
$A23
)))</f>
        <v/>
      </c>
      <c r="C23" t="str">
        <f>IF($A23="","",(SUMIFS(
'Enrollment Forecast'!D:D,
'Enrollment Forecast'!$A:$A,
$A23
)))</f>
        <v/>
      </c>
      <c r="D23" t="str">
        <f>IF($A23="","",(SUMIFS(
'Enrollment Forecast'!E:E,
'Enrollment Forecast'!$A:$A,
$A23
)))</f>
        <v/>
      </c>
      <c r="E23" t="str">
        <f>IF($A23="","",(SUMIFS(
'Enrollment Forecast'!F:F,
'Enrollment Forecast'!$A:$A,
$A23
)))</f>
        <v/>
      </c>
      <c r="F23" t="str">
        <f>IF($A23="","",(SUMIFS(
'Enrollment Forecast'!G:G,
'Enrollment Forecast'!$A:$A,
$A23
)))</f>
        <v/>
      </c>
      <c r="G23" t="str">
        <f>IF($A23="","",(SUMIFS(
'Enrollment Forecast'!H:H,
'Enrollment Forecast'!$A:$A,
$A23
)))</f>
        <v/>
      </c>
      <c r="H23" t="str">
        <f>IF($A23="","",(SUMIFS(
'Enrollment Forecast'!I:I,
'Enrollment Forecast'!$A:$A,
$A23
)))</f>
        <v/>
      </c>
      <c r="I23" t="str">
        <f>IF($A23="","",(SUMIFS(
'Enrollment Forecast'!J:J,
'Enrollment Forecast'!$A:$A,
$A23
)))</f>
        <v/>
      </c>
      <c r="J23" t="str">
        <f>IF($A23="","",(SUMIFS(
'Enrollment Forecast'!K:K,
'Enrollment Forecast'!$A:$A,
$A23
)))</f>
        <v/>
      </c>
      <c r="K23" t="str">
        <f>IF($A23="","",(SUMIFS(
'Enrollment Forecast'!L:L,
'Enrollment Forecast'!$A:$A,
$A23
)))</f>
        <v/>
      </c>
      <c r="L23" t="str">
        <f>IF($A23="","",(SUMIFS(
'Enrollment Forecast'!M:M,
'Enrollment Forecast'!$A:$A,
$A23
)))</f>
        <v/>
      </c>
      <c r="M23" t="str">
        <f>IF($A23="","",(SUMIFS(
'Enrollment Forecast'!N:N,
'Enrollment Forecast'!$A:$A,
$A23
)))</f>
        <v/>
      </c>
      <c r="N23" t="str">
        <f>IF($A23="","",(SUMIFS(
'Enrollment Forecast'!O:O,
'Enrollment Forecast'!$A:$A,
$A23
)))</f>
        <v/>
      </c>
      <c r="O23" t="str">
        <f>IF($A23="","",(SUMIFS(
'Enrollment Forecast'!P:P,
'Enrollment Forecast'!$A:$A,
$A23
)))</f>
        <v/>
      </c>
      <c r="P23" t="str">
        <f>IF($A23="","",(SUMIFS(
'Enrollment Forecast'!Q:Q,
'Enrollment Forecast'!$A:$A,
$A23
)))</f>
        <v/>
      </c>
      <c r="Q23" t="str">
        <f>IF($A23="","",(SUMIFS(
'Enrollment Forecast'!R:R,
'Enrollment Forecast'!$A:$A,
$A23
)))</f>
        <v/>
      </c>
      <c r="R23" t="str">
        <f>IF($A23="","",(SUMIFS(
'Enrollment Forecast'!S:S,
'Enrollment Forecast'!$A:$A,
$A23
)))</f>
        <v/>
      </c>
      <c r="S23" t="str">
        <f>IF($A23="","",(SUMIFS(
'Enrollment Forecast'!T:T,
'Enrollment Forecast'!$A:$A,
$A23
)))</f>
        <v/>
      </c>
      <c r="T23" t="str">
        <f>IF($A23="","",(SUMIFS(
'Enrollment Forecast'!U:U,
'Enrollment Forecast'!$A:$A,
$A23
)))</f>
        <v/>
      </c>
      <c r="U23" t="str">
        <f>IF($A23="","",(SUMIFS(
'Enrollment Forecast'!V:V,
'Enrollment Forecast'!$A:$A,
$A23
)))</f>
        <v/>
      </c>
      <c r="V23" t="str">
        <f>IF($A23="","",(SUMIFS(
'Enrollment Forecast'!W:W,
'Enrollment Forecast'!$A:$A,
$A23
)))</f>
        <v/>
      </c>
      <c r="W23" t="str">
        <f>IF($A23="","",(SUMIFS(
'Enrollment Forecast'!X:X,
'Enrollment Forecast'!$A:$A,
$A23
)))</f>
        <v/>
      </c>
      <c r="X23" t="str">
        <f>IF($A23="","",(SUMIFS(
'Enrollment Forecast'!Y:Y,
'Enrollment Forecast'!$A:$A,
$A23
)))</f>
        <v/>
      </c>
    </row>
    <row r="24" spans="2:24" x14ac:dyDescent="0.25">
      <c r="B24" t="str">
        <f>IF($A24="","",(SUMIFS(
'Enrollment Forecast'!C:C,
'Enrollment Forecast'!$A:$A,
$A24
)))</f>
        <v/>
      </c>
      <c r="C24" t="str">
        <f>IF($A24="","",(SUMIFS(
'Enrollment Forecast'!D:D,
'Enrollment Forecast'!$A:$A,
$A24
)))</f>
        <v/>
      </c>
      <c r="D24" t="str">
        <f>IF($A24="","",(SUMIFS(
'Enrollment Forecast'!E:E,
'Enrollment Forecast'!$A:$A,
$A24
)))</f>
        <v/>
      </c>
      <c r="E24" t="str">
        <f>IF($A24="","",(SUMIFS(
'Enrollment Forecast'!F:F,
'Enrollment Forecast'!$A:$A,
$A24
)))</f>
        <v/>
      </c>
      <c r="F24" t="str">
        <f>IF($A24="","",(SUMIFS(
'Enrollment Forecast'!G:G,
'Enrollment Forecast'!$A:$A,
$A24
)))</f>
        <v/>
      </c>
      <c r="G24" t="str">
        <f>IF($A24="","",(SUMIFS(
'Enrollment Forecast'!H:H,
'Enrollment Forecast'!$A:$A,
$A24
)))</f>
        <v/>
      </c>
      <c r="H24" t="str">
        <f>IF($A24="","",(SUMIFS(
'Enrollment Forecast'!I:I,
'Enrollment Forecast'!$A:$A,
$A24
)))</f>
        <v/>
      </c>
      <c r="I24" t="str">
        <f>IF($A24="","",(SUMIFS(
'Enrollment Forecast'!J:J,
'Enrollment Forecast'!$A:$A,
$A24
)))</f>
        <v/>
      </c>
      <c r="J24" t="str">
        <f>IF($A24="","",(SUMIFS(
'Enrollment Forecast'!K:K,
'Enrollment Forecast'!$A:$A,
$A24
)))</f>
        <v/>
      </c>
      <c r="K24" t="str">
        <f>IF($A24="","",(SUMIFS(
'Enrollment Forecast'!L:L,
'Enrollment Forecast'!$A:$A,
$A24
)))</f>
        <v/>
      </c>
      <c r="L24" t="str">
        <f>IF($A24="","",(SUMIFS(
'Enrollment Forecast'!M:M,
'Enrollment Forecast'!$A:$A,
$A24
)))</f>
        <v/>
      </c>
      <c r="M24" t="str">
        <f>IF($A24="","",(SUMIFS(
'Enrollment Forecast'!N:N,
'Enrollment Forecast'!$A:$A,
$A24
)))</f>
        <v/>
      </c>
      <c r="N24" t="str">
        <f>IF($A24="","",(SUMIFS(
'Enrollment Forecast'!O:O,
'Enrollment Forecast'!$A:$A,
$A24
)))</f>
        <v/>
      </c>
      <c r="O24" t="str">
        <f>IF($A24="","",(SUMIFS(
'Enrollment Forecast'!P:P,
'Enrollment Forecast'!$A:$A,
$A24
)))</f>
        <v/>
      </c>
      <c r="P24" t="str">
        <f>IF($A24="","",(SUMIFS(
'Enrollment Forecast'!Q:Q,
'Enrollment Forecast'!$A:$A,
$A24
)))</f>
        <v/>
      </c>
      <c r="Q24" t="str">
        <f>IF($A24="","",(SUMIFS(
'Enrollment Forecast'!R:R,
'Enrollment Forecast'!$A:$A,
$A24
)))</f>
        <v/>
      </c>
      <c r="R24" t="str">
        <f>IF($A24="","",(SUMIFS(
'Enrollment Forecast'!S:S,
'Enrollment Forecast'!$A:$A,
$A24
)))</f>
        <v/>
      </c>
      <c r="S24" t="str">
        <f>IF($A24="","",(SUMIFS(
'Enrollment Forecast'!T:T,
'Enrollment Forecast'!$A:$A,
$A24
)))</f>
        <v/>
      </c>
      <c r="T24" t="str">
        <f>IF($A24="","",(SUMIFS(
'Enrollment Forecast'!U:U,
'Enrollment Forecast'!$A:$A,
$A24
)))</f>
        <v/>
      </c>
      <c r="U24" t="str">
        <f>IF($A24="","",(SUMIFS(
'Enrollment Forecast'!V:V,
'Enrollment Forecast'!$A:$A,
$A24
)))</f>
        <v/>
      </c>
      <c r="V24" t="str">
        <f>IF($A24="","",(SUMIFS(
'Enrollment Forecast'!W:W,
'Enrollment Forecast'!$A:$A,
$A24
)))</f>
        <v/>
      </c>
      <c r="W24" t="str">
        <f>IF($A24="","",(SUMIFS(
'Enrollment Forecast'!X:X,
'Enrollment Forecast'!$A:$A,
$A24
)))</f>
        <v/>
      </c>
      <c r="X24" t="str">
        <f>IF($A24="","",(SUMIFS(
'Enrollment Forecast'!Y:Y,
'Enrollment Forecast'!$A:$A,
$A24
)))</f>
        <v/>
      </c>
    </row>
    <row r="25" spans="2:24" x14ac:dyDescent="0.25">
      <c r="B25" t="str">
        <f>IF($A25="","",(SUMIFS(
'Enrollment Forecast'!C:C,
'Enrollment Forecast'!$A:$A,
$A25
)))</f>
        <v/>
      </c>
      <c r="C25" t="str">
        <f>IF($A25="","",(SUMIFS(
'Enrollment Forecast'!D:D,
'Enrollment Forecast'!$A:$A,
$A25
)))</f>
        <v/>
      </c>
      <c r="D25" t="str">
        <f>IF($A25="","",(SUMIFS(
'Enrollment Forecast'!E:E,
'Enrollment Forecast'!$A:$A,
$A25
)))</f>
        <v/>
      </c>
      <c r="E25" t="str">
        <f>IF($A25="","",(SUMIFS(
'Enrollment Forecast'!F:F,
'Enrollment Forecast'!$A:$A,
$A25
)))</f>
        <v/>
      </c>
      <c r="F25" t="str">
        <f>IF($A25="","",(SUMIFS(
'Enrollment Forecast'!G:G,
'Enrollment Forecast'!$A:$A,
$A25
)))</f>
        <v/>
      </c>
      <c r="G25" t="str">
        <f>IF($A25="","",(SUMIFS(
'Enrollment Forecast'!H:H,
'Enrollment Forecast'!$A:$A,
$A25
)))</f>
        <v/>
      </c>
      <c r="H25" t="str">
        <f>IF($A25="","",(SUMIFS(
'Enrollment Forecast'!I:I,
'Enrollment Forecast'!$A:$A,
$A25
)))</f>
        <v/>
      </c>
      <c r="I25" t="str">
        <f>IF($A25="","",(SUMIFS(
'Enrollment Forecast'!J:J,
'Enrollment Forecast'!$A:$A,
$A25
)))</f>
        <v/>
      </c>
      <c r="J25" t="str">
        <f>IF($A25="","",(SUMIFS(
'Enrollment Forecast'!K:K,
'Enrollment Forecast'!$A:$A,
$A25
)))</f>
        <v/>
      </c>
      <c r="K25" t="str">
        <f>IF($A25="","",(SUMIFS(
'Enrollment Forecast'!L:L,
'Enrollment Forecast'!$A:$A,
$A25
)))</f>
        <v/>
      </c>
      <c r="L25" t="str">
        <f>IF($A25="","",(SUMIFS(
'Enrollment Forecast'!M:M,
'Enrollment Forecast'!$A:$A,
$A25
)))</f>
        <v/>
      </c>
      <c r="M25" t="str">
        <f>IF($A25="","",(SUMIFS(
'Enrollment Forecast'!N:N,
'Enrollment Forecast'!$A:$A,
$A25
)))</f>
        <v/>
      </c>
      <c r="N25" t="str">
        <f>IF($A25="","",(SUMIFS(
'Enrollment Forecast'!O:O,
'Enrollment Forecast'!$A:$A,
$A25
)))</f>
        <v/>
      </c>
      <c r="O25" t="str">
        <f>IF($A25="","",(SUMIFS(
'Enrollment Forecast'!P:P,
'Enrollment Forecast'!$A:$A,
$A25
)))</f>
        <v/>
      </c>
      <c r="P25" t="str">
        <f>IF($A25="","",(SUMIFS(
'Enrollment Forecast'!Q:Q,
'Enrollment Forecast'!$A:$A,
$A25
)))</f>
        <v/>
      </c>
      <c r="Q25" t="str">
        <f>IF($A25="","",(SUMIFS(
'Enrollment Forecast'!R:R,
'Enrollment Forecast'!$A:$A,
$A25
)))</f>
        <v/>
      </c>
      <c r="R25" t="str">
        <f>IF($A25="","",(SUMIFS(
'Enrollment Forecast'!S:S,
'Enrollment Forecast'!$A:$A,
$A25
)))</f>
        <v/>
      </c>
      <c r="S25" t="str">
        <f>IF($A25="","",(SUMIFS(
'Enrollment Forecast'!T:T,
'Enrollment Forecast'!$A:$A,
$A25
)))</f>
        <v/>
      </c>
      <c r="T25" t="str">
        <f>IF($A25="","",(SUMIFS(
'Enrollment Forecast'!U:U,
'Enrollment Forecast'!$A:$A,
$A25
)))</f>
        <v/>
      </c>
      <c r="U25" t="str">
        <f>IF($A25="","",(SUMIFS(
'Enrollment Forecast'!V:V,
'Enrollment Forecast'!$A:$A,
$A25
)))</f>
        <v/>
      </c>
      <c r="V25" t="str">
        <f>IF($A25="","",(SUMIFS(
'Enrollment Forecast'!W:W,
'Enrollment Forecast'!$A:$A,
$A25
)))</f>
        <v/>
      </c>
      <c r="W25" t="str">
        <f>IF($A25="","",(SUMIFS(
'Enrollment Forecast'!X:X,
'Enrollment Forecast'!$A:$A,
$A25
)))</f>
        <v/>
      </c>
      <c r="X25" t="str">
        <f>IF($A25="","",(SUMIFS(
'Enrollment Forecast'!Y:Y,
'Enrollment Forecast'!$A:$A,
$A25
)))</f>
        <v/>
      </c>
    </row>
    <row r="26" spans="2:24" x14ac:dyDescent="0.25">
      <c r="B26" t="str">
        <f>IF($A26="","",(SUMIFS(
'Enrollment Forecast'!C:C,
'Enrollment Forecast'!$A:$A,
$A26
)))</f>
        <v/>
      </c>
      <c r="C26" t="str">
        <f>IF($A26="","",(SUMIFS(
'Enrollment Forecast'!D:D,
'Enrollment Forecast'!$A:$A,
$A26
)))</f>
        <v/>
      </c>
      <c r="D26" t="str">
        <f>IF($A26="","",(SUMIFS(
'Enrollment Forecast'!E:E,
'Enrollment Forecast'!$A:$A,
$A26
)))</f>
        <v/>
      </c>
      <c r="E26" t="str">
        <f>IF($A26="","",(SUMIFS(
'Enrollment Forecast'!F:F,
'Enrollment Forecast'!$A:$A,
$A26
)))</f>
        <v/>
      </c>
      <c r="F26" t="str">
        <f>IF($A26="","",(SUMIFS(
'Enrollment Forecast'!G:G,
'Enrollment Forecast'!$A:$A,
$A26
)))</f>
        <v/>
      </c>
      <c r="G26" t="str">
        <f>IF($A26="","",(SUMIFS(
'Enrollment Forecast'!H:H,
'Enrollment Forecast'!$A:$A,
$A26
)))</f>
        <v/>
      </c>
      <c r="H26" t="str">
        <f>IF($A26="","",(SUMIFS(
'Enrollment Forecast'!I:I,
'Enrollment Forecast'!$A:$A,
$A26
)))</f>
        <v/>
      </c>
      <c r="I26" t="str">
        <f>IF($A26="","",(SUMIFS(
'Enrollment Forecast'!J:J,
'Enrollment Forecast'!$A:$A,
$A26
)))</f>
        <v/>
      </c>
      <c r="J26" t="str">
        <f>IF($A26="","",(SUMIFS(
'Enrollment Forecast'!K:K,
'Enrollment Forecast'!$A:$A,
$A26
)))</f>
        <v/>
      </c>
      <c r="K26" t="str">
        <f>IF($A26="","",(SUMIFS(
'Enrollment Forecast'!L:L,
'Enrollment Forecast'!$A:$A,
$A26
)))</f>
        <v/>
      </c>
      <c r="L26" t="str">
        <f>IF($A26="","",(SUMIFS(
'Enrollment Forecast'!M:M,
'Enrollment Forecast'!$A:$A,
$A26
)))</f>
        <v/>
      </c>
      <c r="M26" t="str">
        <f>IF($A26="","",(SUMIFS(
'Enrollment Forecast'!N:N,
'Enrollment Forecast'!$A:$A,
$A26
)))</f>
        <v/>
      </c>
      <c r="N26" t="str">
        <f>IF($A26="","",(SUMIFS(
'Enrollment Forecast'!O:O,
'Enrollment Forecast'!$A:$A,
$A26
)))</f>
        <v/>
      </c>
      <c r="O26" t="str">
        <f>IF($A26="","",(SUMIFS(
'Enrollment Forecast'!P:P,
'Enrollment Forecast'!$A:$A,
$A26
)))</f>
        <v/>
      </c>
      <c r="P26" t="str">
        <f>IF($A26="","",(SUMIFS(
'Enrollment Forecast'!Q:Q,
'Enrollment Forecast'!$A:$A,
$A26
)))</f>
        <v/>
      </c>
      <c r="Q26" t="str">
        <f>IF($A26="","",(SUMIFS(
'Enrollment Forecast'!R:R,
'Enrollment Forecast'!$A:$A,
$A26
)))</f>
        <v/>
      </c>
      <c r="R26" t="str">
        <f>IF($A26="","",(SUMIFS(
'Enrollment Forecast'!S:S,
'Enrollment Forecast'!$A:$A,
$A26
)))</f>
        <v/>
      </c>
      <c r="S26" t="str">
        <f>IF($A26="","",(SUMIFS(
'Enrollment Forecast'!T:T,
'Enrollment Forecast'!$A:$A,
$A26
)))</f>
        <v/>
      </c>
      <c r="T26" t="str">
        <f>IF($A26="","",(SUMIFS(
'Enrollment Forecast'!U:U,
'Enrollment Forecast'!$A:$A,
$A26
)))</f>
        <v/>
      </c>
      <c r="U26" t="str">
        <f>IF($A26="","",(SUMIFS(
'Enrollment Forecast'!V:V,
'Enrollment Forecast'!$A:$A,
$A26
)))</f>
        <v/>
      </c>
      <c r="V26" t="str">
        <f>IF($A26="","",(SUMIFS(
'Enrollment Forecast'!W:W,
'Enrollment Forecast'!$A:$A,
$A26
)))</f>
        <v/>
      </c>
      <c r="W26" t="str">
        <f>IF($A26="","",(SUMIFS(
'Enrollment Forecast'!X:X,
'Enrollment Forecast'!$A:$A,
$A26
)))</f>
        <v/>
      </c>
      <c r="X26" t="str">
        <f>IF($A26="","",(SUMIFS(
'Enrollment Forecast'!Y:Y,
'Enrollment Forecast'!$A:$A,
$A26
)))</f>
        <v/>
      </c>
    </row>
    <row r="27" spans="2:24" x14ac:dyDescent="0.25">
      <c r="B27" t="str">
        <f>IF($A27="","",(SUMIFS(
'Enrollment Forecast'!C:C,
'Enrollment Forecast'!$A:$A,
$A27
)))</f>
        <v/>
      </c>
      <c r="C27" t="str">
        <f>IF($A27="","",(SUMIFS(
'Enrollment Forecast'!D:D,
'Enrollment Forecast'!$A:$A,
$A27
)))</f>
        <v/>
      </c>
      <c r="D27" t="str">
        <f>IF($A27="","",(SUMIFS(
'Enrollment Forecast'!E:E,
'Enrollment Forecast'!$A:$A,
$A27
)))</f>
        <v/>
      </c>
      <c r="E27" t="str">
        <f>IF($A27="","",(SUMIFS(
'Enrollment Forecast'!F:F,
'Enrollment Forecast'!$A:$A,
$A27
)))</f>
        <v/>
      </c>
      <c r="F27" t="str">
        <f>IF($A27="","",(SUMIFS(
'Enrollment Forecast'!G:G,
'Enrollment Forecast'!$A:$A,
$A27
)))</f>
        <v/>
      </c>
      <c r="G27" t="str">
        <f>IF($A27="","",(SUMIFS(
'Enrollment Forecast'!H:H,
'Enrollment Forecast'!$A:$A,
$A27
)))</f>
        <v/>
      </c>
      <c r="H27" t="str">
        <f>IF($A27="","",(SUMIFS(
'Enrollment Forecast'!I:I,
'Enrollment Forecast'!$A:$A,
$A27
)))</f>
        <v/>
      </c>
      <c r="I27" t="str">
        <f>IF($A27="","",(SUMIFS(
'Enrollment Forecast'!J:J,
'Enrollment Forecast'!$A:$A,
$A27
)))</f>
        <v/>
      </c>
      <c r="J27" t="str">
        <f>IF($A27="","",(SUMIFS(
'Enrollment Forecast'!K:K,
'Enrollment Forecast'!$A:$A,
$A27
)))</f>
        <v/>
      </c>
      <c r="K27" t="str">
        <f>IF($A27="","",(SUMIFS(
'Enrollment Forecast'!L:L,
'Enrollment Forecast'!$A:$A,
$A27
)))</f>
        <v/>
      </c>
      <c r="L27" t="str">
        <f>IF($A27="","",(SUMIFS(
'Enrollment Forecast'!M:M,
'Enrollment Forecast'!$A:$A,
$A27
)))</f>
        <v/>
      </c>
      <c r="M27" t="str">
        <f>IF($A27="","",(SUMIFS(
'Enrollment Forecast'!N:N,
'Enrollment Forecast'!$A:$A,
$A27
)))</f>
        <v/>
      </c>
      <c r="N27" t="str">
        <f>IF($A27="","",(SUMIFS(
'Enrollment Forecast'!O:O,
'Enrollment Forecast'!$A:$A,
$A27
)))</f>
        <v/>
      </c>
      <c r="O27" t="str">
        <f>IF($A27="","",(SUMIFS(
'Enrollment Forecast'!P:P,
'Enrollment Forecast'!$A:$A,
$A27
)))</f>
        <v/>
      </c>
      <c r="P27" t="str">
        <f>IF($A27="","",(SUMIFS(
'Enrollment Forecast'!Q:Q,
'Enrollment Forecast'!$A:$A,
$A27
)))</f>
        <v/>
      </c>
      <c r="Q27" t="str">
        <f>IF($A27="","",(SUMIFS(
'Enrollment Forecast'!R:R,
'Enrollment Forecast'!$A:$A,
$A27
)))</f>
        <v/>
      </c>
      <c r="R27" t="str">
        <f>IF($A27="","",(SUMIFS(
'Enrollment Forecast'!S:S,
'Enrollment Forecast'!$A:$A,
$A27
)))</f>
        <v/>
      </c>
      <c r="S27" t="str">
        <f>IF($A27="","",(SUMIFS(
'Enrollment Forecast'!T:T,
'Enrollment Forecast'!$A:$A,
$A27
)))</f>
        <v/>
      </c>
      <c r="T27" t="str">
        <f>IF($A27="","",(SUMIFS(
'Enrollment Forecast'!U:U,
'Enrollment Forecast'!$A:$A,
$A27
)))</f>
        <v/>
      </c>
      <c r="U27" t="str">
        <f>IF($A27="","",(SUMIFS(
'Enrollment Forecast'!V:V,
'Enrollment Forecast'!$A:$A,
$A27
)))</f>
        <v/>
      </c>
      <c r="V27" t="str">
        <f>IF($A27="","",(SUMIFS(
'Enrollment Forecast'!W:W,
'Enrollment Forecast'!$A:$A,
$A27
)))</f>
        <v/>
      </c>
      <c r="W27" t="str">
        <f>IF($A27="","",(SUMIFS(
'Enrollment Forecast'!X:X,
'Enrollment Forecast'!$A:$A,
$A27
)))</f>
        <v/>
      </c>
      <c r="X27" t="str">
        <f>IF($A27="","",(SUMIFS(
'Enrollment Forecast'!Y:Y,
'Enrollment Forecast'!$A:$A,
$A27
)))</f>
        <v/>
      </c>
    </row>
    <row r="28" spans="2:24" x14ac:dyDescent="0.25">
      <c r="B28" t="str">
        <f>IF($A28="","",(SUMIFS(
'Enrollment Forecast'!C:C,
'Enrollment Forecast'!$A:$A,
$A28
)))</f>
        <v/>
      </c>
      <c r="C28" t="str">
        <f>IF($A28="","",(SUMIFS(
'Enrollment Forecast'!D:D,
'Enrollment Forecast'!$A:$A,
$A28
)))</f>
        <v/>
      </c>
      <c r="D28" t="str">
        <f>IF($A28="","",(SUMIFS(
'Enrollment Forecast'!E:E,
'Enrollment Forecast'!$A:$A,
$A28
)))</f>
        <v/>
      </c>
      <c r="E28" t="str">
        <f>IF($A28="","",(SUMIFS(
'Enrollment Forecast'!F:F,
'Enrollment Forecast'!$A:$A,
$A28
)))</f>
        <v/>
      </c>
      <c r="F28" t="str">
        <f>IF($A28="","",(SUMIFS(
'Enrollment Forecast'!G:G,
'Enrollment Forecast'!$A:$A,
$A28
)))</f>
        <v/>
      </c>
      <c r="G28" t="str">
        <f>IF($A28="","",(SUMIFS(
'Enrollment Forecast'!H:H,
'Enrollment Forecast'!$A:$A,
$A28
)))</f>
        <v/>
      </c>
      <c r="H28" t="str">
        <f>IF($A28="","",(SUMIFS(
'Enrollment Forecast'!I:I,
'Enrollment Forecast'!$A:$A,
$A28
)))</f>
        <v/>
      </c>
      <c r="I28" t="str">
        <f>IF($A28="","",(SUMIFS(
'Enrollment Forecast'!J:J,
'Enrollment Forecast'!$A:$A,
$A28
)))</f>
        <v/>
      </c>
      <c r="J28" t="str">
        <f>IF($A28="","",(SUMIFS(
'Enrollment Forecast'!K:K,
'Enrollment Forecast'!$A:$A,
$A28
)))</f>
        <v/>
      </c>
      <c r="K28" t="str">
        <f>IF($A28="","",(SUMIFS(
'Enrollment Forecast'!L:L,
'Enrollment Forecast'!$A:$A,
$A28
)))</f>
        <v/>
      </c>
      <c r="L28" t="str">
        <f>IF($A28="","",(SUMIFS(
'Enrollment Forecast'!M:M,
'Enrollment Forecast'!$A:$A,
$A28
)))</f>
        <v/>
      </c>
      <c r="M28" t="str">
        <f>IF($A28="","",(SUMIFS(
'Enrollment Forecast'!N:N,
'Enrollment Forecast'!$A:$A,
$A28
)))</f>
        <v/>
      </c>
      <c r="N28" t="str">
        <f>IF($A28="","",(SUMIFS(
'Enrollment Forecast'!O:O,
'Enrollment Forecast'!$A:$A,
$A28
)))</f>
        <v/>
      </c>
      <c r="O28" t="str">
        <f>IF($A28="","",(SUMIFS(
'Enrollment Forecast'!P:P,
'Enrollment Forecast'!$A:$A,
$A28
)))</f>
        <v/>
      </c>
      <c r="P28" t="str">
        <f>IF($A28="","",(SUMIFS(
'Enrollment Forecast'!Q:Q,
'Enrollment Forecast'!$A:$A,
$A28
)))</f>
        <v/>
      </c>
      <c r="Q28" t="str">
        <f>IF($A28="","",(SUMIFS(
'Enrollment Forecast'!R:R,
'Enrollment Forecast'!$A:$A,
$A28
)))</f>
        <v/>
      </c>
      <c r="R28" t="str">
        <f>IF($A28="","",(SUMIFS(
'Enrollment Forecast'!S:S,
'Enrollment Forecast'!$A:$A,
$A28
)))</f>
        <v/>
      </c>
      <c r="S28" t="str">
        <f>IF($A28="","",(SUMIFS(
'Enrollment Forecast'!T:T,
'Enrollment Forecast'!$A:$A,
$A28
)))</f>
        <v/>
      </c>
      <c r="T28" t="str">
        <f>IF($A28="","",(SUMIFS(
'Enrollment Forecast'!U:U,
'Enrollment Forecast'!$A:$A,
$A28
)))</f>
        <v/>
      </c>
      <c r="U28" t="str">
        <f>IF($A28="","",(SUMIFS(
'Enrollment Forecast'!V:V,
'Enrollment Forecast'!$A:$A,
$A28
)))</f>
        <v/>
      </c>
      <c r="V28" t="str">
        <f>IF($A28="","",(SUMIFS(
'Enrollment Forecast'!W:W,
'Enrollment Forecast'!$A:$A,
$A28
)))</f>
        <v/>
      </c>
      <c r="W28" t="str">
        <f>IF($A28="","",(SUMIFS(
'Enrollment Forecast'!X:X,
'Enrollment Forecast'!$A:$A,
$A28
)))</f>
        <v/>
      </c>
      <c r="X28" t="str">
        <f>IF($A28="","",(SUMIFS(
'Enrollment Forecast'!Y:Y,
'Enrollment Forecast'!$A:$A,
$A28
)))</f>
        <v/>
      </c>
    </row>
    <row r="29" spans="2:24" x14ac:dyDescent="0.25">
      <c r="B29" t="str">
        <f>IF($A29="","",(SUMIFS(
'Enrollment Forecast'!C:C,
'Enrollment Forecast'!$A:$A,
$A29
)))</f>
        <v/>
      </c>
      <c r="C29" t="str">
        <f>IF($A29="","",(SUMIFS(
'Enrollment Forecast'!D:D,
'Enrollment Forecast'!$A:$A,
$A29
)))</f>
        <v/>
      </c>
      <c r="D29" t="str">
        <f>IF($A29="","",(SUMIFS(
'Enrollment Forecast'!E:E,
'Enrollment Forecast'!$A:$A,
$A29
)))</f>
        <v/>
      </c>
      <c r="E29" t="str">
        <f>IF($A29="","",(SUMIFS(
'Enrollment Forecast'!F:F,
'Enrollment Forecast'!$A:$A,
$A29
)))</f>
        <v/>
      </c>
      <c r="F29" t="str">
        <f>IF($A29="","",(SUMIFS(
'Enrollment Forecast'!G:G,
'Enrollment Forecast'!$A:$A,
$A29
)))</f>
        <v/>
      </c>
      <c r="G29" t="str">
        <f>IF($A29="","",(SUMIFS(
'Enrollment Forecast'!H:H,
'Enrollment Forecast'!$A:$A,
$A29
)))</f>
        <v/>
      </c>
      <c r="H29" t="str">
        <f>IF($A29="","",(SUMIFS(
'Enrollment Forecast'!I:I,
'Enrollment Forecast'!$A:$A,
$A29
)))</f>
        <v/>
      </c>
      <c r="I29" t="str">
        <f>IF($A29="","",(SUMIFS(
'Enrollment Forecast'!J:J,
'Enrollment Forecast'!$A:$A,
$A29
)))</f>
        <v/>
      </c>
      <c r="J29" t="str">
        <f>IF($A29="","",(SUMIFS(
'Enrollment Forecast'!K:K,
'Enrollment Forecast'!$A:$A,
$A29
)))</f>
        <v/>
      </c>
      <c r="K29" t="str">
        <f>IF($A29="","",(SUMIFS(
'Enrollment Forecast'!L:L,
'Enrollment Forecast'!$A:$A,
$A29
)))</f>
        <v/>
      </c>
      <c r="L29" t="str">
        <f>IF($A29="","",(SUMIFS(
'Enrollment Forecast'!M:M,
'Enrollment Forecast'!$A:$A,
$A29
)))</f>
        <v/>
      </c>
      <c r="M29" t="str">
        <f>IF($A29="","",(SUMIFS(
'Enrollment Forecast'!N:N,
'Enrollment Forecast'!$A:$A,
$A29
)))</f>
        <v/>
      </c>
      <c r="N29" t="str">
        <f>IF($A29="","",(SUMIFS(
'Enrollment Forecast'!O:O,
'Enrollment Forecast'!$A:$A,
$A29
)))</f>
        <v/>
      </c>
      <c r="O29" t="str">
        <f>IF($A29="","",(SUMIFS(
'Enrollment Forecast'!P:P,
'Enrollment Forecast'!$A:$A,
$A29
)))</f>
        <v/>
      </c>
      <c r="P29" t="str">
        <f>IF($A29="","",(SUMIFS(
'Enrollment Forecast'!Q:Q,
'Enrollment Forecast'!$A:$A,
$A29
)))</f>
        <v/>
      </c>
      <c r="Q29" t="str">
        <f>IF($A29="","",(SUMIFS(
'Enrollment Forecast'!R:R,
'Enrollment Forecast'!$A:$A,
$A29
)))</f>
        <v/>
      </c>
      <c r="R29" t="str">
        <f>IF($A29="","",(SUMIFS(
'Enrollment Forecast'!S:S,
'Enrollment Forecast'!$A:$A,
$A29
)))</f>
        <v/>
      </c>
      <c r="S29" t="str">
        <f>IF($A29="","",(SUMIFS(
'Enrollment Forecast'!T:T,
'Enrollment Forecast'!$A:$A,
$A29
)))</f>
        <v/>
      </c>
      <c r="T29" t="str">
        <f>IF($A29="","",(SUMIFS(
'Enrollment Forecast'!U:U,
'Enrollment Forecast'!$A:$A,
$A29
)))</f>
        <v/>
      </c>
      <c r="U29" t="str">
        <f>IF($A29="","",(SUMIFS(
'Enrollment Forecast'!V:V,
'Enrollment Forecast'!$A:$A,
$A29
)))</f>
        <v/>
      </c>
      <c r="V29" t="str">
        <f>IF($A29="","",(SUMIFS(
'Enrollment Forecast'!W:W,
'Enrollment Forecast'!$A:$A,
$A29
)))</f>
        <v/>
      </c>
      <c r="W29" t="str">
        <f>IF($A29="","",(SUMIFS(
'Enrollment Forecast'!X:X,
'Enrollment Forecast'!$A:$A,
$A29
)))</f>
        <v/>
      </c>
      <c r="X29" t="str">
        <f>IF($A29="","",(SUMIFS(
'Enrollment Forecast'!Y:Y,
'Enrollment Forecast'!$A:$A,
$A29
)))</f>
        <v/>
      </c>
    </row>
    <row r="30" spans="2:24" x14ac:dyDescent="0.25">
      <c r="B30" t="str">
        <f>IF($A30="","",(SUMIFS(
'Enrollment Forecast'!C:C,
'Enrollment Forecast'!$A:$A,
$A30
)))</f>
        <v/>
      </c>
      <c r="C30" t="str">
        <f>IF($A30="","",(SUMIFS(
'Enrollment Forecast'!D:D,
'Enrollment Forecast'!$A:$A,
$A30
)))</f>
        <v/>
      </c>
      <c r="D30" t="str">
        <f>IF($A30="","",(SUMIFS(
'Enrollment Forecast'!E:E,
'Enrollment Forecast'!$A:$A,
$A30
)))</f>
        <v/>
      </c>
      <c r="E30" t="str">
        <f>IF($A30="","",(SUMIFS(
'Enrollment Forecast'!F:F,
'Enrollment Forecast'!$A:$A,
$A30
)))</f>
        <v/>
      </c>
      <c r="F30" t="str">
        <f>IF($A30="","",(SUMIFS(
'Enrollment Forecast'!G:G,
'Enrollment Forecast'!$A:$A,
$A30
)))</f>
        <v/>
      </c>
      <c r="G30" t="str">
        <f>IF($A30="","",(SUMIFS(
'Enrollment Forecast'!H:H,
'Enrollment Forecast'!$A:$A,
$A30
)))</f>
        <v/>
      </c>
      <c r="H30" t="str">
        <f>IF($A30="","",(SUMIFS(
'Enrollment Forecast'!I:I,
'Enrollment Forecast'!$A:$A,
$A30
)))</f>
        <v/>
      </c>
      <c r="I30" t="str">
        <f>IF($A30="","",(SUMIFS(
'Enrollment Forecast'!J:J,
'Enrollment Forecast'!$A:$A,
$A30
)))</f>
        <v/>
      </c>
      <c r="J30" t="str">
        <f>IF($A30="","",(SUMIFS(
'Enrollment Forecast'!K:K,
'Enrollment Forecast'!$A:$A,
$A30
)))</f>
        <v/>
      </c>
      <c r="K30" t="str">
        <f>IF($A30="","",(SUMIFS(
'Enrollment Forecast'!L:L,
'Enrollment Forecast'!$A:$A,
$A30
)))</f>
        <v/>
      </c>
      <c r="L30" t="str">
        <f>IF($A30="","",(SUMIFS(
'Enrollment Forecast'!M:M,
'Enrollment Forecast'!$A:$A,
$A30
)))</f>
        <v/>
      </c>
      <c r="M30" t="str">
        <f>IF($A30="","",(SUMIFS(
'Enrollment Forecast'!N:N,
'Enrollment Forecast'!$A:$A,
$A30
)))</f>
        <v/>
      </c>
      <c r="N30" t="str">
        <f>IF($A30="","",(SUMIFS(
'Enrollment Forecast'!O:O,
'Enrollment Forecast'!$A:$A,
$A30
)))</f>
        <v/>
      </c>
      <c r="O30" t="str">
        <f>IF($A30="","",(SUMIFS(
'Enrollment Forecast'!P:P,
'Enrollment Forecast'!$A:$A,
$A30
)))</f>
        <v/>
      </c>
      <c r="P30" t="str">
        <f>IF($A30="","",(SUMIFS(
'Enrollment Forecast'!Q:Q,
'Enrollment Forecast'!$A:$A,
$A30
)))</f>
        <v/>
      </c>
      <c r="Q30" t="str">
        <f>IF($A30="","",(SUMIFS(
'Enrollment Forecast'!R:R,
'Enrollment Forecast'!$A:$A,
$A30
)))</f>
        <v/>
      </c>
      <c r="R30" t="str">
        <f>IF($A30="","",(SUMIFS(
'Enrollment Forecast'!S:S,
'Enrollment Forecast'!$A:$A,
$A30
)))</f>
        <v/>
      </c>
      <c r="S30" t="str">
        <f>IF($A30="","",(SUMIFS(
'Enrollment Forecast'!T:T,
'Enrollment Forecast'!$A:$A,
$A30
)))</f>
        <v/>
      </c>
      <c r="T30" t="str">
        <f>IF($A30="","",(SUMIFS(
'Enrollment Forecast'!U:U,
'Enrollment Forecast'!$A:$A,
$A30
)))</f>
        <v/>
      </c>
      <c r="U30" t="str">
        <f>IF($A30="","",(SUMIFS(
'Enrollment Forecast'!V:V,
'Enrollment Forecast'!$A:$A,
$A30
)))</f>
        <v/>
      </c>
      <c r="V30" t="str">
        <f>IF($A30="","",(SUMIFS(
'Enrollment Forecast'!W:W,
'Enrollment Forecast'!$A:$A,
$A30
)))</f>
        <v/>
      </c>
      <c r="W30" t="str">
        <f>IF($A30="","",(SUMIFS(
'Enrollment Forecast'!X:X,
'Enrollment Forecast'!$A:$A,
$A30
)))</f>
        <v/>
      </c>
      <c r="X30" t="str">
        <f>IF($A30="","",(SUMIFS(
'Enrollment Forecast'!Y:Y,
'Enrollment Forecast'!$A:$A,
$A30
)))</f>
        <v/>
      </c>
    </row>
    <row r="31" spans="2:24" x14ac:dyDescent="0.25">
      <c r="B31" t="str">
        <f>IF($A31="","",(SUMIFS(
'Enrollment Forecast'!C:C,
'Enrollment Forecast'!$A:$A,
$A31
)))</f>
        <v/>
      </c>
      <c r="C31" t="str">
        <f>IF($A31="","",(SUMIFS(
'Enrollment Forecast'!D:D,
'Enrollment Forecast'!$A:$A,
$A31
)))</f>
        <v/>
      </c>
      <c r="D31" t="str">
        <f>IF($A31="","",(SUMIFS(
'Enrollment Forecast'!E:E,
'Enrollment Forecast'!$A:$A,
$A31
)))</f>
        <v/>
      </c>
      <c r="E31" t="str">
        <f>IF($A31="","",(SUMIFS(
'Enrollment Forecast'!F:F,
'Enrollment Forecast'!$A:$A,
$A31
)))</f>
        <v/>
      </c>
      <c r="F31" t="str">
        <f>IF($A31="","",(SUMIFS(
'Enrollment Forecast'!G:G,
'Enrollment Forecast'!$A:$A,
$A31
)))</f>
        <v/>
      </c>
      <c r="G31" t="str">
        <f>IF($A31="","",(SUMIFS(
'Enrollment Forecast'!H:H,
'Enrollment Forecast'!$A:$A,
$A31
)))</f>
        <v/>
      </c>
      <c r="H31" t="str">
        <f>IF($A31="","",(SUMIFS(
'Enrollment Forecast'!I:I,
'Enrollment Forecast'!$A:$A,
$A31
)))</f>
        <v/>
      </c>
      <c r="I31" t="str">
        <f>IF($A31="","",(SUMIFS(
'Enrollment Forecast'!J:J,
'Enrollment Forecast'!$A:$A,
$A31
)))</f>
        <v/>
      </c>
      <c r="J31" t="str">
        <f>IF($A31="","",(SUMIFS(
'Enrollment Forecast'!K:K,
'Enrollment Forecast'!$A:$A,
$A31
)))</f>
        <v/>
      </c>
      <c r="K31" t="str">
        <f>IF($A31="","",(SUMIFS(
'Enrollment Forecast'!L:L,
'Enrollment Forecast'!$A:$A,
$A31
)))</f>
        <v/>
      </c>
      <c r="L31" t="str">
        <f>IF($A31="","",(SUMIFS(
'Enrollment Forecast'!M:M,
'Enrollment Forecast'!$A:$A,
$A31
)))</f>
        <v/>
      </c>
      <c r="M31" t="str">
        <f>IF($A31="","",(SUMIFS(
'Enrollment Forecast'!N:N,
'Enrollment Forecast'!$A:$A,
$A31
)))</f>
        <v/>
      </c>
      <c r="N31" t="str">
        <f>IF($A31="","",(SUMIFS(
'Enrollment Forecast'!O:O,
'Enrollment Forecast'!$A:$A,
$A31
)))</f>
        <v/>
      </c>
      <c r="O31" t="str">
        <f>IF($A31="","",(SUMIFS(
'Enrollment Forecast'!P:P,
'Enrollment Forecast'!$A:$A,
$A31
)))</f>
        <v/>
      </c>
      <c r="P31" t="str">
        <f>IF($A31="","",(SUMIFS(
'Enrollment Forecast'!Q:Q,
'Enrollment Forecast'!$A:$A,
$A31
)))</f>
        <v/>
      </c>
      <c r="Q31" t="str">
        <f>IF($A31="","",(SUMIFS(
'Enrollment Forecast'!R:R,
'Enrollment Forecast'!$A:$A,
$A31
)))</f>
        <v/>
      </c>
      <c r="R31" t="str">
        <f>IF($A31="","",(SUMIFS(
'Enrollment Forecast'!S:S,
'Enrollment Forecast'!$A:$A,
$A31
)))</f>
        <v/>
      </c>
      <c r="S31" t="str">
        <f>IF($A31="","",(SUMIFS(
'Enrollment Forecast'!T:T,
'Enrollment Forecast'!$A:$A,
$A31
)))</f>
        <v/>
      </c>
      <c r="T31" t="str">
        <f>IF($A31="","",(SUMIFS(
'Enrollment Forecast'!U:U,
'Enrollment Forecast'!$A:$A,
$A31
)))</f>
        <v/>
      </c>
      <c r="U31" t="str">
        <f>IF($A31="","",(SUMIFS(
'Enrollment Forecast'!V:V,
'Enrollment Forecast'!$A:$A,
$A31
)))</f>
        <v/>
      </c>
      <c r="V31" t="str">
        <f>IF($A31="","",(SUMIFS(
'Enrollment Forecast'!W:W,
'Enrollment Forecast'!$A:$A,
$A31
)))</f>
        <v/>
      </c>
      <c r="W31" t="str">
        <f>IF($A31="","",(SUMIFS(
'Enrollment Forecast'!X:X,
'Enrollment Forecast'!$A:$A,
$A31
)))</f>
        <v/>
      </c>
      <c r="X31" t="str">
        <f>IF($A31="","",(SUMIFS(
'Enrollment Forecast'!Y:Y,
'Enrollment Forecast'!$A:$A,
$A31
)))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6479-14C3-4155-BFD7-34F6B34954E3}">
  <sheetPr codeName="Sheet7"/>
  <dimension ref="A1:G26"/>
  <sheetViews>
    <sheetView workbookViewId="0">
      <selection activeCell="D2" sqref="D2"/>
    </sheetView>
  </sheetViews>
  <sheetFormatPr defaultRowHeight="15" x14ac:dyDescent="0.25"/>
  <cols>
    <col min="1" max="1" width="19.7109375" bestFit="1" customWidth="1"/>
    <col min="3" max="3" width="7.7109375" customWidth="1"/>
    <col min="4" max="4" width="13.140625" customWidth="1"/>
    <col min="5" max="5" width="12.85546875" customWidth="1"/>
    <col min="6" max="6" width="15.7109375" customWidth="1"/>
    <col min="7" max="7" width="11.28515625" customWidth="1"/>
  </cols>
  <sheetData>
    <row r="1" spans="1:7" x14ac:dyDescent="0.25">
      <c r="A1" t="s">
        <v>0</v>
      </c>
      <c r="B1" t="s">
        <v>13</v>
      </c>
      <c r="C1" t="s">
        <v>48</v>
      </c>
      <c r="D1" t="s">
        <v>52</v>
      </c>
      <c r="E1" t="s">
        <v>53</v>
      </c>
      <c r="F1" t="s">
        <v>16</v>
      </c>
      <c r="G1" t="s">
        <v>12</v>
      </c>
    </row>
    <row r="2" spans="1:7" ht="15.75" x14ac:dyDescent="0.25">
      <c r="A2" t="s">
        <v>43</v>
      </c>
      <c r="B2" t="s">
        <v>50</v>
      </c>
      <c r="C2">
        <v>0</v>
      </c>
      <c r="D2" s="11"/>
      <c r="E2" s="12"/>
      <c r="F2" s="12"/>
      <c r="G2" s="9">
        <f>D2-F2</f>
        <v>0</v>
      </c>
    </row>
    <row r="3" spans="1:7" x14ac:dyDescent="0.25">
      <c r="A3" t="s">
        <v>15</v>
      </c>
      <c r="B3" t="s">
        <v>49</v>
      </c>
      <c r="C3">
        <v>1</v>
      </c>
      <c r="D3" s="12">
        <v>46128</v>
      </c>
      <c r="E3" s="12"/>
      <c r="F3" s="12">
        <v>46112</v>
      </c>
      <c r="G3" s="9">
        <f t="shared" ref="G3:G26" si="0">D3-F3</f>
        <v>16</v>
      </c>
    </row>
    <row r="4" spans="1:7" x14ac:dyDescent="0.25">
      <c r="A4" t="s">
        <v>14</v>
      </c>
      <c r="B4" t="s">
        <v>51</v>
      </c>
      <c r="C4">
        <v>4</v>
      </c>
      <c r="D4" s="12">
        <v>46413</v>
      </c>
      <c r="E4" s="12">
        <v>46489</v>
      </c>
      <c r="F4" s="12">
        <v>46281</v>
      </c>
      <c r="G4" s="9">
        <f t="shared" si="0"/>
        <v>132</v>
      </c>
    </row>
    <row r="5" spans="1:7" x14ac:dyDescent="0.25">
      <c r="A5" t="s">
        <v>44</v>
      </c>
      <c r="B5" t="s">
        <v>49</v>
      </c>
      <c r="C5">
        <v>3</v>
      </c>
      <c r="D5" s="12">
        <v>46234</v>
      </c>
      <c r="E5" s="12">
        <v>46356</v>
      </c>
      <c r="F5" s="12">
        <v>46045</v>
      </c>
      <c r="G5" s="9">
        <f t="shared" si="0"/>
        <v>189</v>
      </c>
    </row>
    <row r="6" spans="1:7" ht="15.75" x14ac:dyDescent="0.25">
      <c r="A6" t="s">
        <v>27</v>
      </c>
      <c r="B6" t="s">
        <v>50</v>
      </c>
      <c r="C6">
        <v>0</v>
      </c>
      <c r="D6" s="11"/>
      <c r="E6" s="12"/>
      <c r="F6" s="12"/>
      <c r="G6" s="9">
        <f t="shared" si="0"/>
        <v>0</v>
      </c>
    </row>
    <row r="7" spans="1:7" ht="15.75" x14ac:dyDescent="0.25">
      <c r="A7" t="s">
        <v>28</v>
      </c>
      <c r="B7" t="s">
        <v>50</v>
      </c>
      <c r="C7">
        <v>1</v>
      </c>
      <c r="D7" s="11"/>
      <c r="E7" s="12"/>
      <c r="F7" s="12"/>
      <c r="G7" s="9">
        <f t="shared" si="0"/>
        <v>0</v>
      </c>
    </row>
    <row r="8" spans="1:7" ht="15.75" x14ac:dyDescent="0.25">
      <c r="A8" t="s">
        <v>29</v>
      </c>
      <c r="B8" t="s">
        <v>50</v>
      </c>
      <c r="C8">
        <v>3</v>
      </c>
      <c r="D8" s="11"/>
      <c r="E8" s="12"/>
      <c r="F8" s="12">
        <v>46279</v>
      </c>
      <c r="G8" s="9">
        <f t="shared" si="0"/>
        <v>-46279</v>
      </c>
    </row>
    <row r="9" spans="1:7" x14ac:dyDescent="0.25">
      <c r="A9" t="s">
        <v>30</v>
      </c>
      <c r="B9" t="s">
        <v>49</v>
      </c>
      <c r="C9">
        <v>4</v>
      </c>
      <c r="D9" s="12">
        <v>46203</v>
      </c>
      <c r="E9" s="12">
        <v>46327</v>
      </c>
      <c r="F9" s="12">
        <v>46167</v>
      </c>
      <c r="G9" s="9">
        <f t="shared" si="0"/>
        <v>36</v>
      </c>
    </row>
    <row r="10" spans="1:7" x14ac:dyDescent="0.25">
      <c r="A10" t="s">
        <v>41</v>
      </c>
      <c r="B10" t="s">
        <v>49</v>
      </c>
      <c r="C10">
        <v>3</v>
      </c>
      <c r="D10" s="12">
        <v>46223</v>
      </c>
      <c r="E10" s="12">
        <v>46238</v>
      </c>
      <c r="F10" s="12">
        <v>46105</v>
      </c>
      <c r="G10" s="9">
        <f t="shared" si="0"/>
        <v>118</v>
      </c>
    </row>
    <row r="11" spans="1:7" x14ac:dyDescent="0.25">
      <c r="A11" t="s">
        <v>4</v>
      </c>
      <c r="B11" t="s">
        <v>50</v>
      </c>
      <c r="C11">
        <v>2</v>
      </c>
      <c r="D11" s="12">
        <v>46318</v>
      </c>
      <c r="E11" s="12">
        <v>46318</v>
      </c>
      <c r="F11" s="12">
        <v>46280</v>
      </c>
      <c r="G11" s="9">
        <f t="shared" si="0"/>
        <v>38</v>
      </c>
    </row>
    <row r="12" spans="1:7" ht="15.75" x14ac:dyDescent="0.25">
      <c r="A12" t="s">
        <v>31</v>
      </c>
      <c r="B12" t="s">
        <v>50</v>
      </c>
      <c r="C12">
        <v>2</v>
      </c>
      <c r="D12" s="11"/>
      <c r="E12" s="12"/>
      <c r="F12" s="12"/>
      <c r="G12" s="9">
        <f t="shared" si="0"/>
        <v>0</v>
      </c>
    </row>
    <row r="13" spans="1:7" x14ac:dyDescent="0.25">
      <c r="A13" t="s">
        <v>32</v>
      </c>
      <c r="B13" t="s">
        <v>50</v>
      </c>
      <c r="C13">
        <v>1</v>
      </c>
      <c r="D13" s="12">
        <v>46357</v>
      </c>
      <c r="E13" s="12">
        <v>46357</v>
      </c>
      <c r="F13" s="12"/>
      <c r="G13" s="9">
        <f t="shared" si="0"/>
        <v>46357</v>
      </c>
    </row>
    <row r="14" spans="1:7" ht="15.75" x14ac:dyDescent="0.25">
      <c r="A14" t="s">
        <v>34</v>
      </c>
      <c r="B14" t="s">
        <v>50</v>
      </c>
      <c r="C14">
        <v>1</v>
      </c>
      <c r="D14" s="11"/>
      <c r="E14" s="12"/>
      <c r="F14" s="12"/>
      <c r="G14" s="9">
        <f t="shared" si="0"/>
        <v>0</v>
      </c>
    </row>
    <row r="15" spans="1:7" x14ac:dyDescent="0.25">
      <c r="A15" t="s">
        <v>33</v>
      </c>
      <c r="B15" t="s">
        <v>49</v>
      </c>
      <c r="C15">
        <v>1</v>
      </c>
      <c r="D15" s="12">
        <v>46251</v>
      </c>
      <c r="E15" s="12">
        <v>46251</v>
      </c>
      <c r="F15" s="12">
        <v>46167</v>
      </c>
      <c r="G15" s="9">
        <f t="shared" si="0"/>
        <v>84</v>
      </c>
    </row>
    <row r="16" spans="1:7" x14ac:dyDescent="0.25">
      <c r="A16" t="s">
        <v>35</v>
      </c>
      <c r="B16" t="s">
        <v>50</v>
      </c>
      <c r="C16">
        <v>1</v>
      </c>
      <c r="D16" s="12">
        <v>46327</v>
      </c>
      <c r="E16" s="12">
        <v>46033</v>
      </c>
      <c r="F16" s="12">
        <v>46266</v>
      </c>
      <c r="G16" s="9">
        <f t="shared" si="0"/>
        <v>61</v>
      </c>
    </row>
    <row r="17" spans="1:7" x14ac:dyDescent="0.25">
      <c r="A17" t="s">
        <v>36</v>
      </c>
      <c r="B17" t="s">
        <v>49</v>
      </c>
      <c r="C17">
        <v>2</v>
      </c>
      <c r="D17" s="12">
        <v>46181</v>
      </c>
      <c r="E17" s="12">
        <v>46211</v>
      </c>
      <c r="F17" s="12">
        <v>46167</v>
      </c>
      <c r="G17" s="9">
        <f t="shared" si="0"/>
        <v>14</v>
      </c>
    </row>
    <row r="18" spans="1:7" x14ac:dyDescent="0.25">
      <c r="A18" t="s">
        <v>5</v>
      </c>
      <c r="B18" t="s">
        <v>51</v>
      </c>
      <c r="C18">
        <v>2</v>
      </c>
      <c r="D18" s="12">
        <v>46269</v>
      </c>
      <c r="E18" s="12">
        <v>46648</v>
      </c>
      <c r="F18" s="12">
        <v>46223</v>
      </c>
      <c r="G18" s="9">
        <f t="shared" si="0"/>
        <v>46</v>
      </c>
    </row>
    <row r="19" spans="1:7" x14ac:dyDescent="0.25">
      <c r="A19" t="s">
        <v>37</v>
      </c>
      <c r="B19" t="s">
        <v>50</v>
      </c>
      <c r="C19">
        <v>1</v>
      </c>
      <c r="D19" s="13">
        <v>46286</v>
      </c>
      <c r="E19" s="12">
        <v>46286</v>
      </c>
      <c r="F19" s="12">
        <v>46251</v>
      </c>
      <c r="G19" s="9">
        <f t="shared" si="0"/>
        <v>35</v>
      </c>
    </row>
    <row r="20" spans="1:7" x14ac:dyDescent="0.25">
      <c r="A20" t="s">
        <v>38</v>
      </c>
      <c r="B20" t="s">
        <v>51</v>
      </c>
      <c r="C20">
        <v>2</v>
      </c>
      <c r="D20" s="13">
        <v>46344</v>
      </c>
      <c r="E20" s="12">
        <v>46344</v>
      </c>
      <c r="F20" s="12">
        <v>46210</v>
      </c>
      <c r="G20" s="9">
        <f t="shared" si="0"/>
        <v>134</v>
      </c>
    </row>
    <row r="21" spans="1:7" x14ac:dyDescent="0.25">
      <c r="A21" t="s">
        <v>39</v>
      </c>
      <c r="B21" t="s">
        <v>49</v>
      </c>
      <c r="C21">
        <v>2</v>
      </c>
      <c r="D21" s="13">
        <v>46190</v>
      </c>
      <c r="E21" s="12">
        <v>46220</v>
      </c>
      <c r="F21" s="12">
        <v>46125</v>
      </c>
      <c r="G21" s="9">
        <f t="shared" si="0"/>
        <v>65</v>
      </c>
    </row>
    <row r="22" spans="1:7" ht="15.75" x14ac:dyDescent="0.25">
      <c r="A22" t="s">
        <v>42</v>
      </c>
      <c r="B22" t="s">
        <v>50</v>
      </c>
      <c r="C22">
        <v>0</v>
      </c>
      <c r="D22" s="14"/>
      <c r="E22" s="12"/>
      <c r="F22" s="12"/>
      <c r="G22" s="9">
        <f t="shared" si="0"/>
        <v>0</v>
      </c>
    </row>
    <row r="23" spans="1:7" ht="15.75" x14ac:dyDescent="0.25">
      <c r="A23" t="s">
        <v>40</v>
      </c>
      <c r="B23" t="s">
        <v>50</v>
      </c>
      <c r="C23">
        <v>2</v>
      </c>
      <c r="D23" s="14"/>
      <c r="E23" s="12"/>
      <c r="F23" s="12">
        <v>46352</v>
      </c>
      <c r="G23" s="9">
        <f t="shared" si="0"/>
        <v>-46352</v>
      </c>
    </row>
    <row r="24" spans="1:7" x14ac:dyDescent="0.25">
      <c r="A24" t="s">
        <v>45</v>
      </c>
      <c r="B24" t="s">
        <v>50</v>
      </c>
      <c r="C24">
        <v>2</v>
      </c>
      <c r="D24" s="13">
        <v>46296</v>
      </c>
      <c r="E24" s="12">
        <v>46296</v>
      </c>
      <c r="F24" s="12">
        <v>46241</v>
      </c>
      <c r="G24" s="9">
        <f t="shared" si="0"/>
        <v>55</v>
      </c>
    </row>
    <row r="25" spans="1:7" x14ac:dyDescent="0.25">
      <c r="A25" t="s">
        <v>46</v>
      </c>
      <c r="B25" t="s">
        <v>49</v>
      </c>
      <c r="C25">
        <v>6</v>
      </c>
      <c r="D25" s="13">
        <v>46176</v>
      </c>
      <c r="E25" s="12">
        <v>46296</v>
      </c>
      <c r="F25" s="12">
        <v>46119</v>
      </c>
      <c r="G25" s="9">
        <f t="shared" si="0"/>
        <v>57</v>
      </c>
    </row>
    <row r="26" spans="1:7" x14ac:dyDescent="0.25">
      <c r="A26" t="s">
        <v>47</v>
      </c>
      <c r="B26" t="s">
        <v>49</v>
      </c>
      <c r="C26">
        <v>12</v>
      </c>
      <c r="D26" s="13">
        <v>46078</v>
      </c>
      <c r="E26" s="12">
        <v>46336</v>
      </c>
      <c r="F26" s="12">
        <v>46010</v>
      </c>
      <c r="G26" s="9">
        <f t="shared" si="0"/>
        <v>68</v>
      </c>
    </row>
  </sheetData>
  <sortState xmlns:xlrd2="http://schemas.microsoft.com/office/spreadsheetml/2017/richdata2" ref="A2:F26">
    <sortCondition ref="A2:A26"/>
  </sortState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3C15-E99C-428C-B2BC-6586DC46310E}">
  <dimension ref="A1:B5"/>
  <sheetViews>
    <sheetView workbookViewId="0">
      <selection activeCell="H20" sqref="H20"/>
    </sheetView>
  </sheetViews>
  <sheetFormatPr defaultRowHeight="15" x14ac:dyDescent="0.25"/>
  <sheetData>
    <row r="1" spans="1:2" x14ac:dyDescent="0.25">
      <c r="A1" t="s">
        <v>64</v>
      </c>
      <c r="B1" t="s">
        <v>65</v>
      </c>
    </row>
    <row r="2" spans="1:2" x14ac:dyDescent="0.25">
      <c r="A2" t="s">
        <v>24</v>
      </c>
      <c r="B2" s="3">
        <f>'Enrollment Forecast'!$A$3</f>
        <v>46388</v>
      </c>
    </row>
    <row r="3" spans="1:2" x14ac:dyDescent="0.25">
      <c r="A3" t="s">
        <v>66</v>
      </c>
      <c r="B3" s="4"/>
    </row>
    <row r="4" spans="1:2" x14ac:dyDescent="0.25">
      <c r="A4" t="s">
        <v>25</v>
      </c>
      <c r="B4" s="9">
        <f>'Enrollment Forecast'!$C$3</f>
        <v>100</v>
      </c>
    </row>
    <row r="5" spans="1:2" x14ac:dyDescent="0.25">
      <c r="A5" t="s">
        <v>67</v>
      </c>
      <c r="B5">
        <f ca="1">_xlfn.XLOOKUP(
    TODAY(),
    'Enrollment Forecast'!5:5,
    'Enrollment Forecast'!2:2,
    ,
    -1
)</f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1659-048D-472B-B364-08FD5760291D}">
  <dimension ref="A1:H36"/>
  <sheetViews>
    <sheetView workbookViewId="0">
      <selection activeCell="A30" sqref="A30"/>
    </sheetView>
  </sheetViews>
  <sheetFormatPr defaultRowHeight="15" x14ac:dyDescent="0.25"/>
  <cols>
    <col min="1" max="1" width="12.140625" customWidth="1"/>
    <col min="2" max="2" width="29.42578125" bestFit="1" customWidth="1"/>
    <col min="3" max="4" width="29.140625" bestFit="1" customWidth="1"/>
    <col min="5" max="5" width="29.42578125" bestFit="1" customWidth="1"/>
    <col min="6" max="6" width="22.7109375" customWidth="1"/>
    <col min="7" max="7" width="24.85546875" customWidth="1"/>
    <col min="8" max="8" width="25.140625" customWidth="1"/>
  </cols>
  <sheetData>
    <row r="1" spans="1:8" x14ac:dyDescent="0.25">
      <c r="A1" t="s">
        <v>18</v>
      </c>
      <c r="B1" t="s">
        <v>16</v>
      </c>
      <c r="C1" t="s">
        <v>19</v>
      </c>
      <c r="D1" t="s">
        <v>22</v>
      </c>
      <c r="E1" t="s">
        <v>17</v>
      </c>
      <c r="F1" t="s">
        <v>20</v>
      </c>
      <c r="G1" t="s">
        <v>21</v>
      </c>
      <c r="H1" t="s">
        <v>23</v>
      </c>
    </row>
    <row r="2" spans="1:8" x14ac:dyDescent="0.25">
      <c r="A2">
        <f>'Site Information'!P2</f>
        <v>0</v>
      </c>
      <c r="B2" s="17">
        <f>'Site Information'!Q2</f>
        <v>0</v>
      </c>
      <c r="C2" s="17">
        <f>'Site Information'!R2</f>
        <v>0</v>
      </c>
      <c r="D2" s="17">
        <f>'Site Information'!S2</f>
        <v>0</v>
      </c>
      <c r="E2" s="17">
        <f>'Site Information'!T2</f>
        <v>0</v>
      </c>
      <c r="F2">
        <f>'Site Information'!U2</f>
        <v>0</v>
      </c>
      <c r="G2">
        <f>'Site Information'!V2</f>
        <v>0</v>
      </c>
      <c r="H2">
        <f>'Site Information'!W2</f>
        <v>0</v>
      </c>
    </row>
    <row r="3" spans="1:8" x14ac:dyDescent="0.25">
      <c r="A3">
        <f>'Site Information'!P3</f>
        <v>0</v>
      </c>
      <c r="B3" s="17">
        <f>'Site Information'!Q3</f>
        <v>0</v>
      </c>
      <c r="C3" s="17">
        <f>'Site Information'!R3</f>
        <v>0</v>
      </c>
      <c r="D3" s="17">
        <f>'Site Information'!S3</f>
        <v>0</v>
      </c>
      <c r="E3" s="17">
        <f>'Site Information'!T3</f>
        <v>0</v>
      </c>
      <c r="F3">
        <f>'Site Information'!U3</f>
        <v>0</v>
      </c>
      <c r="G3">
        <f>'Site Information'!V3</f>
        <v>0</v>
      </c>
      <c r="H3">
        <f>'Site Information'!W3</f>
        <v>0</v>
      </c>
    </row>
    <row r="4" spans="1:8" x14ac:dyDescent="0.25">
      <c r="A4">
        <f>'Site Information'!P4</f>
        <v>0</v>
      </c>
      <c r="B4" s="17">
        <f>'Site Information'!Q4</f>
        <v>0</v>
      </c>
      <c r="C4" s="17">
        <f>'Site Information'!R4</f>
        <v>0</v>
      </c>
      <c r="D4" s="17">
        <f>'Site Information'!S4</f>
        <v>0</v>
      </c>
      <c r="E4" s="17">
        <f>'Site Information'!T4</f>
        <v>0</v>
      </c>
      <c r="F4">
        <f>'Site Information'!U4</f>
        <v>0</v>
      </c>
      <c r="G4">
        <f>'Site Information'!V4</f>
        <v>0</v>
      </c>
      <c r="H4">
        <f>'Site Information'!W4</f>
        <v>0</v>
      </c>
    </row>
    <row r="5" spans="1:8" x14ac:dyDescent="0.25">
      <c r="A5">
        <f>'Site Information'!P5</f>
        <v>0</v>
      </c>
      <c r="B5" s="17">
        <f>'Site Information'!Q5</f>
        <v>0</v>
      </c>
      <c r="C5" s="17">
        <f>'Site Information'!R5</f>
        <v>0</v>
      </c>
      <c r="D5" s="17">
        <f>'Site Information'!S5</f>
        <v>0</v>
      </c>
      <c r="E5" s="17">
        <f>'Site Information'!T5</f>
        <v>0</v>
      </c>
      <c r="F5">
        <f>'Site Information'!U5</f>
        <v>0</v>
      </c>
      <c r="G5">
        <f>'Site Information'!V5</f>
        <v>0</v>
      </c>
      <c r="H5">
        <f>'Site Information'!W5</f>
        <v>0</v>
      </c>
    </row>
    <row r="6" spans="1:8" x14ac:dyDescent="0.25">
      <c r="A6">
        <f>'Site Information'!P6</f>
        <v>0</v>
      </c>
      <c r="B6" s="17">
        <f>'Site Information'!Q6</f>
        <v>0</v>
      </c>
      <c r="C6" s="17">
        <f>'Site Information'!R6</f>
        <v>0</v>
      </c>
      <c r="D6" s="17">
        <f>'Site Information'!S6</f>
        <v>0</v>
      </c>
      <c r="E6" s="17">
        <f>'Site Information'!T6</f>
        <v>0</v>
      </c>
      <c r="F6">
        <f>'Site Information'!U6</f>
        <v>0</v>
      </c>
      <c r="G6">
        <f>'Site Information'!V6</f>
        <v>0</v>
      </c>
      <c r="H6">
        <f>'Site Information'!W6</f>
        <v>0</v>
      </c>
    </row>
    <row r="7" spans="1:8" x14ac:dyDescent="0.25">
      <c r="A7">
        <f>'Site Information'!P7</f>
        <v>0</v>
      </c>
      <c r="B7" s="17">
        <f>'Site Information'!Q7</f>
        <v>0</v>
      </c>
      <c r="C7" s="17">
        <f>'Site Information'!R7</f>
        <v>0</v>
      </c>
      <c r="D7" s="17">
        <f>'Site Information'!S7</f>
        <v>0</v>
      </c>
      <c r="E7" s="17">
        <f>'Site Information'!T7</f>
        <v>0</v>
      </c>
      <c r="F7">
        <f>'Site Information'!U7</f>
        <v>0</v>
      </c>
      <c r="G7">
        <f>'Site Information'!V7</f>
        <v>0</v>
      </c>
      <c r="H7">
        <f>'Site Information'!W7</f>
        <v>0</v>
      </c>
    </row>
    <row r="8" spans="1:8" x14ac:dyDescent="0.25">
      <c r="A8">
        <f>'Site Information'!P8</f>
        <v>0</v>
      </c>
      <c r="B8" s="17">
        <f>'Site Information'!Q8</f>
        <v>0</v>
      </c>
      <c r="C8" s="17">
        <f>'Site Information'!R8</f>
        <v>0</v>
      </c>
      <c r="D8" s="17">
        <f>'Site Information'!S8</f>
        <v>0</v>
      </c>
      <c r="E8" s="17">
        <f>'Site Information'!T8</f>
        <v>0</v>
      </c>
      <c r="F8">
        <f>'Site Information'!U8</f>
        <v>0</v>
      </c>
      <c r="G8">
        <f>'Site Information'!V8</f>
        <v>0</v>
      </c>
      <c r="H8">
        <f>'Site Information'!W8</f>
        <v>0</v>
      </c>
    </row>
    <row r="9" spans="1:8" x14ac:dyDescent="0.25">
      <c r="A9">
        <f>'Site Information'!P9</f>
        <v>0</v>
      </c>
      <c r="B9" s="17">
        <f>'Site Information'!Q9</f>
        <v>0</v>
      </c>
      <c r="C9" s="17">
        <f>'Site Information'!R9</f>
        <v>0</v>
      </c>
      <c r="D9" s="17">
        <f>'Site Information'!S9</f>
        <v>0</v>
      </c>
      <c r="E9" s="17">
        <f>'Site Information'!T9</f>
        <v>0</v>
      </c>
      <c r="F9">
        <f>'Site Information'!U9</f>
        <v>0</v>
      </c>
      <c r="G9">
        <f>'Site Information'!V9</f>
        <v>0</v>
      </c>
      <c r="H9">
        <f>'Site Information'!W9</f>
        <v>0</v>
      </c>
    </row>
    <row r="10" spans="1:8" x14ac:dyDescent="0.25">
      <c r="A10">
        <f>'Site Information'!P10</f>
        <v>0</v>
      </c>
      <c r="B10" s="17">
        <f>'Site Information'!Q10</f>
        <v>0</v>
      </c>
      <c r="C10" s="17">
        <f>'Site Information'!R10</f>
        <v>0</v>
      </c>
      <c r="D10" s="17">
        <f>'Site Information'!S10</f>
        <v>0</v>
      </c>
      <c r="E10" s="17">
        <f>'Site Information'!T10</f>
        <v>0</v>
      </c>
      <c r="F10">
        <f>'Site Information'!U10</f>
        <v>0</v>
      </c>
      <c r="G10">
        <f>'Site Information'!V10</f>
        <v>0</v>
      </c>
      <c r="H10">
        <f>'Site Information'!W10</f>
        <v>0</v>
      </c>
    </row>
    <row r="11" spans="1:8" x14ac:dyDescent="0.25">
      <c r="A11">
        <f>'Site Information'!P11</f>
        <v>0</v>
      </c>
      <c r="B11" s="17">
        <f>'Site Information'!Q11</f>
        <v>0</v>
      </c>
      <c r="C11" s="17">
        <f>'Site Information'!R11</f>
        <v>0</v>
      </c>
      <c r="D11" s="17">
        <f>'Site Information'!S11</f>
        <v>0</v>
      </c>
      <c r="E11" s="17">
        <f>'Site Information'!T11</f>
        <v>0</v>
      </c>
      <c r="F11">
        <f>'Site Information'!U11</f>
        <v>0</v>
      </c>
      <c r="G11">
        <f>'Site Information'!V11</f>
        <v>0</v>
      </c>
      <c r="H11">
        <f>'Site Information'!W11</f>
        <v>0</v>
      </c>
    </row>
    <row r="12" spans="1:8" x14ac:dyDescent="0.25">
      <c r="A12">
        <f>'Site Information'!P12</f>
        <v>0</v>
      </c>
      <c r="B12" s="17">
        <f>'Site Information'!Q12</f>
        <v>0</v>
      </c>
      <c r="C12" s="17">
        <f>'Site Information'!R12</f>
        <v>0</v>
      </c>
      <c r="D12" s="17">
        <f>'Site Information'!S12</f>
        <v>0</v>
      </c>
      <c r="E12" s="17">
        <f>'Site Information'!T12</f>
        <v>0</v>
      </c>
      <c r="F12">
        <f>'Site Information'!U12</f>
        <v>0</v>
      </c>
      <c r="G12">
        <f>'Site Information'!V12</f>
        <v>0</v>
      </c>
      <c r="H12">
        <f>'Site Information'!W12</f>
        <v>0</v>
      </c>
    </row>
    <row r="13" spans="1:8" x14ac:dyDescent="0.25">
      <c r="A13">
        <f>'Site Information'!P13</f>
        <v>0</v>
      </c>
      <c r="B13" s="17">
        <f>'Site Information'!Q13</f>
        <v>0</v>
      </c>
      <c r="C13" s="17">
        <f>'Site Information'!R13</f>
        <v>0</v>
      </c>
      <c r="D13" s="17">
        <f>'Site Information'!S13</f>
        <v>0</v>
      </c>
      <c r="E13" s="17">
        <f>'Site Information'!T13</f>
        <v>0</v>
      </c>
      <c r="F13">
        <f>'Site Information'!U13</f>
        <v>0</v>
      </c>
      <c r="G13">
        <f>'Site Information'!V13</f>
        <v>0</v>
      </c>
      <c r="H13">
        <f>'Site Information'!W13</f>
        <v>0</v>
      </c>
    </row>
    <row r="14" spans="1:8" x14ac:dyDescent="0.25">
      <c r="A14">
        <f>'Site Information'!P14</f>
        <v>0</v>
      </c>
      <c r="B14" s="17">
        <f>'Site Information'!Q14</f>
        <v>0</v>
      </c>
      <c r="C14" s="17">
        <f>'Site Information'!R14</f>
        <v>0</v>
      </c>
      <c r="D14" s="17">
        <f>'Site Information'!S14</f>
        <v>0</v>
      </c>
      <c r="E14" s="17">
        <f>'Site Information'!T14</f>
        <v>0</v>
      </c>
      <c r="F14">
        <f>'Site Information'!U14</f>
        <v>0</v>
      </c>
      <c r="G14">
        <f>'Site Information'!V14</f>
        <v>0</v>
      </c>
      <c r="H14">
        <f>'Site Information'!W14</f>
        <v>0</v>
      </c>
    </row>
    <row r="15" spans="1:8" x14ac:dyDescent="0.25">
      <c r="A15">
        <f>'Site Information'!P15</f>
        <v>0</v>
      </c>
      <c r="B15" s="17">
        <f>'Site Information'!Q15</f>
        <v>0</v>
      </c>
      <c r="C15" s="17">
        <f>'Site Information'!R15</f>
        <v>0</v>
      </c>
      <c r="D15" s="17">
        <f>'Site Information'!S15</f>
        <v>0</v>
      </c>
      <c r="E15" s="17">
        <f>'Site Information'!T15</f>
        <v>0</v>
      </c>
      <c r="F15">
        <f>'Site Information'!U15</f>
        <v>0</v>
      </c>
      <c r="G15">
        <f>'Site Information'!V15</f>
        <v>0</v>
      </c>
      <c r="H15">
        <f>'Site Information'!W15</f>
        <v>0</v>
      </c>
    </row>
    <row r="16" spans="1:8" x14ac:dyDescent="0.25">
      <c r="A16">
        <f>'Site Information'!P16</f>
        <v>0</v>
      </c>
      <c r="B16" s="17">
        <f>'Site Information'!Q16</f>
        <v>0</v>
      </c>
      <c r="C16" s="17">
        <f>'Site Information'!R16</f>
        <v>0</v>
      </c>
      <c r="D16" s="17">
        <f>'Site Information'!S16</f>
        <v>0</v>
      </c>
      <c r="E16" s="17">
        <f>'Site Information'!T16</f>
        <v>0</v>
      </c>
      <c r="F16">
        <f>'Site Information'!U16</f>
        <v>0</v>
      </c>
      <c r="G16">
        <f>'Site Information'!V16</f>
        <v>0</v>
      </c>
      <c r="H16">
        <f>'Site Information'!W16</f>
        <v>0</v>
      </c>
    </row>
    <row r="17" spans="1:8" x14ac:dyDescent="0.25">
      <c r="A17">
        <f>'Site Information'!P17</f>
        <v>0</v>
      </c>
      <c r="B17" s="17">
        <f>'Site Information'!Q17</f>
        <v>0</v>
      </c>
      <c r="C17" s="17">
        <f>'Site Information'!R17</f>
        <v>0</v>
      </c>
      <c r="D17" s="17">
        <f>'Site Information'!S17</f>
        <v>0</v>
      </c>
      <c r="E17" s="17">
        <f>'Site Information'!T17</f>
        <v>0</v>
      </c>
      <c r="F17">
        <f>'Site Information'!U17</f>
        <v>0</v>
      </c>
      <c r="G17">
        <f>'Site Information'!V17</f>
        <v>0</v>
      </c>
      <c r="H17">
        <f>'Site Information'!W17</f>
        <v>0</v>
      </c>
    </row>
    <row r="18" spans="1:8" x14ac:dyDescent="0.25">
      <c r="A18">
        <f>'Site Information'!P18</f>
        <v>0</v>
      </c>
      <c r="B18" s="17">
        <f>'Site Information'!Q18</f>
        <v>0</v>
      </c>
      <c r="C18" s="17">
        <f>'Site Information'!R18</f>
        <v>0</v>
      </c>
      <c r="D18" s="17">
        <f>'Site Information'!S18</f>
        <v>0</v>
      </c>
      <c r="E18" s="17">
        <f>'Site Information'!T18</f>
        <v>0</v>
      </c>
      <c r="F18">
        <f>'Site Information'!U18</f>
        <v>0</v>
      </c>
      <c r="G18">
        <f>'Site Information'!V18</f>
        <v>0</v>
      </c>
      <c r="H18">
        <f>'Site Information'!W18</f>
        <v>0</v>
      </c>
    </row>
    <row r="19" spans="1:8" x14ac:dyDescent="0.25">
      <c r="A19">
        <f>'Site Information'!P19</f>
        <v>0</v>
      </c>
      <c r="B19" s="17">
        <f>'Site Information'!Q19</f>
        <v>0</v>
      </c>
      <c r="C19" s="17">
        <f>'Site Information'!R19</f>
        <v>0</v>
      </c>
      <c r="D19" s="17">
        <f>'Site Information'!S19</f>
        <v>0</v>
      </c>
      <c r="E19" s="17">
        <f>'Site Information'!T19</f>
        <v>0</v>
      </c>
      <c r="F19">
        <f>'Site Information'!U19</f>
        <v>0</v>
      </c>
      <c r="G19">
        <f>'Site Information'!V19</f>
        <v>0</v>
      </c>
      <c r="H19">
        <f>'Site Information'!W19</f>
        <v>0</v>
      </c>
    </row>
    <row r="20" spans="1:8" x14ac:dyDescent="0.25">
      <c r="A20">
        <f>'Site Information'!P20</f>
        <v>0</v>
      </c>
      <c r="B20" s="17">
        <f>'Site Information'!Q20</f>
        <v>0</v>
      </c>
      <c r="C20" s="17">
        <f>'Site Information'!R20</f>
        <v>0</v>
      </c>
      <c r="D20" s="17">
        <f>'Site Information'!S20</f>
        <v>0</v>
      </c>
      <c r="E20" s="17">
        <f>'Site Information'!T20</f>
        <v>0</v>
      </c>
      <c r="F20">
        <f>'Site Information'!U20</f>
        <v>0</v>
      </c>
      <c r="G20">
        <f>'Site Information'!V20</f>
        <v>0</v>
      </c>
      <c r="H20">
        <f>'Site Information'!W20</f>
        <v>0</v>
      </c>
    </row>
    <row r="21" spans="1:8" x14ac:dyDescent="0.25">
      <c r="A21">
        <f>'Site Information'!P21</f>
        <v>0</v>
      </c>
      <c r="B21" s="17">
        <f>'Site Information'!Q21</f>
        <v>0</v>
      </c>
      <c r="C21" s="17">
        <f>'Site Information'!R21</f>
        <v>0</v>
      </c>
      <c r="D21" s="17">
        <f>'Site Information'!S21</f>
        <v>0</v>
      </c>
      <c r="E21" s="17">
        <f>'Site Information'!T21</f>
        <v>0</v>
      </c>
      <c r="F21">
        <f>'Site Information'!U21</f>
        <v>0</v>
      </c>
      <c r="G21">
        <f>'Site Information'!V21</f>
        <v>0</v>
      </c>
      <c r="H21">
        <f>'Site Information'!W21</f>
        <v>0</v>
      </c>
    </row>
    <row r="22" spans="1:8" x14ac:dyDescent="0.25">
      <c r="A22">
        <f>'Site Information'!P22</f>
        <v>0</v>
      </c>
      <c r="B22" s="17">
        <f>'Site Information'!Q22</f>
        <v>0</v>
      </c>
      <c r="C22" s="17">
        <f>'Site Information'!R22</f>
        <v>0</v>
      </c>
      <c r="D22" s="17">
        <f>'Site Information'!S22</f>
        <v>0</v>
      </c>
      <c r="E22" s="17">
        <f>'Site Information'!T22</f>
        <v>0</v>
      </c>
      <c r="F22">
        <f>'Site Information'!U22</f>
        <v>0</v>
      </c>
      <c r="G22">
        <f>'Site Information'!V22</f>
        <v>0</v>
      </c>
      <c r="H22">
        <f>'Site Information'!W22</f>
        <v>0</v>
      </c>
    </row>
    <row r="23" spans="1:8" x14ac:dyDescent="0.25">
      <c r="A23">
        <f>'Site Information'!P23</f>
        <v>0</v>
      </c>
      <c r="B23" s="17">
        <f>'Site Information'!Q23</f>
        <v>0</v>
      </c>
      <c r="C23" s="17">
        <f>'Site Information'!R23</f>
        <v>0</v>
      </c>
      <c r="D23" s="17">
        <f>'Site Information'!S23</f>
        <v>0</v>
      </c>
      <c r="E23" s="17">
        <f>'Site Information'!T23</f>
        <v>0</v>
      </c>
      <c r="F23">
        <f>'Site Information'!U23</f>
        <v>0</v>
      </c>
      <c r="G23">
        <f>'Site Information'!V23</f>
        <v>0</v>
      </c>
      <c r="H23">
        <f>'Site Information'!W23</f>
        <v>0</v>
      </c>
    </row>
    <row r="24" spans="1:8" x14ac:dyDescent="0.25">
      <c r="A24">
        <f>'Site Information'!P24</f>
        <v>0</v>
      </c>
      <c r="B24" s="17">
        <f>'Site Information'!Q24</f>
        <v>0</v>
      </c>
      <c r="C24" s="17">
        <f>'Site Information'!R24</f>
        <v>0</v>
      </c>
      <c r="D24" s="17">
        <f>'Site Information'!S24</f>
        <v>0</v>
      </c>
      <c r="E24" s="17">
        <f>'Site Information'!T24</f>
        <v>0</v>
      </c>
      <c r="F24">
        <f>'Site Information'!U24</f>
        <v>0</v>
      </c>
      <c r="G24">
        <f>'Site Information'!V24</f>
        <v>0</v>
      </c>
      <c r="H24">
        <f>'Site Information'!W24</f>
        <v>0</v>
      </c>
    </row>
    <row r="25" spans="1:8" x14ac:dyDescent="0.25">
      <c r="A25">
        <f>'Site Information'!P25</f>
        <v>0</v>
      </c>
      <c r="B25" s="17">
        <f>'Site Information'!Q25</f>
        <v>0</v>
      </c>
      <c r="C25" s="17">
        <f>'Site Information'!R25</f>
        <v>0</v>
      </c>
      <c r="D25" s="17">
        <f>'Site Information'!S25</f>
        <v>0</v>
      </c>
      <c r="E25" s="17">
        <f>'Site Information'!T25</f>
        <v>0</v>
      </c>
      <c r="F25">
        <f>'Site Information'!U25</f>
        <v>0</v>
      </c>
      <c r="G25">
        <f>'Site Information'!V25</f>
        <v>0</v>
      </c>
      <c r="H25">
        <f>'Site Information'!W25</f>
        <v>0</v>
      </c>
    </row>
    <row r="26" spans="1:8" x14ac:dyDescent="0.25">
      <c r="A26">
        <f>'Site Information'!P26</f>
        <v>0</v>
      </c>
      <c r="B26" s="17">
        <f>'Site Information'!Q26</f>
        <v>0</v>
      </c>
      <c r="C26" s="17">
        <f>'Site Information'!R26</f>
        <v>0</v>
      </c>
      <c r="D26" s="17">
        <f>'Site Information'!S26</f>
        <v>0</v>
      </c>
      <c r="E26" s="17">
        <f>'Site Information'!T26</f>
        <v>0</v>
      </c>
      <c r="F26">
        <f>'Site Information'!U26</f>
        <v>0</v>
      </c>
      <c r="G26">
        <f>'Site Information'!V26</f>
        <v>0</v>
      </c>
      <c r="H26">
        <f>'Site Information'!W26</f>
        <v>0</v>
      </c>
    </row>
    <row r="27" spans="1:8" x14ac:dyDescent="0.25">
      <c r="A27">
        <f>'Site Information'!P27</f>
        <v>0</v>
      </c>
      <c r="B27" s="17">
        <f>'Site Information'!Q27</f>
        <v>0</v>
      </c>
      <c r="C27" s="17">
        <f>'Site Information'!R27</f>
        <v>0</v>
      </c>
      <c r="D27" s="17">
        <f>'Site Information'!S27</f>
        <v>0</v>
      </c>
      <c r="E27" s="17">
        <f>'Site Information'!T27</f>
        <v>0</v>
      </c>
      <c r="F27">
        <f>'Site Information'!U27</f>
        <v>0</v>
      </c>
      <c r="G27">
        <f>'Site Information'!V27</f>
        <v>0</v>
      </c>
      <c r="H27">
        <f>'Site Information'!W27</f>
        <v>0</v>
      </c>
    </row>
    <row r="28" spans="1:8" x14ac:dyDescent="0.25">
      <c r="A28">
        <f>'Site Information'!P28</f>
        <v>0</v>
      </c>
      <c r="B28" s="17">
        <f>'Site Information'!Q28</f>
        <v>0</v>
      </c>
      <c r="C28" s="17">
        <f>'Site Information'!R28</f>
        <v>0</v>
      </c>
      <c r="D28" s="17">
        <f>'Site Information'!S28</f>
        <v>0</v>
      </c>
      <c r="E28" s="17">
        <f>'Site Information'!T28</f>
        <v>0</v>
      </c>
      <c r="F28">
        <f>'Site Information'!U28</f>
        <v>0</v>
      </c>
      <c r="G28">
        <f>'Site Information'!V28</f>
        <v>0</v>
      </c>
      <c r="H28">
        <f>'Site Information'!W28</f>
        <v>0</v>
      </c>
    </row>
    <row r="29" spans="1:8" x14ac:dyDescent="0.25">
      <c r="A29">
        <f>'Site Information'!P29</f>
        <v>0</v>
      </c>
      <c r="B29" s="17"/>
      <c r="C29" s="17"/>
      <c r="D29" s="17"/>
      <c r="E29" s="17"/>
    </row>
    <row r="30" spans="1:8" x14ac:dyDescent="0.25">
      <c r="A30">
        <f>'Site Information'!P30</f>
        <v>0</v>
      </c>
      <c r="B30" s="17"/>
      <c r="C30" s="17"/>
      <c r="D30" s="17"/>
      <c r="E30" s="17"/>
    </row>
    <row r="31" spans="1:8" x14ac:dyDescent="0.25">
      <c r="A31">
        <f>'Site Information'!P31</f>
        <v>0</v>
      </c>
      <c r="B31" s="17"/>
      <c r="C31" s="17"/>
      <c r="D31" s="17"/>
      <c r="E31" s="17"/>
    </row>
    <row r="32" spans="1:8" x14ac:dyDescent="0.25">
      <c r="A32">
        <f>'Site Information'!P32</f>
        <v>0</v>
      </c>
    </row>
    <row r="33" spans="1:1" x14ac:dyDescent="0.25">
      <c r="A33">
        <f>'Site Information'!P33</f>
        <v>0</v>
      </c>
    </row>
    <row r="34" spans="1:1" x14ac:dyDescent="0.25">
      <c r="A34">
        <f>'Site Information'!P34</f>
        <v>0</v>
      </c>
    </row>
    <row r="35" spans="1:1" x14ac:dyDescent="0.25">
      <c r="A35">
        <f>'Site Information'!P35</f>
        <v>0</v>
      </c>
    </row>
    <row r="36" spans="1:1" x14ac:dyDescent="0.25">
      <c r="A36">
        <f>'Site Information'!P36</f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6222-BA68-4057-B514-21CE90F931C5}">
  <dimension ref="A1:X22"/>
  <sheetViews>
    <sheetView workbookViewId="0">
      <selection activeCell="M8" sqref="M8"/>
    </sheetView>
  </sheetViews>
  <sheetFormatPr defaultRowHeight="15" x14ac:dyDescent="0.25"/>
  <sheetData>
    <row r="1" spans="1:24" x14ac:dyDescent="0.25">
      <c r="A1" t="s">
        <v>0</v>
      </c>
      <c r="B1" s="4">
        <f>'Enrollment Forecast'!C5</f>
        <v>46023</v>
      </c>
      <c r="C1" s="4">
        <f>'Enrollment Forecast'!D5</f>
        <v>46054</v>
      </c>
      <c r="D1" s="4">
        <f>'Enrollment Forecast'!E5</f>
        <v>46082</v>
      </c>
      <c r="E1" s="4">
        <f>'Enrollment Forecast'!F5</f>
        <v>46113</v>
      </c>
      <c r="F1" s="4">
        <f>'Enrollment Forecast'!G5</f>
        <v>46143</v>
      </c>
      <c r="G1" s="4">
        <f>'Enrollment Forecast'!H5</f>
        <v>46174</v>
      </c>
      <c r="H1" s="4">
        <f>'Enrollment Forecast'!I5</f>
        <v>46204</v>
      </c>
      <c r="I1" s="4">
        <f>'Enrollment Forecast'!J5</f>
        <v>46235</v>
      </c>
      <c r="J1" s="4">
        <f>'Enrollment Forecast'!K5</f>
        <v>46266</v>
      </c>
      <c r="K1" s="4">
        <f>'Enrollment Forecast'!L5</f>
        <v>46296</v>
      </c>
      <c r="L1" s="4">
        <f>'Enrollment Forecast'!M5</f>
        <v>46327</v>
      </c>
      <c r="M1" s="4">
        <f>'Enrollment Forecast'!N5</f>
        <v>46357</v>
      </c>
      <c r="N1" s="4">
        <f>'Enrollment Forecast'!O5</f>
        <v>46388</v>
      </c>
      <c r="O1" s="4">
        <f>'Enrollment Forecast'!P5</f>
        <v>46419</v>
      </c>
      <c r="P1" s="4">
        <f>'Enrollment Forecast'!Q5</f>
        <v>46447</v>
      </c>
      <c r="Q1" s="4">
        <f>'Enrollment Forecast'!R5</f>
        <v>46478</v>
      </c>
      <c r="R1" s="4">
        <f>'Enrollment Forecast'!S5</f>
        <v>46508</v>
      </c>
      <c r="S1" s="4">
        <f>'Enrollment Forecast'!T5</f>
        <v>46539</v>
      </c>
      <c r="T1" s="4">
        <f>'Enrollment Forecast'!U5</f>
        <v>46569</v>
      </c>
      <c r="U1" s="4">
        <f>'Enrollment Forecast'!V5</f>
        <v>46600</v>
      </c>
      <c r="V1" s="4">
        <f>'Enrollment Forecast'!W5</f>
        <v>46631</v>
      </c>
      <c r="W1" s="4">
        <f>'Enrollment Forecast'!X5</f>
        <v>46661</v>
      </c>
      <c r="X1" s="4">
        <f>'Enrollment Forecast'!Y5</f>
        <v>46692</v>
      </c>
    </row>
    <row r="2" spans="1:24" x14ac:dyDescent="0.25">
      <c r="A2" t="str">
        <f>'Country Enrollment By Month'!A2</f>
        <v>Canada</v>
      </c>
      <c r="B2">
        <f ca="1">'Country Enrollment By Month'!B2</f>
        <v>0</v>
      </c>
      <c r="C2">
        <f ca="1">'Country Enrollment By Month'!C2</f>
        <v>0</v>
      </c>
      <c r="D2">
        <f ca="1">'Country Enrollment By Month'!D2</f>
        <v>0</v>
      </c>
      <c r="E2">
        <f ca="1">'Country Enrollment By Month'!E2</f>
        <v>0</v>
      </c>
      <c r="F2">
        <f ca="1">'Country Enrollment By Month'!F2</f>
        <v>0</v>
      </c>
      <c r="G2">
        <f ca="1">'Country Enrollment By Month'!G2</f>
        <v>0</v>
      </c>
      <c r="H2">
        <f ca="1">'Country Enrollment By Month'!H2</f>
        <v>0</v>
      </c>
      <c r="I2">
        <f ca="1">'Country Enrollment By Month'!I2</f>
        <v>2</v>
      </c>
      <c r="J2">
        <f ca="1">'Country Enrollment By Month'!J2</f>
        <v>2</v>
      </c>
      <c r="K2">
        <f ca="1">'Country Enrollment By Month'!K2</f>
        <v>2</v>
      </c>
      <c r="L2">
        <f ca="1">'Country Enrollment By Month'!L2</f>
        <v>2</v>
      </c>
      <c r="M2">
        <f ca="1">'Country Enrollment By Month'!M2</f>
        <v>2</v>
      </c>
      <c r="N2">
        <f ca="1">'Country Enrollment By Month'!N2</f>
        <v>2</v>
      </c>
      <c r="O2">
        <f ca="1">'Country Enrollment By Month'!O2</f>
        <v>2</v>
      </c>
      <c r="P2">
        <f ca="1">'Country Enrollment By Month'!P2</f>
        <v>2</v>
      </c>
      <c r="Q2">
        <f ca="1">'Country Enrollment By Month'!Q2</f>
        <v>1</v>
      </c>
      <c r="R2">
        <f ca="1">'Country Enrollment By Month'!R2</f>
        <v>0</v>
      </c>
      <c r="S2">
        <f ca="1">'Country Enrollment By Month'!S2</f>
        <v>0</v>
      </c>
      <c r="T2">
        <f ca="1">'Country Enrollment By Month'!T2</f>
        <v>0</v>
      </c>
      <c r="U2">
        <f ca="1">'Country Enrollment By Month'!U2</f>
        <v>0</v>
      </c>
      <c r="V2">
        <f ca="1">'Country Enrollment By Month'!V2</f>
        <v>0</v>
      </c>
      <c r="W2">
        <f ca="1">'Country Enrollment By Month'!W2</f>
        <v>0</v>
      </c>
      <c r="X2">
        <f ca="1">'Country Enrollment By Month'!X2</f>
        <v>0</v>
      </c>
    </row>
    <row r="3" spans="1:24" x14ac:dyDescent="0.25">
      <c r="A3" t="str">
        <f>'Country Enrollment By Month'!A3</f>
        <v>Germany</v>
      </c>
      <c r="B3">
        <f ca="1">'Country Enrollment By Month'!B3</f>
        <v>0</v>
      </c>
      <c r="C3">
        <f ca="1">'Country Enrollment By Month'!C3</f>
        <v>0</v>
      </c>
      <c r="D3">
        <f ca="1">'Country Enrollment By Month'!D3</f>
        <v>0</v>
      </c>
      <c r="E3">
        <f ca="1">'Country Enrollment By Month'!E3</f>
        <v>0</v>
      </c>
      <c r="F3">
        <f ca="1">'Country Enrollment By Month'!F3</f>
        <v>0</v>
      </c>
      <c r="G3">
        <f ca="1">'Country Enrollment By Month'!G3</f>
        <v>0</v>
      </c>
      <c r="H3">
        <f ca="1">'Country Enrollment By Month'!H3</f>
        <v>0</v>
      </c>
      <c r="I3">
        <f ca="1">'Country Enrollment By Month'!I3</f>
        <v>4</v>
      </c>
      <c r="J3">
        <f ca="1">'Country Enrollment By Month'!J3</f>
        <v>5</v>
      </c>
      <c r="K3">
        <f ca="1">'Country Enrollment By Month'!K3</f>
        <v>5</v>
      </c>
      <c r="L3">
        <f ca="1">'Country Enrollment By Month'!L3</f>
        <v>6</v>
      </c>
      <c r="M3">
        <f ca="1">'Country Enrollment By Month'!M3</f>
        <v>7</v>
      </c>
      <c r="N3">
        <f ca="1">'Country Enrollment By Month'!N3</f>
        <v>8</v>
      </c>
      <c r="O3">
        <f ca="1">'Country Enrollment By Month'!O3</f>
        <v>4</v>
      </c>
      <c r="P3">
        <f ca="1">'Country Enrollment By Month'!P3</f>
        <v>3</v>
      </c>
      <c r="Q3">
        <f ca="1">'Country Enrollment By Month'!Q3</f>
        <v>3</v>
      </c>
      <c r="R3">
        <f ca="1">'Country Enrollment By Month'!R3</f>
        <v>2</v>
      </c>
      <c r="S3">
        <f ca="1">'Country Enrollment By Month'!S3</f>
        <v>0</v>
      </c>
      <c r="T3">
        <f ca="1">'Country Enrollment By Month'!T3</f>
        <v>0</v>
      </c>
      <c r="U3">
        <f ca="1">'Country Enrollment By Month'!U3</f>
        <v>0</v>
      </c>
      <c r="V3">
        <f ca="1">'Country Enrollment By Month'!V3</f>
        <v>0</v>
      </c>
      <c r="W3">
        <f ca="1">'Country Enrollment By Month'!W3</f>
        <v>0</v>
      </c>
      <c r="X3">
        <f ca="1">'Country Enrollment By Month'!X3</f>
        <v>0</v>
      </c>
    </row>
    <row r="4" spans="1:24" x14ac:dyDescent="0.25">
      <c r="A4" t="str">
        <f>'Country Enrollment By Month'!A4</f>
        <v>United States</v>
      </c>
      <c r="B4">
        <f ca="1">'Country Enrollment By Month'!B4</f>
        <v>0</v>
      </c>
      <c r="C4">
        <f ca="1">'Country Enrollment By Month'!C4</f>
        <v>0</v>
      </c>
      <c r="D4">
        <f ca="1">'Country Enrollment By Month'!D4</f>
        <v>0</v>
      </c>
      <c r="E4">
        <f ca="1">'Country Enrollment By Month'!E4</f>
        <v>0</v>
      </c>
      <c r="F4">
        <f ca="1">'Country Enrollment By Month'!F4</f>
        <v>0</v>
      </c>
      <c r="G4">
        <f ca="1">'Country Enrollment By Month'!G4</f>
        <v>0</v>
      </c>
      <c r="H4">
        <f ca="1">'Country Enrollment By Month'!H4</f>
        <v>0</v>
      </c>
      <c r="I4">
        <f ca="1">'Country Enrollment By Month'!I4</f>
        <v>12</v>
      </c>
      <c r="J4">
        <f ca="1">'Country Enrollment By Month'!J4</f>
        <v>8</v>
      </c>
      <c r="K4">
        <f ca="1">'Country Enrollment By Month'!K4</f>
        <v>5</v>
      </c>
      <c r="L4">
        <f ca="1">'Country Enrollment By Month'!L4</f>
        <v>4</v>
      </c>
      <c r="M4">
        <f ca="1">'Country Enrollment By Month'!M4</f>
        <v>4</v>
      </c>
      <c r="N4">
        <f ca="1">'Country Enrollment By Month'!N4</f>
        <v>4</v>
      </c>
      <c r="O4">
        <f ca="1">'Country Enrollment By Month'!O4</f>
        <v>0</v>
      </c>
      <c r="P4">
        <f ca="1">'Country Enrollment By Month'!P4</f>
        <v>0</v>
      </c>
      <c r="Q4">
        <f ca="1">'Country Enrollment By Month'!Q4</f>
        <v>0</v>
      </c>
      <c r="R4">
        <f ca="1">'Country Enrollment By Month'!R4</f>
        <v>0</v>
      </c>
      <c r="S4">
        <f ca="1">'Country Enrollment By Month'!S4</f>
        <v>0</v>
      </c>
      <c r="T4">
        <f ca="1">'Country Enrollment By Month'!T4</f>
        <v>0</v>
      </c>
      <c r="U4">
        <f ca="1">'Country Enrollment By Month'!U4</f>
        <v>0</v>
      </c>
      <c r="V4">
        <f ca="1">'Country Enrollment By Month'!V4</f>
        <v>0</v>
      </c>
      <c r="W4">
        <f ca="1">'Country Enrollment By Month'!W4</f>
        <v>0</v>
      </c>
      <c r="X4">
        <f ca="1">'Country Enrollment By Month'!X4</f>
        <v>0</v>
      </c>
    </row>
    <row r="5" spans="1:24" x14ac:dyDescent="0.25">
      <c r="A5">
        <f>'Country Enrollment By Month'!A5</f>
        <v>0</v>
      </c>
      <c r="B5" t="str">
        <f>'Country Enrollment By Month'!B5</f>
        <v/>
      </c>
      <c r="C5" t="str">
        <f>'Country Enrollment By Month'!C5</f>
        <v/>
      </c>
      <c r="D5" t="str">
        <f>'Country Enrollment By Month'!D5</f>
        <v/>
      </c>
      <c r="E5" t="str">
        <f>'Country Enrollment By Month'!E5</f>
        <v/>
      </c>
      <c r="F5" t="str">
        <f>'Country Enrollment By Month'!F5</f>
        <v/>
      </c>
      <c r="G5" t="str">
        <f>'Country Enrollment By Month'!G5</f>
        <v/>
      </c>
      <c r="H5" t="str">
        <f>'Country Enrollment By Month'!H5</f>
        <v/>
      </c>
      <c r="I5" t="str">
        <f>'Country Enrollment By Month'!I5</f>
        <v/>
      </c>
      <c r="J5" t="str">
        <f>'Country Enrollment By Month'!J5</f>
        <v/>
      </c>
      <c r="K5" t="str">
        <f>'Country Enrollment By Month'!K5</f>
        <v/>
      </c>
      <c r="L5" t="str">
        <f>'Country Enrollment By Month'!L5</f>
        <v/>
      </c>
      <c r="M5" t="str">
        <f>'Country Enrollment By Month'!M5</f>
        <v/>
      </c>
      <c r="N5" t="str">
        <f>'Country Enrollment By Month'!N5</f>
        <v/>
      </c>
      <c r="O5" t="str">
        <f>'Country Enrollment By Month'!O5</f>
        <v/>
      </c>
      <c r="P5" t="str">
        <f>'Country Enrollment By Month'!P5</f>
        <v/>
      </c>
      <c r="Q5" t="str">
        <f>'Country Enrollment By Month'!Q5</f>
        <v/>
      </c>
      <c r="R5" t="str">
        <f>'Country Enrollment By Month'!R5</f>
        <v/>
      </c>
      <c r="S5" t="str">
        <f>'Country Enrollment By Month'!S5</f>
        <v/>
      </c>
      <c r="T5" t="str">
        <f>'Country Enrollment By Month'!T5</f>
        <v/>
      </c>
      <c r="U5" t="str">
        <f>'Country Enrollment By Month'!U5</f>
        <v/>
      </c>
      <c r="V5" t="str">
        <f>'Country Enrollment By Month'!V5</f>
        <v/>
      </c>
      <c r="W5" t="str">
        <f>'Country Enrollment By Month'!W5</f>
        <v/>
      </c>
      <c r="X5" t="str">
        <f>'Country Enrollment By Month'!X5</f>
        <v/>
      </c>
    </row>
    <row r="6" spans="1:24" x14ac:dyDescent="0.25">
      <c r="A6">
        <f>'Country Enrollment By Month'!A6</f>
        <v>0</v>
      </c>
      <c r="B6" t="str">
        <f>'Country Enrollment By Month'!B6</f>
        <v/>
      </c>
      <c r="C6" t="str">
        <f>'Country Enrollment By Month'!C6</f>
        <v/>
      </c>
      <c r="D6" t="str">
        <f>'Country Enrollment By Month'!D6</f>
        <v/>
      </c>
      <c r="E6" t="str">
        <f>'Country Enrollment By Month'!E6</f>
        <v/>
      </c>
      <c r="F6" t="str">
        <f>'Country Enrollment By Month'!F6</f>
        <v/>
      </c>
      <c r="G6" t="str">
        <f>'Country Enrollment By Month'!G6</f>
        <v/>
      </c>
      <c r="H6" t="str">
        <f>'Country Enrollment By Month'!H6</f>
        <v/>
      </c>
      <c r="I6" t="str">
        <f>'Country Enrollment By Month'!I6</f>
        <v/>
      </c>
      <c r="J6" t="str">
        <f>'Country Enrollment By Month'!J6</f>
        <v/>
      </c>
      <c r="K6" t="str">
        <f>'Country Enrollment By Month'!K6</f>
        <v/>
      </c>
      <c r="L6" t="str">
        <f>'Country Enrollment By Month'!L6</f>
        <v/>
      </c>
      <c r="M6" t="str">
        <f>'Country Enrollment By Month'!M6</f>
        <v/>
      </c>
      <c r="N6" t="str">
        <f>'Country Enrollment By Month'!N6</f>
        <v/>
      </c>
      <c r="O6" t="str">
        <f>'Country Enrollment By Month'!O6</f>
        <v/>
      </c>
      <c r="P6" t="str">
        <f>'Country Enrollment By Month'!P6</f>
        <v/>
      </c>
      <c r="Q6" t="str">
        <f>'Country Enrollment By Month'!Q6</f>
        <v/>
      </c>
      <c r="R6" t="str">
        <f>'Country Enrollment By Month'!R6</f>
        <v/>
      </c>
      <c r="S6" t="str">
        <f>'Country Enrollment By Month'!S6</f>
        <v/>
      </c>
      <c r="T6" t="str">
        <f>'Country Enrollment By Month'!T6</f>
        <v/>
      </c>
      <c r="U6" t="str">
        <f>'Country Enrollment By Month'!U6</f>
        <v/>
      </c>
      <c r="V6" t="str">
        <f>'Country Enrollment By Month'!V6</f>
        <v/>
      </c>
      <c r="W6" t="str">
        <f>'Country Enrollment By Month'!W6</f>
        <v/>
      </c>
      <c r="X6" t="str">
        <f>'Country Enrollment By Month'!X6</f>
        <v/>
      </c>
    </row>
    <row r="7" spans="1:24" x14ac:dyDescent="0.25">
      <c r="A7">
        <f>'Country Enrollment By Month'!A7</f>
        <v>0</v>
      </c>
      <c r="B7" t="str">
        <f>'Country Enrollment By Month'!B7</f>
        <v/>
      </c>
      <c r="C7" t="str">
        <f>'Country Enrollment By Month'!C7</f>
        <v/>
      </c>
      <c r="D7" t="str">
        <f>'Country Enrollment By Month'!D7</f>
        <v/>
      </c>
      <c r="E7" t="str">
        <f>'Country Enrollment By Month'!E7</f>
        <v/>
      </c>
      <c r="F7" t="str">
        <f>'Country Enrollment By Month'!F7</f>
        <v/>
      </c>
      <c r="G7" t="str">
        <f>'Country Enrollment By Month'!G7</f>
        <v/>
      </c>
      <c r="H7" t="str">
        <f>'Country Enrollment By Month'!H7</f>
        <v/>
      </c>
      <c r="I7" t="str">
        <f>'Country Enrollment By Month'!I7</f>
        <v/>
      </c>
      <c r="J7" t="str">
        <f>'Country Enrollment By Month'!J7</f>
        <v/>
      </c>
      <c r="K7" t="str">
        <f>'Country Enrollment By Month'!K7</f>
        <v/>
      </c>
      <c r="L7" t="str">
        <f>'Country Enrollment By Month'!L7</f>
        <v/>
      </c>
      <c r="M7" t="str">
        <f>'Country Enrollment By Month'!M7</f>
        <v/>
      </c>
      <c r="N7" t="str">
        <f>'Country Enrollment By Month'!N7</f>
        <v/>
      </c>
      <c r="O7" t="str">
        <f>'Country Enrollment By Month'!O7</f>
        <v/>
      </c>
      <c r="P7" t="str">
        <f>'Country Enrollment By Month'!P7</f>
        <v/>
      </c>
      <c r="Q7" t="str">
        <f>'Country Enrollment By Month'!Q7</f>
        <v/>
      </c>
      <c r="R7" t="str">
        <f>'Country Enrollment By Month'!R7</f>
        <v/>
      </c>
      <c r="S7" t="str">
        <f>'Country Enrollment By Month'!S7</f>
        <v/>
      </c>
      <c r="T7" t="str">
        <f>'Country Enrollment By Month'!T7</f>
        <v/>
      </c>
      <c r="U7" t="str">
        <f>'Country Enrollment By Month'!U7</f>
        <v/>
      </c>
      <c r="V7" t="str">
        <f>'Country Enrollment By Month'!V7</f>
        <v/>
      </c>
      <c r="W7" t="str">
        <f>'Country Enrollment By Month'!W7</f>
        <v/>
      </c>
      <c r="X7" t="str">
        <f>'Country Enrollment By Month'!X7</f>
        <v/>
      </c>
    </row>
    <row r="8" spans="1:24" x14ac:dyDescent="0.25">
      <c r="A8">
        <f>'Country Enrollment By Month'!A8</f>
        <v>0</v>
      </c>
      <c r="B8" t="str">
        <f>'Country Enrollment By Month'!B8</f>
        <v/>
      </c>
      <c r="C8" t="str">
        <f>'Country Enrollment By Month'!C8</f>
        <v/>
      </c>
      <c r="D8" t="str">
        <f>'Country Enrollment By Month'!D8</f>
        <v/>
      </c>
      <c r="E8" t="str">
        <f>'Country Enrollment By Month'!E8</f>
        <v/>
      </c>
      <c r="F8" t="str">
        <f>'Country Enrollment By Month'!F8</f>
        <v/>
      </c>
      <c r="G8" t="str">
        <f>'Country Enrollment By Month'!G8</f>
        <v/>
      </c>
      <c r="H8" t="str">
        <f>'Country Enrollment By Month'!H8</f>
        <v/>
      </c>
      <c r="I8" t="str">
        <f>'Country Enrollment By Month'!I8</f>
        <v/>
      </c>
      <c r="J8" t="str">
        <f>'Country Enrollment By Month'!J8</f>
        <v/>
      </c>
      <c r="K8" t="str">
        <f>'Country Enrollment By Month'!K8</f>
        <v/>
      </c>
      <c r="L8" t="str">
        <f>'Country Enrollment By Month'!L8</f>
        <v/>
      </c>
      <c r="M8" t="str">
        <f>'Country Enrollment By Month'!M8</f>
        <v/>
      </c>
      <c r="N8" t="str">
        <f>'Country Enrollment By Month'!N8</f>
        <v/>
      </c>
      <c r="O8" t="str">
        <f>'Country Enrollment By Month'!O8</f>
        <v/>
      </c>
      <c r="P8" t="str">
        <f>'Country Enrollment By Month'!P8</f>
        <v/>
      </c>
      <c r="Q8" t="str">
        <f>'Country Enrollment By Month'!Q8</f>
        <v/>
      </c>
      <c r="R8" t="str">
        <f>'Country Enrollment By Month'!R8</f>
        <v/>
      </c>
      <c r="S8" t="str">
        <f>'Country Enrollment By Month'!S8</f>
        <v/>
      </c>
      <c r="T8" t="str">
        <f>'Country Enrollment By Month'!T8</f>
        <v/>
      </c>
      <c r="U8" t="str">
        <f>'Country Enrollment By Month'!U8</f>
        <v/>
      </c>
      <c r="V8" t="str">
        <f>'Country Enrollment By Month'!V8</f>
        <v/>
      </c>
      <c r="W8" t="str">
        <f>'Country Enrollment By Month'!W8</f>
        <v/>
      </c>
      <c r="X8" t="str">
        <f>'Country Enrollment By Month'!X8</f>
        <v/>
      </c>
    </row>
    <row r="9" spans="1:24" x14ac:dyDescent="0.25">
      <c r="A9">
        <f>'Country Enrollment By Month'!A9</f>
        <v>0</v>
      </c>
      <c r="B9" t="str">
        <f>'Country Enrollment By Month'!B9</f>
        <v/>
      </c>
      <c r="C9" t="str">
        <f>'Country Enrollment By Month'!C9</f>
        <v/>
      </c>
      <c r="D9" t="str">
        <f>'Country Enrollment By Month'!D9</f>
        <v/>
      </c>
      <c r="E9" t="str">
        <f>'Country Enrollment By Month'!E9</f>
        <v/>
      </c>
      <c r="F9" t="str">
        <f>'Country Enrollment By Month'!F9</f>
        <v/>
      </c>
      <c r="G9" t="str">
        <f>'Country Enrollment By Month'!G9</f>
        <v/>
      </c>
      <c r="H9" t="str">
        <f>'Country Enrollment By Month'!H9</f>
        <v/>
      </c>
      <c r="I9" t="str">
        <f>'Country Enrollment By Month'!I9</f>
        <v/>
      </c>
      <c r="J9" t="str">
        <f>'Country Enrollment By Month'!J9</f>
        <v/>
      </c>
      <c r="K9" t="str">
        <f>'Country Enrollment By Month'!K9</f>
        <v/>
      </c>
      <c r="L9" t="str">
        <f>'Country Enrollment By Month'!L9</f>
        <v/>
      </c>
      <c r="M9" t="str">
        <f>'Country Enrollment By Month'!M9</f>
        <v/>
      </c>
      <c r="N9" t="str">
        <f>'Country Enrollment By Month'!N9</f>
        <v/>
      </c>
      <c r="O9" t="str">
        <f>'Country Enrollment By Month'!O9</f>
        <v/>
      </c>
      <c r="P9" t="str">
        <f>'Country Enrollment By Month'!P9</f>
        <v/>
      </c>
      <c r="Q9" t="str">
        <f>'Country Enrollment By Month'!Q9</f>
        <v/>
      </c>
      <c r="R9" t="str">
        <f>'Country Enrollment By Month'!R9</f>
        <v/>
      </c>
      <c r="S9" t="str">
        <f>'Country Enrollment By Month'!S9</f>
        <v/>
      </c>
      <c r="T9" t="str">
        <f>'Country Enrollment By Month'!T9</f>
        <v/>
      </c>
      <c r="U9" t="str">
        <f>'Country Enrollment By Month'!U9</f>
        <v/>
      </c>
      <c r="V9" t="str">
        <f>'Country Enrollment By Month'!V9</f>
        <v/>
      </c>
      <c r="W9" t="str">
        <f>'Country Enrollment By Month'!W9</f>
        <v/>
      </c>
      <c r="X9" t="str">
        <f>'Country Enrollment By Month'!X9</f>
        <v/>
      </c>
    </row>
    <row r="10" spans="1:24" x14ac:dyDescent="0.25">
      <c r="A10">
        <f>'Country Enrollment By Month'!A10</f>
        <v>0</v>
      </c>
      <c r="B10" t="str">
        <f>'Country Enrollment By Month'!B10</f>
        <v/>
      </c>
      <c r="C10" t="str">
        <f>'Country Enrollment By Month'!C10</f>
        <v/>
      </c>
      <c r="D10" t="str">
        <f>'Country Enrollment By Month'!D10</f>
        <v/>
      </c>
      <c r="E10" t="str">
        <f>'Country Enrollment By Month'!E10</f>
        <v/>
      </c>
      <c r="F10" t="str">
        <f>'Country Enrollment By Month'!F10</f>
        <v/>
      </c>
      <c r="G10" t="str">
        <f>'Country Enrollment By Month'!G10</f>
        <v/>
      </c>
      <c r="H10" t="str">
        <f>'Country Enrollment By Month'!H10</f>
        <v/>
      </c>
      <c r="I10" t="str">
        <f>'Country Enrollment By Month'!I10</f>
        <v/>
      </c>
      <c r="J10" t="str">
        <f>'Country Enrollment By Month'!J10</f>
        <v/>
      </c>
      <c r="K10" t="str">
        <f>'Country Enrollment By Month'!K10</f>
        <v/>
      </c>
      <c r="L10" t="str">
        <f>'Country Enrollment By Month'!L10</f>
        <v/>
      </c>
      <c r="M10" t="str">
        <f>'Country Enrollment By Month'!M10</f>
        <v/>
      </c>
      <c r="N10" t="str">
        <f>'Country Enrollment By Month'!N10</f>
        <v/>
      </c>
      <c r="O10" t="str">
        <f>'Country Enrollment By Month'!O10</f>
        <v/>
      </c>
      <c r="P10" t="str">
        <f>'Country Enrollment By Month'!P10</f>
        <v/>
      </c>
      <c r="Q10" t="str">
        <f>'Country Enrollment By Month'!Q10</f>
        <v/>
      </c>
      <c r="R10" t="str">
        <f>'Country Enrollment By Month'!R10</f>
        <v/>
      </c>
      <c r="S10" t="str">
        <f>'Country Enrollment By Month'!S10</f>
        <v/>
      </c>
      <c r="T10" t="str">
        <f>'Country Enrollment By Month'!T10</f>
        <v/>
      </c>
      <c r="U10" t="str">
        <f>'Country Enrollment By Month'!U10</f>
        <v/>
      </c>
      <c r="V10" t="str">
        <f>'Country Enrollment By Month'!V10</f>
        <v/>
      </c>
      <c r="W10" t="str">
        <f>'Country Enrollment By Month'!W10</f>
        <v/>
      </c>
      <c r="X10" t="str">
        <f>'Country Enrollment By Month'!X10</f>
        <v/>
      </c>
    </row>
    <row r="11" spans="1:24" x14ac:dyDescent="0.25">
      <c r="A11">
        <f>'Country Enrollment By Month'!A11</f>
        <v>0</v>
      </c>
      <c r="B11" t="str">
        <f>'Country Enrollment By Month'!B11</f>
        <v/>
      </c>
      <c r="C11" t="str">
        <f>'Country Enrollment By Month'!C11</f>
        <v/>
      </c>
      <c r="D11" t="str">
        <f>'Country Enrollment By Month'!D11</f>
        <v/>
      </c>
      <c r="E11" t="str">
        <f>'Country Enrollment By Month'!E11</f>
        <v/>
      </c>
      <c r="F11" t="str">
        <f>'Country Enrollment By Month'!F11</f>
        <v/>
      </c>
      <c r="G11" t="str">
        <f>'Country Enrollment By Month'!G11</f>
        <v/>
      </c>
      <c r="H11" t="str">
        <f>'Country Enrollment By Month'!H11</f>
        <v/>
      </c>
      <c r="I11" t="str">
        <f>'Country Enrollment By Month'!I11</f>
        <v/>
      </c>
      <c r="J11" t="str">
        <f>'Country Enrollment By Month'!J11</f>
        <v/>
      </c>
      <c r="K11" t="str">
        <f>'Country Enrollment By Month'!K11</f>
        <v/>
      </c>
      <c r="L11" t="str">
        <f>'Country Enrollment By Month'!L11</f>
        <v/>
      </c>
      <c r="M11" t="str">
        <f>'Country Enrollment By Month'!M11</f>
        <v/>
      </c>
      <c r="N11" t="str">
        <f>'Country Enrollment By Month'!N11</f>
        <v/>
      </c>
      <c r="O11" t="str">
        <f>'Country Enrollment By Month'!O11</f>
        <v/>
      </c>
      <c r="P11" t="str">
        <f>'Country Enrollment By Month'!P11</f>
        <v/>
      </c>
      <c r="Q11" t="str">
        <f>'Country Enrollment By Month'!Q11</f>
        <v/>
      </c>
      <c r="R11" t="str">
        <f>'Country Enrollment By Month'!R11</f>
        <v/>
      </c>
      <c r="S11" t="str">
        <f>'Country Enrollment By Month'!S11</f>
        <v/>
      </c>
      <c r="T11" t="str">
        <f>'Country Enrollment By Month'!T11</f>
        <v/>
      </c>
      <c r="U11" t="str">
        <f>'Country Enrollment By Month'!U11</f>
        <v/>
      </c>
      <c r="V11" t="str">
        <f>'Country Enrollment By Month'!V11</f>
        <v/>
      </c>
      <c r="W11" t="str">
        <f>'Country Enrollment By Month'!W11</f>
        <v/>
      </c>
      <c r="X11" t="str">
        <f>'Country Enrollment By Month'!X11</f>
        <v/>
      </c>
    </row>
    <row r="12" spans="1:24" x14ac:dyDescent="0.25">
      <c r="A12">
        <f>'Country Enrollment By Month'!A12</f>
        <v>0</v>
      </c>
      <c r="B12" t="str">
        <f>'Country Enrollment By Month'!B12</f>
        <v/>
      </c>
      <c r="C12" t="str">
        <f>'Country Enrollment By Month'!C12</f>
        <v/>
      </c>
      <c r="D12" t="str">
        <f>'Country Enrollment By Month'!D12</f>
        <v/>
      </c>
      <c r="E12" t="str">
        <f>'Country Enrollment By Month'!E12</f>
        <v/>
      </c>
      <c r="F12" t="str">
        <f>'Country Enrollment By Month'!F12</f>
        <v/>
      </c>
      <c r="G12" t="str">
        <f>'Country Enrollment By Month'!G12</f>
        <v/>
      </c>
      <c r="H12" t="str">
        <f>'Country Enrollment By Month'!H12</f>
        <v/>
      </c>
      <c r="I12" t="str">
        <f>'Country Enrollment By Month'!I12</f>
        <v/>
      </c>
      <c r="J12" t="str">
        <f>'Country Enrollment By Month'!J12</f>
        <v/>
      </c>
      <c r="K12" t="str">
        <f>'Country Enrollment By Month'!K12</f>
        <v/>
      </c>
      <c r="L12" t="str">
        <f>'Country Enrollment By Month'!L12</f>
        <v/>
      </c>
      <c r="M12" t="str">
        <f>'Country Enrollment By Month'!M12</f>
        <v/>
      </c>
      <c r="N12" t="str">
        <f>'Country Enrollment By Month'!N12</f>
        <v/>
      </c>
      <c r="O12" t="str">
        <f>'Country Enrollment By Month'!O12</f>
        <v/>
      </c>
      <c r="P12" t="str">
        <f>'Country Enrollment By Month'!P12</f>
        <v/>
      </c>
      <c r="Q12" t="str">
        <f>'Country Enrollment By Month'!Q12</f>
        <v/>
      </c>
      <c r="R12" t="str">
        <f>'Country Enrollment By Month'!R12</f>
        <v/>
      </c>
      <c r="S12" t="str">
        <f>'Country Enrollment By Month'!S12</f>
        <v/>
      </c>
      <c r="T12" t="str">
        <f>'Country Enrollment By Month'!T12</f>
        <v/>
      </c>
      <c r="U12" t="str">
        <f>'Country Enrollment By Month'!U12</f>
        <v/>
      </c>
      <c r="V12" t="str">
        <f>'Country Enrollment By Month'!V12</f>
        <v/>
      </c>
      <c r="W12" t="str">
        <f>'Country Enrollment By Month'!W12</f>
        <v/>
      </c>
      <c r="X12" t="str">
        <f>'Country Enrollment By Month'!X12</f>
        <v/>
      </c>
    </row>
    <row r="13" spans="1:24" x14ac:dyDescent="0.25">
      <c r="A13">
        <f>'Country Enrollment By Month'!A13</f>
        <v>0</v>
      </c>
      <c r="B13" t="str">
        <f>'Country Enrollment By Month'!B13</f>
        <v/>
      </c>
      <c r="C13" t="str">
        <f>'Country Enrollment By Month'!C13</f>
        <v/>
      </c>
      <c r="D13" t="str">
        <f>'Country Enrollment By Month'!D13</f>
        <v/>
      </c>
      <c r="E13" t="str">
        <f>'Country Enrollment By Month'!E13</f>
        <v/>
      </c>
      <c r="F13" t="str">
        <f>'Country Enrollment By Month'!F13</f>
        <v/>
      </c>
      <c r="G13" t="str">
        <f>'Country Enrollment By Month'!G13</f>
        <v/>
      </c>
      <c r="H13" t="str">
        <f>'Country Enrollment By Month'!H13</f>
        <v/>
      </c>
      <c r="I13" t="str">
        <f>'Country Enrollment By Month'!I13</f>
        <v/>
      </c>
      <c r="J13" t="str">
        <f>'Country Enrollment By Month'!J13</f>
        <v/>
      </c>
      <c r="K13" t="str">
        <f>'Country Enrollment By Month'!K13</f>
        <v/>
      </c>
      <c r="L13" t="str">
        <f>'Country Enrollment By Month'!L13</f>
        <v/>
      </c>
      <c r="M13" t="str">
        <f>'Country Enrollment By Month'!M13</f>
        <v/>
      </c>
      <c r="N13" t="str">
        <f>'Country Enrollment By Month'!N13</f>
        <v/>
      </c>
      <c r="O13" t="str">
        <f>'Country Enrollment By Month'!O13</f>
        <v/>
      </c>
      <c r="P13" t="str">
        <f>'Country Enrollment By Month'!P13</f>
        <v/>
      </c>
      <c r="Q13" t="str">
        <f>'Country Enrollment By Month'!Q13</f>
        <v/>
      </c>
      <c r="R13" t="str">
        <f>'Country Enrollment By Month'!R13</f>
        <v/>
      </c>
      <c r="S13" t="str">
        <f>'Country Enrollment By Month'!S13</f>
        <v/>
      </c>
      <c r="T13" t="str">
        <f>'Country Enrollment By Month'!T13</f>
        <v/>
      </c>
      <c r="U13" t="str">
        <f>'Country Enrollment By Month'!U13</f>
        <v/>
      </c>
      <c r="V13" t="str">
        <f>'Country Enrollment By Month'!V13</f>
        <v/>
      </c>
      <c r="W13" t="str">
        <f>'Country Enrollment By Month'!W13</f>
        <v/>
      </c>
      <c r="X13" t="str">
        <f>'Country Enrollment By Month'!X13</f>
        <v/>
      </c>
    </row>
    <row r="14" spans="1:24" x14ac:dyDescent="0.25">
      <c r="A14">
        <f>'Country Enrollment By Month'!A14</f>
        <v>0</v>
      </c>
      <c r="B14" t="str">
        <f>'Country Enrollment By Month'!B14</f>
        <v/>
      </c>
      <c r="C14" t="str">
        <f>'Country Enrollment By Month'!C14</f>
        <v/>
      </c>
      <c r="D14" t="str">
        <f>'Country Enrollment By Month'!D14</f>
        <v/>
      </c>
      <c r="E14" t="str">
        <f>'Country Enrollment By Month'!E14</f>
        <v/>
      </c>
      <c r="F14" t="str">
        <f>'Country Enrollment By Month'!F14</f>
        <v/>
      </c>
      <c r="G14" t="str">
        <f>'Country Enrollment By Month'!G14</f>
        <v/>
      </c>
      <c r="H14" t="str">
        <f>'Country Enrollment By Month'!H14</f>
        <v/>
      </c>
      <c r="I14" t="str">
        <f>'Country Enrollment By Month'!I14</f>
        <v/>
      </c>
      <c r="J14" t="str">
        <f>'Country Enrollment By Month'!J14</f>
        <v/>
      </c>
      <c r="K14" t="str">
        <f>'Country Enrollment By Month'!K14</f>
        <v/>
      </c>
      <c r="L14" t="str">
        <f>'Country Enrollment By Month'!L14</f>
        <v/>
      </c>
      <c r="M14" t="str">
        <f>'Country Enrollment By Month'!M14</f>
        <v/>
      </c>
      <c r="N14" t="str">
        <f>'Country Enrollment By Month'!N14</f>
        <v/>
      </c>
      <c r="O14" t="str">
        <f>'Country Enrollment By Month'!O14</f>
        <v/>
      </c>
      <c r="P14" t="str">
        <f>'Country Enrollment By Month'!P14</f>
        <v/>
      </c>
      <c r="Q14" t="str">
        <f>'Country Enrollment By Month'!Q14</f>
        <v/>
      </c>
      <c r="R14" t="str">
        <f>'Country Enrollment By Month'!R14</f>
        <v/>
      </c>
      <c r="S14" t="str">
        <f>'Country Enrollment By Month'!S14</f>
        <v/>
      </c>
      <c r="T14" t="str">
        <f>'Country Enrollment By Month'!T14</f>
        <v/>
      </c>
      <c r="U14" t="str">
        <f>'Country Enrollment By Month'!U14</f>
        <v/>
      </c>
      <c r="V14" t="str">
        <f>'Country Enrollment By Month'!V14</f>
        <v/>
      </c>
      <c r="W14" t="str">
        <f>'Country Enrollment By Month'!W14</f>
        <v/>
      </c>
      <c r="X14" t="str">
        <f>'Country Enrollment By Month'!X14</f>
        <v/>
      </c>
    </row>
    <row r="15" spans="1:24" x14ac:dyDescent="0.25">
      <c r="A15">
        <f>'Country Enrollment By Month'!A15</f>
        <v>0</v>
      </c>
      <c r="B15" t="str">
        <f>'Country Enrollment By Month'!B15</f>
        <v/>
      </c>
      <c r="C15" t="str">
        <f>'Country Enrollment By Month'!C15</f>
        <v/>
      </c>
      <c r="D15" t="str">
        <f>'Country Enrollment By Month'!D15</f>
        <v/>
      </c>
      <c r="E15" t="str">
        <f>'Country Enrollment By Month'!E15</f>
        <v/>
      </c>
      <c r="F15" t="str">
        <f>'Country Enrollment By Month'!F15</f>
        <v/>
      </c>
      <c r="G15" t="str">
        <f>'Country Enrollment By Month'!G15</f>
        <v/>
      </c>
      <c r="H15" t="str">
        <f>'Country Enrollment By Month'!H15</f>
        <v/>
      </c>
      <c r="I15" t="str">
        <f>'Country Enrollment By Month'!I15</f>
        <v/>
      </c>
      <c r="J15" t="str">
        <f>'Country Enrollment By Month'!J15</f>
        <v/>
      </c>
      <c r="K15" t="str">
        <f>'Country Enrollment By Month'!K15</f>
        <v/>
      </c>
      <c r="L15" t="str">
        <f>'Country Enrollment By Month'!L15</f>
        <v/>
      </c>
      <c r="M15" t="str">
        <f>'Country Enrollment By Month'!M15</f>
        <v/>
      </c>
      <c r="N15" t="str">
        <f>'Country Enrollment By Month'!N15</f>
        <v/>
      </c>
      <c r="O15" t="str">
        <f>'Country Enrollment By Month'!O15</f>
        <v/>
      </c>
      <c r="P15" t="str">
        <f>'Country Enrollment By Month'!P15</f>
        <v/>
      </c>
      <c r="Q15" t="str">
        <f>'Country Enrollment By Month'!Q15</f>
        <v/>
      </c>
      <c r="R15" t="str">
        <f>'Country Enrollment By Month'!R15</f>
        <v/>
      </c>
      <c r="S15" t="str">
        <f>'Country Enrollment By Month'!S15</f>
        <v/>
      </c>
      <c r="T15" t="str">
        <f>'Country Enrollment By Month'!T15</f>
        <v/>
      </c>
      <c r="U15" t="str">
        <f>'Country Enrollment By Month'!U15</f>
        <v/>
      </c>
      <c r="V15" t="str">
        <f>'Country Enrollment By Month'!V15</f>
        <v/>
      </c>
      <c r="W15" t="str">
        <f>'Country Enrollment By Month'!W15</f>
        <v/>
      </c>
      <c r="X15" t="str">
        <f>'Country Enrollment By Month'!X15</f>
        <v/>
      </c>
    </row>
    <row r="16" spans="1:24" x14ac:dyDescent="0.25">
      <c r="A16">
        <f>'Country Enrollment By Month'!A16</f>
        <v>0</v>
      </c>
      <c r="B16" t="str">
        <f>'Country Enrollment By Month'!B16</f>
        <v/>
      </c>
      <c r="C16" t="str">
        <f>'Country Enrollment By Month'!C16</f>
        <v/>
      </c>
      <c r="D16" t="str">
        <f>'Country Enrollment By Month'!D16</f>
        <v/>
      </c>
      <c r="E16" t="str">
        <f>'Country Enrollment By Month'!E16</f>
        <v/>
      </c>
      <c r="F16" t="str">
        <f>'Country Enrollment By Month'!F16</f>
        <v/>
      </c>
      <c r="G16" t="str">
        <f>'Country Enrollment By Month'!G16</f>
        <v/>
      </c>
      <c r="H16" t="str">
        <f>'Country Enrollment By Month'!H16</f>
        <v/>
      </c>
      <c r="I16" t="str">
        <f>'Country Enrollment By Month'!I16</f>
        <v/>
      </c>
      <c r="J16" t="str">
        <f>'Country Enrollment By Month'!J16</f>
        <v/>
      </c>
      <c r="K16" t="str">
        <f>'Country Enrollment By Month'!K16</f>
        <v/>
      </c>
      <c r="L16" t="str">
        <f>'Country Enrollment By Month'!L16</f>
        <v/>
      </c>
      <c r="M16" t="str">
        <f>'Country Enrollment By Month'!M16</f>
        <v/>
      </c>
      <c r="N16" t="str">
        <f>'Country Enrollment By Month'!N16</f>
        <v/>
      </c>
      <c r="O16" t="str">
        <f>'Country Enrollment By Month'!O16</f>
        <v/>
      </c>
      <c r="P16" t="str">
        <f>'Country Enrollment By Month'!P16</f>
        <v/>
      </c>
      <c r="Q16" t="str">
        <f>'Country Enrollment By Month'!Q16</f>
        <v/>
      </c>
      <c r="R16" t="str">
        <f>'Country Enrollment By Month'!R16</f>
        <v/>
      </c>
      <c r="S16" t="str">
        <f>'Country Enrollment By Month'!S16</f>
        <v/>
      </c>
      <c r="T16" t="str">
        <f>'Country Enrollment By Month'!T16</f>
        <v/>
      </c>
      <c r="U16" t="str">
        <f>'Country Enrollment By Month'!U16</f>
        <v/>
      </c>
      <c r="V16" t="str">
        <f>'Country Enrollment By Month'!V16</f>
        <v/>
      </c>
      <c r="W16" t="str">
        <f>'Country Enrollment By Month'!W16</f>
        <v/>
      </c>
      <c r="X16" t="str">
        <f>'Country Enrollment By Month'!X16</f>
        <v/>
      </c>
    </row>
    <row r="17" spans="1:24" x14ac:dyDescent="0.25">
      <c r="A17">
        <f>'Country Enrollment By Month'!A17</f>
        <v>0</v>
      </c>
      <c r="B17" t="str">
        <f>'Country Enrollment By Month'!B17</f>
        <v/>
      </c>
      <c r="C17" t="str">
        <f>'Country Enrollment By Month'!C17</f>
        <v/>
      </c>
      <c r="D17" t="str">
        <f>'Country Enrollment By Month'!D17</f>
        <v/>
      </c>
      <c r="E17" t="str">
        <f>'Country Enrollment By Month'!E17</f>
        <v/>
      </c>
      <c r="F17" t="str">
        <f>'Country Enrollment By Month'!F17</f>
        <v/>
      </c>
      <c r="G17" t="str">
        <f>'Country Enrollment By Month'!G17</f>
        <v/>
      </c>
      <c r="H17" t="str">
        <f>'Country Enrollment By Month'!H17</f>
        <v/>
      </c>
      <c r="I17" t="str">
        <f>'Country Enrollment By Month'!I17</f>
        <v/>
      </c>
      <c r="J17" t="str">
        <f>'Country Enrollment By Month'!J17</f>
        <v/>
      </c>
      <c r="K17" t="str">
        <f>'Country Enrollment By Month'!K17</f>
        <v/>
      </c>
      <c r="L17" t="str">
        <f>'Country Enrollment By Month'!L17</f>
        <v/>
      </c>
      <c r="M17" t="str">
        <f>'Country Enrollment By Month'!M17</f>
        <v/>
      </c>
      <c r="N17" t="str">
        <f>'Country Enrollment By Month'!N17</f>
        <v/>
      </c>
      <c r="O17" t="str">
        <f>'Country Enrollment By Month'!O17</f>
        <v/>
      </c>
      <c r="P17" t="str">
        <f>'Country Enrollment By Month'!P17</f>
        <v/>
      </c>
      <c r="Q17" t="str">
        <f>'Country Enrollment By Month'!Q17</f>
        <v/>
      </c>
      <c r="R17" t="str">
        <f>'Country Enrollment By Month'!R17</f>
        <v/>
      </c>
      <c r="S17" t="str">
        <f>'Country Enrollment By Month'!S17</f>
        <v/>
      </c>
      <c r="T17" t="str">
        <f>'Country Enrollment By Month'!T17</f>
        <v/>
      </c>
      <c r="U17" t="str">
        <f>'Country Enrollment By Month'!U17</f>
        <v/>
      </c>
      <c r="V17" t="str">
        <f>'Country Enrollment By Month'!V17</f>
        <v/>
      </c>
      <c r="W17" t="str">
        <f>'Country Enrollment By Month'!W17</f>
        <v/>
      </c>
      <c r="X17" t="str">
        <f>'Country Enrollment By Month'!X17</f>
        <v/>
      </c>
    </row>
    <row r="18" spans="1:24" x14ac:dyDescent="0.25">
      <c r="A18">
        <f>'Country Enrollment By Month'!A18</f>
        <v>0</v>
      </c>
      <c r="B18" t="str">
        <f>'Country Enrollment By Month'!B18</f>
        <v/>
      </c>
      <c r="C18" t="str">
        <f>'Country Enrollment By Month'!C18</f>
        <v/>
      </c>
      <c r="D18" t="str">
        <f>'Country Enrollment By Month'!D18</f>
        <v/>
      </c>
      <c r="E18" t="str">
        <f>'Country Enrollment By Month'!E18</f>
        <v/>
      </c>
      <c r="F18" t="str">
        <f>'Country Enrollment By Month'!F18</f>
        <v/>
      </c>
      <c r="G18" t="str">
        <f>'Country Enrollment By Month'!G18</f>
        <v/>
      </c>
      <c r="H18" t="str">
        <f>'Country Enrollment By Month'!H18</f>
        <v/>
      </c>
      <c r="I18" t="str">
        <f>'Country Enrollment By Month'!I18</f>
        <v/>
      </c>
      <c r="J18" t="str">
        <f>'Country Enrollment By Month'!J18</f>
        <v/>
      </c>
      <c r="K18" t="str">
        <f>'Country Enrollment By Month'!K18</f>
        <v/>
      </c>
      <c r="L18" t="str">
        <f>'Country Enrollment By Month'!L18</f>
        <v/>
      </c>
      <c r="M18" t="str">
        <f>'Country Enrollment By Month'!M18</f>
        <v/>
      </c>
      <c r="N18" t="str">
        <f>'Country Enrollment By Month'!N18</f>
        <v/>
      </c>
      <c r="O18" t="str">
        <f>'Country Enrollment By Month'!O18</f>
        <v/>
      </c>
      <c r="P18" t="str">
        <f>'Country Enrollment By Month'!P18</f>
        <v/>
      </c>
      <c r="Q18" t="str">
        <f>'Country Enrollment By Month'!Q18</f>
        <v/>
      </c>
      <c r="R18" t="str">
        <f>'Country Enrollment By Month'!R18</f>
        <v/>
      </c>
      <c r="S18" t="str">
        <f>'Country Enrollment By Month'!S18</f>
        <v/>
      </c>
      <c r="T18" t="str">
        <f>'Country Enrollment By Month'!T18</f>
        <v/>
      </c>
      <c r="U18" t="str">
        <f>'Country Enrollment By Month'!U18</f>
        <v/>
      </c>
      <c r="V18" t="str">
        <f>'Country Enrollment By Month'!V18</f>
        <v/>
      </c>
      <c r="W18" t="str">
        <f>'Country Enrollment By Month'!W18</f>
        <v/>
      </c>
      <c r="X18" t="str">
        <f>'Country Enrollment By Month'!X18</f>
        <v/>
      </c>
    </row>
    <row r="19" spans="1:24" x14ac:dyDescent="0.25">
      <c r="A19">
        <f>'Country Enrollment By Month'!A19</f>
        <v>0</v>
      </c>
      <c r="B19" t="str">
        <f>'Country Enrollment By Month'!B19</f>
        <v/>
      </c>
      <c r="C19" t="str">
        <f>'Country Enrollment By Month'!C19</f>
        <v/>
      </c>
      <c r="D19" t="str">
        <f>'Country Enrollment By Month'!D19</f>
        <v/>
      </c>
      <c r="E19" t="str">
        <f>'Country Enrollment By Month'!E19</f>
        <v/>
      </c>
      <c r="F19" t="str">
        <f>'Country Enrollment By Month'!F19</f>
        <v/>
      </c>
      <c r="G19" t="str">
        <f>'Country Enrollment By Month'!G19</f>
        <v/>
      </c>
      <c r="H19" t="str">
        <f>'Country Enrollment By Month'!H19</f>
        <v/>
      </c>
      <c r="I19" t="str">
        <f>'Country Enrollment By Month'!I19</f>
        <v/>
      </c>
      <c r="J19" t="str">
        <f>'Country Enrollment By Month'!J19</f>
        <v/>
      </c>
      <c r="K19" t="str">
        <f>'Country Enrollment By Month'!K19</f>
        <v/>
      </c>
      <c r="L19" t="str">
        <f>'Country Enrollment By Month'!L19</f>
        <v/>
      </c>
      <c r="M19" t="str">
        <f>'Country Enrollment By Month'!M19</f>
        <v/>
      </c>
      <c r="N19" t="str">
        <f>'Country Enrollment By Month'!N19</f>
        <v/>
      </c>
      <c r="O19" t="str">
        <f>'Country Enrollment By Month'!O19</f>
        <v/>
      </c>
      <c r="P19" t="str">
        <f>'Country Enrollment By Month'!P19</f>
        <v/>
      </c>
      <c r="Q19" t="str">
        <f>'Country Enrollment By Month'!Q19</f>
        <v/>
      </c>
      <c r="R19" t="str">
        <f>'Country Enrollment By Month'!R19</f>
        <v/>
      </c>
      <c r="S19" t="str">
        <f>'Country Enrollment By Month'!S19</f>
        <v/>
      </c>
      <c r="T19" t="str">
        <f>'Country Enrollment By Month'!T19</f>
        <v/>
      </c>
      <c r="U19" t="str">
        <f>'Country Enrollment By Month'!U19</f>
        <v/>
      </c>
      <c r="V19" t="str">
        <f>'Country Enrollment By Month'!V19</f>
        <v/>
      </c>
      <c r="W19" t="str">
        <f>'Country Enrollment By Month'!W19</f>
        <v/>
      </c>
      <c r="X19" t="str">
        <f>'Country Enrollment By Month'!X19</f>
        <v/>
      </c>
    </row>
    <row r="20" spans="1:24" x14ac:dyDescent="0.25">
      <c r="A20">
        <f>'Country Enrollment By Month'!A20</f>
        <v>0</v>
      </c>
      <c r="B20" t="str">
        <f>'Country Enrollment By Month'!B20</f>
        <v/>
      </c>
      <c r="C20" t="str">
        <f>'Country Enrollment By Month'!C20</f>
        <v/>
      </c>
      <c r="D20" t="str">
        <f>'Country Enrollment By Month'!D20</f>
        <v/>
      </c>
      <c r="E20" t="str">
        <f>'Country Enrollment By Month'!E20</f>
        <v/>
      </c>
      <c r="F20" t="str">
        <f>'Country Enrollment By Month'!F20</f>
        <v/>
      </c>
      <c r="G20" t="str">
        <f>'Country Enrollment By Month'!G20</f>
        <v/>
      </c>
      <c r="H20" t="str">
        <f>'Country Enrollment By Month'!H20</f>
        <v/>
      </c>
      <c r="I20" t="str">
        <f>'Country Enrollment By Month'!I20</f>
        <v/>
      </c>
      <c r="J20" t="str">
        <f>'Country Enrollment By Month'!J20</f>
        <v/>
      </c>
      <c r="K20" t="str">
        <f>'Country Enrollment By Month'!K20</f>
        <v/>
      </c>
      <c r="L20" t="str">
        <f>'Country Enrollment By Month'!L20</f>
        <v/>
      </c>
      <c r="M20" t="str">
        <f>'Country Enrollment By Month'!M20</f>
        <v/>
      </c>
      <c r="N20" t="str">
        <f>'Country Enrollment By Month'!N20</f>
        <v/>
      </c>
      <c r="O20" t="str">
        <f>'Country Enrollment By Month'!O20</f>
        <v/>
      </c>
      <c r="P20" t="str">
        <f>'Country Enrollment By Month'!P20</f>
        <v/>
      </c>
      <c r="Q20" t="str">
        <f>'Country Enrollment By Month'!Q20</f>
        <v/>
      </c>
      <c r="R20" t="str">
        <f>'Country Enrollment By Month'!R20</f>
        <v/>
      </c>
      <c r="S20" t="str">
        <f>'Country Enrollment By Month'!S20</f>
        <v/>
      </c>
      <c r="T20" t="str">
        <f>'Country Enrollment By Month'!T20</f>
        <v/>
      </c>
      <c r="U20" t="str">
        <f>'Country Enrollment By Month'!U20</f>
        <v/>
      </c>
      <c r="V20" t="str">
        <f>'Country Enrollment By Month'!V20</f>
        <v/>
      </c>
      <c r="W20" t="str">
        <f>'Country Enrollment By Month'!W20</f>
        <v/>
      </c>
      <c r="X20" t="str">
        <f>'Country Enrollment By Month'!X20</f>
        <v/>
      </c>
    </row>
    <row r="21" spans="1:24" x14ac:dyDescent="0.25">
      <c r="A21">
        <f>'Country Enrollment By Month'!A21</f>
        <v>0</v>
      </c>
      <c r="B21" t="str">
        <f>'Country Enrollment By Month'!B21</f>
        <v/>
      </c>
      <c r="C21" t="str">
        <f>'Country Enrollment By Month'!C21</f>
        <v/>
      </c>
      <c r="D21" t="str">
        <f>'Country Enrollment By Month'!D21</f>
        <v/>
      </c>
      <c r="E21" t="str">
        <f>'Country Enrollment By Month'!E21</f>
        <v/>
      </c>
      <c r="F21" t="str">
        <f>'Country Enrollment By Month'!F21</f>
        <v/>
      </c>
      <c r="G21" t="str">
        <f>'Country Enrollment By Month'!G21</f>
        <v/>
      </c>
      <c r="H21" t="str">
        <f>'Country Enrollment By Month'!H21</f>
        <v/>
      </c>
      <c r="I21" t="str">
        <f>'Country Enrollment By Month'!I21</f>
        <v/>
      </c>
      <c r="J21" t="str">
        <f>'Country Enrollment By Month'!J21</f>
        <v/>
      </c>
      <c r="K21" t="str">
        <f>'Country Enrollment By Month'!K21</f>
        <v/>
      </c>
      <c r="L21" t="str">
        <f>'Country Enrollment By Month'!L21</f>
        <v/>
      </c>
      <c r="M21" t="str">
        <f>'Country Enrollment By Month'!M21</f>
        <v/>
      </c>
      <c r="N21" t="str">
        <f>'Country Enrollment By Month'!N21</f>
        <v/>
      </c>
      <c r="O21" t="str">
        <f>'Country Enrollment By Month'!O21</f>
        <v/>
      </c>
      <c r="P21" t="str">
        <f>'Country Enrollment By Month'!P21</f>
        <v/>
      </c>
      <c r="Q21" t="str">
        <f>'Country Enrollment By Month'!Q21</f>
        <v/>
      </c>
      <c r="R21" t="str">
        <f>'Country Enrollment By Month'!R21</f>
        <v/>
      </c>
      <c r="S21" t="str">
        <f>'Country Enrollment By Month'!S21</f>
        <v/>
      </c>
      <c r="T21" t="str">
        <f>'Country Enrollment By Month'!T21</f>
        <v/>
      </c>
      <c r="U21" t="str">
        <f>'Country Enrollment By Month'!U21</f>
        <v/>
      </c>
      <c r="V21" t="str">
        <f>'Country Enrollment By Month'!V21</f>
        <v/>
      </c>
      <c r="W21" t="str">
        <f>'Country Enrollment By Month'!W21</f>
        <v/>
      </c>
      <c r="X21" t="str">
        <f>'Country Enrollment By Month'!X21</f>
        <v/>
      </c>
    </row>
    <row r="22" spans="1:24" x14ac:dyDescent="0.25">
      <c r="A22">
        <f>'Country Enrollment By Month'!A22</f>
        <v>0</v>
      </c>
      <c r="B22" t="str">
        <f>'Country Enrollment By Month'!B22</f>
        <v/>
      </c>
      <c r="C22" t="str">
        <f>'Country Enrollment By Month'!C22</f>
        <v/>
      </c>
      <c r="D22" t="str">
        <f>'Country Enrollment By Month'!D22</f>
        <v/>
      </c>
      <c r="E22" t="str">
        <f>'Country Enrollment By Month'!E22</f>
        <v/>
      </c>
      <c r="F22" t="str">
        <f>'Country Enrollment By Month'!F22</f>
        <v/>
      </c>
      <c r="G22" t="str">
        <f>'Country Enrollment By Month'!G22</f>
        <v/>
      </c>
      <c r="H22" t="str">
        <f>'Country Enrollment By Month'!H22</f>
        <v/>
      </c>
      <c r="I22" t="str">
        <f>'Country Enrollment By Month'!I22</f>
        <v/>
      </c>
      <c r="J22" t="str">
        <f>'Country Enrollment By Month'!J22</f>
        <v/>
      </c>
      <c r="K22" t="str">
        <f>'Country Enrollment By Month'!K22</f>
        <v/>
      </c>
      <c r="L22" t="str">
        <f>'Country Enrollment By Month'!L22</f>
        <v/>
      </c>
      <c r="M22" t="str">
        <f>'Country Enrollment By Month'!M22</f>
        <v/>
      </c>
      <c r="N22" t="str">
        <f>'Country Enrollment By Month'!N22</f>
        <v/>
      </c>
      <c r="O22" t="str">
        <f>'Country Enrollment By Month'!O22</f>
        <v/>
      </c>
      <c r="P22" t="str">
        <f>'Country Enrollment By Month'!P22</f>
        <v/>
      </c>
      <c r="Q22" t="str">
        <f>'Country Enrollment By Month'!Q22</f>
        <v/>
      </c>
      <c r="R22" t="str">
        <f>'Country Enrollment By Month'!R22</f>
        <v/>
      </c>
      <c r="S22" t="str">
        <f>'Country Enrollment By Month'!S22</f>
        <v/>
      </c>
      <c r="T22" t="str">
        <f>'Country Enrollment By Month'!T22</f>
        <v/>
      </c>
      <c r="U22" t="str">
        <f>'Country Enrollment By Month'!U22</f>
        <v/>
      </c>
      <c r="V22" t="str">
        <f>'Country Enrollment By Month'!V22</f>
        <v/>
      </c>
      <c r="W22" t="str">
        <f>'Country Enrollment By Month'!W22</f>
        <v/>
      </c>
      <c r="X22" t="str">
        <f>'Country Enrollment By Month'!X22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C9CC-306A-44F8-8312-0DDA25186EF0}">
  <dimension ref="A1:P35"/>
  <sheetViews>
    <sheetView workbookViewId="0">
      <selection activeCell="B9" sqref="B9"/>
    </sheetView>
  </sheetViews>
  <sheetFormatPr defaultRowHeight="15" x14ac:dyDescent="0.25"/>
  <cols>
    <col min="2" max="2" width="21.28515625" customWidth="1"/>
    <col min="3" max="3" width="19.140625" customWidth="1"/>
    <col min="10" max="10" width="11" customWidth="1"/>
    <col min="11" max="11" width="17.7109375" customWidth="1"/>
  </cols>
  <sheetData>
    <row r="1" spans="1:16" x14ac:dyDescent="0.25">
      <c r="A1" t="s">
        <v>56</v>
      </c>
      <c r="B1" t="s">
        <v>68</v>
      </c>
      <c r="C1" t="s">
        <v>25</v>
      </c>
      <c r="D1" t="s">
        <v>69</v>
      </c>
      <c r="E1" t="s">
        <v>70</v>
      </c>
      <c r="F1" t="s">
        <v>71</v>
      </c>
      <c r="G1" t="s">
        <v>72</v>
      </c>
      <c r="J1" t="s">
        <v>73</v>
      </c>
      <c r="K1" t="s">
        <v>63</v>
      </c>
    </row>
    <row r="2" spans="1:16" x14ac:dyDescent="0.25">
      <c r="A2" s="4" cm="1">
        <f t="array" ref="A2">INDEX('Enrollment Forecast'!$C$5:$Y$5,ROWS($A$2:A2))</f>
        <v>46023</v>
      </c>
      <c r="B2" s="9" cm="1">
        <f t="array" aca="1" ref="B2" ca="1">INDEX('Enrollment Forecast'!$C$2:$Y$2,ROWS($A$2:B2))</f>
        <v>0</v>
      </c>
      <c r="C2" s="9" cm="1">
        <f t="array" ref="C2">INDEX('Enrollment Forecast'!$C$3:$Y$3,ROWS($A$2:C2))</f>
        <v>100</v>
      </c>
      <c r="D2" s="9" cm="1">
        <f t="array" aca="1" ref="D2" ca="1">INDEX('ER Scenarios'!$D$6:$AJ$6,ROWS($A$2:D2))</f>
        <v>0</v>
      </c>
      <c r="E2" s="9" cm="1">
        <f t="array" aca="1" ref="E2" ca="1">INDEX('ER Scenarios'!$D$7:$AJ$7,ROWS($A$2:E2))</f>
        <v>0</v>
      </c>
      <c r="F2" s="9" cm="1">
        <f t="array" aca="1" ref="F2" ca="1">INDEX('ER Scenarios'!$D$8:$AJ$8,ROWS($A$2:F2))</f>
        <v>0</v>
      </c>
      <c r="G2" s="9" cm="1">
        <f t="array" aca="1" ref="G2" ca="1">INDEX('ER Scenarios'!$D$9:$AJ$9,ROWS($A$2:G2))</f>
        <v>0</v>
      </c>
      <c r="H2" s="4"/>
      <c r="I2" s="4"/>
      <c r="J2" s="16" t="s">
        <v>69</v>
      </c>
      <c r="K2" s="7">
        <f>'ER Scenarios'!B6</f>
        <v>0.15</v>
      </c>
      <c r="L2" s="4"/>
      <c r="M2" s="4"/>
      <c r="N2" s="4"/>
      <c r="O2" s="4"/>
      <c r="P2" s="4"/>
    </row>
    <row r="3" spans="1:16" x14ac:dyDescent="0.25">
      <c r="A3" s="4" cm="1">
        <f t="array" ref="A3">INDEX('Enrollment Forecast'!$C$5:$Y$5,ROWS($A$2:A3))</f>
        <v>46054</v>
      </c>
      <c r="B3" s="9" cm="1">
        <f t="array" aca="1" ref="B3" ca="1">INDEX('Enrollment Forecast'!$C$2:$Y$2,ROWS($A$2:B3))</f>
        <v>0</v>
      </c>
      <c r="C3" s="9" cm="1">
        <f t="array" ref="C3">INDEX('Enrollment Forecast'!$C$3:$Y$3,ROWS($A$2:C3))</f>
        <v>100</v>
      </c>
      <c r="D3" s="9" cm="1">
        <f t="array" aca="1" ref="D3" ca="1">INDEX('ER Scenarios'!$D$6:$AJ$6,ROWS($A$2:D3))</f>
        <v>0</v>
      </c>
      <c r="E3" s="9" cm="1">
        <f t="array" aca="1" ref="E3" ca="1">INDEX('ER Scenarios'!$D$7:$AJ$7,ROWS($A$2:E3))</f>
        <v>0</v>
      </c>
      <c r="F3" s="9" cm="1">
        <f t="array" aca="1" ref="F3" ca="1">INDEX('ER Scenarios'!$D$8:$AJ$8,ROWS($A$2:F3))</f>
        <v>0</v>
      </c>
      <c r="G3" s="9" cm="1">
        <f t="array" aca="1" ref="G3" ca="1">INDEX('ER Scenarios'!$D$9:$AJ$9,ROWS($A$2:G3))</f>
        <v>0</v>
      </c>
      <c r="J3" s="16" t="s">
        <v>70</v>
      </c>
      <c r="K3" s="7">
        <f>'ER Scenarios'!B7</f>
        <v>0.19</v>
      </c>
    </row>
    <row r="4" spans="1:16" x14ac:dyDescent="0.25">
      <c r="A4" s="4" cm="1">
        <f t="array" ref="A4">INDEX('Enrollment Forecast'!$C$5:$Y$5,ROWS($A$2:A4))</f>
        <v>46082</v>
      </c>
      <c r="B4" s="9" cm="1">
        <f t="array" aca="1" ref="B4" ca="1">INDEX('Enrollment Forecast'!$C$2:$Y$2,ROWS($A$2:B4))</f>
        <v>0</v>
      </c>
      <c r="C4" s="9" cm="1">
        <f t="array" ref="C4">INDEX('Enrollment Forecast'!$C$3:$Y$3,ROWS($A$2:C4))</f>
        <v>100</v>
      </c>
      <c r="D4" s="9" cm="1">
        <f t="array" aca="1" ref="D4" ca="1">INDEX('ER Scenarios'!$D$6:$AJ$6,ROWS($A$2:D4))</f>
        <v>0</v>
      </c>
      <c r="E4" s="9" cm="1">
        <f t="array" aca="1" ref="E4" ca="1">INDEX('ER Scenarios'!$D$7:$AJ$7,ROWS($A$2:E4))</f>
        <v>0</v>
      </c>
      <c r="F4" s="9" cm="1">
        <f t="array" aca="1" ref="F4" ca="1">INDEX('ER Scenarios'!$D$8:$AJ$8,ROWS($A$2:F4))</f>
        <v>0</v>
      </c>
      <c r="G4" s="9" cm="1">
        <f t="array" aca="1" ref="G4" ca="1">INDEX('ER Scenarios'!$D$9:$AJ$9,ROWS($A$2:G4))</f>
        <v>0</v>
      </c>
      <c r="J4" s="16" t="s">
        <v>71</v>
      </c>
      <c r="K4" s="7">
        <f>'ER Scenarios'!B8</f>
        <v>0.22</v>
      </c>
    </row>
    <row r="5" spans="1:16" x14ac:dyDescent="0.25">
      <c r="A5" s="4" cm="1">
        <f t="array" ref="A5">INDEX('Enrollment Forecast'!$C$5:$Y$5,ROWS($A$2:A5))</f>
        <v>46113</v>
      </c>
      <c r="B5" s="9" cm="1">
        <f t="array" aca="1" ref="B5" ca="1">INDEX('Enrollment Forecast'!$C$2:$Y$2,ROWS($A$2:B5))</f>
        <v>0</v>
      </c>
      <c r="C5" s="9" cm="1">
        <f t="array" ref="C5">INDEX('Enrollment Forecast'!$C$3:$Y$3,ROWS($A$2:C5))</f>
        <v>100</v>
      </c>
      <c r="D5" s="9" cm="1">
        <f t="array" aca="1" ref="D5" ca="1">INDEX('ER Scenarios'!$D$6:$AJ$6,ROWS($A$2:D5))</f>
        <v>0</v>
      </c>
      <c r="E5" s="9" cm="1">
        <f t="array" aca="1" ref="E5" ca="1">INDEX('ER Scenarios'!$D$7:$AJ$7,ROWS($A$2:E5))</f>
        <v>0</v>
      </c>
      <c r="F5" s="9" cm="1">
        <f t="array" aca="1" ref="F5" ca="1">INDEX('ER Scenarios'!$D$8:$AJ$8,ROWS($A$2:F5))</f>
        <v>0</v>
      </c>
      <c r="G5" s="9" cm="1">
        <f t="array" aca="1" ref="G5" ca="1">INDEX('ER Scenarios'!$D$9:$AJ$9,ROWS($A$2:G5))</f>
        <v>0</v>
      </c>
      <c r="J5" s="15" t="s">
        <v>72</v>
      </c>
      <c r="K5" s="7">
        <f>'ER Scenarios'!B9</f>
        <v>0.3</v>
      </c>
    </row>
    <row r="6" spans="1:16" x14ac:dyDescent="0.25">
      <c r="A6" s="4" cm="1">
        <f t="array" ref="A6">INDEX('Enrollment Forecast'!$C$5:$Y$5,ROWS($A$2:A6))</f>
        <v>46143</v>
      </c>
      <c r="B6" s="9" cm="1">
        <f t="array" aca="1" ref="B6" ca="1">INDEX('Enrollment Forecast'!$C$2:$Y$2,ROWS($A$2:B6))</f>
        <v>0</v>
      </c>
      <c r="C6" s="9" cm="1">
        <f t="array" ref="C6">INDEX('Enrollment Forecast'!$C$3:$Y$3,ROWS($A$2:C6))</f>
        <v>100</v>
      </c>
      <c r="D6" s="9" cm="1">
        <f t="array" aca="1" ref="D6" ca="1">INDEX('ER Scenarios'!$D$6:$AJ$6,ROWS($A$2:D6))</f>
        <v>0</v>
      </c>
      <c r="E6" s="9" cm="1">
        <f t="array" aca="1" ref="E6" ca="1">INDEX('ER Scenarios'!$D$7:$AJ$7,ROWS($A$2:E6))</f>
        <v>0</v>
      </c>
      <c r="F6" s="9" cm="1">
        <f t="array" aca="1" ref="F6" ca="1">INDEX('ER Scenarios'!$D$8:$AJ$8,ROWS($A$2:F6))</f>
        <v>0</v>
      </c>
      <c r="G6" s="9" cm="1">
        <f t="array" aca="1" ref="G6" ca="1">INDEX('ER Scenarios'!$D$9:$AJ$9,ROWS($A$2:G6))</f>
        <v>0</v>
      </c>
    </row>
    <row r="7" spans="1:16" x14ac:dyDescent="0.25">
      <c r="A7" s="4" cm="1">
        <f t="array" ref="A7">INDEX('Enrollment Forecast'!$C$5:$Y$5,ROWS($A$2:A7))</f>
        <v>46174</v>
      </c>
      <c r="B7" s="9" cm="1">
        <f t="array" aca="1" ref="B7" ca="1">INDEX('Enrollment Forecast'!$C$2:$Y$2,ROWS($A$2:B7))</f>
        <v>0</v>
      </c>
      <c r="C7" s="9" cm="1">
        <f t="array" ref="C7">INDEX('Enrollment Forecast'!$C$3:$Y$3,ROWS($A$2:C7))</f>
        <v>100</v>
      </c>
      <c r="D7" s="9" cm="1">
        <f t="array" aca="1" ref="D7" ca="1">INDEX('ER Scenarios'!$D$6:$AJ$6,ROWS($A$2:D7))</f>
        <v>0</v>
      </c>
      <c r="E7" s="9" cm="1">
        <f t="array" aca="1" ref="E7" ca="1">INDEX('ER Scenarios'!$D$7:$AJ$7,ROWS($A$2:E7))</f>
        <v>0</v>
      </c>
      <c r="F7" s="9" cm="1">
        <f t="array" aca="1" ref="F7" ca="1">INDEX('ER Scenarios'!$D$8:$AJ$8,ROWS($A$2:F7))</f>
        <v>0</v>
      </c>
      <c r="G7" s="9" cm="1">
        <f t="array" aca="1" ref="G7" ca="1">INDEX('ER Scenarios'!$D$9:$AJ$9,ROWS($A$2:G7))</f>
        <v>0</v>
      </c>
    </row>
    <row r="8" spans="1:16" x14ac:dyDescent="0.25">
      <c r="A8" s="4" cm="1">
        <f t="array" ref="A8">INDEX('Enrollment Forecast'!$C$5:$Y$5,ROWS($A$2:A8))</f>
        <v>46204</v>
      </c>
      <c r="B8" s="9" cm="1">
        <f t="array" aca="1" ref="B8" ca="1">INDEX('Enrollment Forecast'!$C$2:$Y$2,ROWS($A$2:B8))</f>
        <v>0</v>
      </c>
      <c r="C8" s="9" cm="1">
        <f t="array" ref="C8">INDEX('Enrollment Forecast'!$C$3:$Y$3,ROWS($A$2:C8))</f>
        <v>100</v>
      </c>
      <c r="D8" s="9" cm="1">
        <f t="array" aca="1" ref="D8" ca="1">INDEX('ER Scenarios'!$D$6:$AJ$6,ROWS($A$2:D8))</f>
        <v>0</v>
      </c>
      <c r="E8" s="9" cm="1">
        <f t="array" aca="1" ref="E8" ca="1">INDEX('ER Scenarios'!$D$7:$AJ$7,ROWS($A$2:E8))</f>
        <v>0</v>
      </c>
      <c r="F8" s="9" cm="1">
        <f t="array" aca="1" ref="F8" ca="1">INDEX('ER Scenarios'!$D$8:$AJ$8,ROWS($A$2:F8))</f>
        <v>0</v>
      </c>
      <c r="G8" s="9" cm="1">
        <f t="array" aca="1" ref="G8" ca="1">INDEX('ER Scenarios'!$D$9:$AJ$9,ROWS($A$2:G8))</f>
        <v>0</v>
      </c>
    </row>
    <row r="9" spans="1:16" x14ac:dyDescent="0.25">
      <c r="A9" s="4" cm="1">
        <f t="array" ref="A9">INDEX('Enrollment Forecast'!$C$5:$Y$5,ROWS($A$2:A9))</f>
        <v>46235</v>
      </c>
      <c r="B9" s="9" cm="1">
        <f t="array" aca="1" ref="B9" ca="1">INDEX('Enrollment Forecast'!$C$2:$Y$2,ROWS($A$2:B9))</f>
        <v>18</v>
      </c>
      <c r="C9" s="9" cm="1">
        <f t="array" ref="C9">INDEX('Enrollment Forecast'!$C$3:$Y$3,ROWS($A$2:C9))</f>
        <v>100</v>
      </c>
      <c r="D9" s="9" cm="1">
        <f t="array" aca="1" ref="D9" ca="1">INDEX('ER Scenarios'!$D$6:$AJ$6,ROWS($A$2:D9))</f>
        <v>12.257668711656443</v>
      </c>
      <c r="E9" s="9" cm="1">
        <f t="array" aca="1" ref="E9" ca="1">INDEX('ER Scenarios'!$D$7:$AJ$7,ROWS($A$2:E9))</f>
        <v>15.526380368098161</v>
      </c>
      <c r="F9" s="9" cm="1">
        <f t="array" aca="1" ref="F9" ca="1">INDEX('ER Scenarios'!$D$8:$AJ$8,ROWS($A$2:F9))</f>
        <v>17.977914110429449</v>
      </c>
      <c r="G9" s="9" cm="1">
        <f t="array" aca="1" ref="G9" ca="1">INDEX('ER Scenarios'!$D$9:$AJ$9,ROWS($A$2:G9))</f>
        <v>24.515337423312886</v>
      </c>
    </row>
    <row r="10" spans="1:16" x14ac:dyDescent="0.25">
      <c r="A10" s="4" cm="1">
        <f t="array" ref="A10">INDEX('Enrollment Forecast'!$C$5:$Y$5,ROWS($A$2:A10))</f>
        <v>46266</v>
      </c>
      <c r="B10" s="9" cm="1">
        <f t="array" aca="1" ref="B10" ca="1">INDEX('Enrollment Forecast'!$C$2:$Y$2,ROWS($A$2:B10))</f>
        <v>33</v>
      </c>
      <c r="C10" s="9" cm="1">
        <f t="array" ref="C10">INDEX('Enrollment Forecast'!$C$3:$Y$3,ROWS($A$2:C10))</f>
        <v>100</v>
      </c>
      <c r="D10" s="9" cm="1">
        <f t="array" aca="1" ref="D10" ca="1">INDEX('ER Scenarios'!$D$6:$AJ$6,ROWS($A$2:D10))</f>
        <v>22.472392638036812</v>
      </c>
      <c r="E10" s="9" cm="1">
        <f t="array" aca="1" ref="E10" ca="1">INDEX('ER Scenarios'!$D$7:$AJ$7,ROWS($A$2:E10))</f>
        <v>28.465030674846631</v>
      </c>
      <c r="F10" s="9" cm="1">
        <f t="array" aca="1" ref="F10" ca="1">INDEX('ER Scenarios'!$D$8:$AJ$8,ROWS($A$2:F10))</f>
        <v>32.959509202453994</v>
      </c>
      <c r="G10" s="9" cm="1">
        <f t="array" aca="1" ref="G10" ca="1">INDEX('ER Scenarios'!$D$9:$AJ$9,ROWS($A$2:G10))</f>
        <v>44.944785276073624</v>
      </c>
    </row>
    <row r="11" spans="1:16" x14ac:dyDescent="0.25">
      <c r="A11" s="4" cm="1">
        <f t="array" ref="A11">INDEX('Enrollment Forecast'!$C$5:$Y$5,ROWS($A$2:A11))</f>
        <v>46296</v>
      </c>
      <c r="B11" s="9" cm="1">
        <f t="array" aca="1" ref="B11" ca="1">INDEX('Enrollment Forecast'!$C$2:$Y$2,ROWS($A$2:B11))</f>
        <v>45</v>
      </c>
      <c r="C11" s="9" cm="1">
        <f t="array" ref="C11">INDEX('Enrollment Forecast'!$C$3:$Y$3,ROWS($A$2:C11))</f>
        <v>100</v>
      </c>
      <c r="D11" s="9" cm="1">
        <f t="array" aca="1" ref="D11" ca="1">INDEX('ER Scenarios'!$D$6:$AJ$6,ROWS($A$2:D11))</f>
        <v>30.644171779141107</v>
      </c>
      <c r="E11" s="9" cm="1">
        <f t="array" aca="1" ref="E11" ca="1">INDEX('ER Scenarios'!$D$7:$AJ$7,ROWS($A$2:E11))</f>
        <v>38.815950920245406</v>
      </c>
      <c r="F11" s="9" cm="1">
        <f t="array" aca="1" ref="F11" ca="1">INDEX('ER Scenarios'!$D$8:$AJ$8,ROWS($A$2:F11))</f>
        <v>44.944785276073624</v>
      </c>
      <c r="G11" s="9" cm="1">
        <f t="array" aca="1" ref="G11" ca="1">INDEX('ER Scenarios'!$D$9:$AJ$9,ROWS($A$2:G11))</f>
        <v>61.288343558282214</v>
      </c>
    </row>
    <row r="12" spans="1:16" x14ac:dyDescent="0.25">
      <c r="A12" s="4" cm="1">
        <f t="array" ref="A12">INDEX('Enrollment Forecast'!$C$5:$Y$5,ROWS($A$2:A12))</f>
        <v>46327</v>
      </c>
      <c r="B12" s="9" cm="1">
        <f t="array" aca="1" ref="B12" ca="1">INDEX('Enrollment Forecast'!$C$2:$Y$2,ROWS($A$2:B12))</f>
        <v>57</v>
      </c>
      <c r="C12" s="9" cm="1">
        <f t="array" ref="C12">INDEX('Enrollment Forecast'!$C$3:$Y$3,ROWS($A$2:C12))</f>
        <v>100</v>
      </c>
      <c r="D12" s="9" cm="1">
        <f t="array" aca="1" ref="D12" ca="1">INDEX('ER Scenarios'!$D$6:$AJ$6,ROWS($A$2:D12))</f>
        <v>38.815950920245406</v>
      </c>
      <c r="E12" s="9" cm="1">
        <f t="array" aca="1" ref="E12" ca="1">INDEX('ER Scenarios'!$D$7:$AJ$7,ROWS($A$2:E12))</f>
        <v>49.166871165644181</v>
      </c>
      <c r="F12" s="9" cm="1">
        <f t="array" aca="1" ref="F12" ca="1">INDEX('ER Scenarios'!$D$8:$AJ$8,ROWS($A$2:F12))</f>
        <v>56.930061349693261</v>
      </c>
      <c r="G12" s="9" cm="1">
        <f t="array" aca="1" ref="G12" ca="1">INDEX('ER Scenarios'!$D$9:$AJ$9,ROWS($A$2:G12))</f>
        <v>77.631901840490812</v>
      </c>
    </row>
    <row r="13" spans="1:16" x14ac:dyDescent="0.25">
      <c r="A13" s="4" cm="1">
        <f t="array" ref="A13">INDEX('Enrollment Forecast'!$C$5:$Y$5,ROWS($A$2:A13))</f>
        <v>46357</v>
      </c>
      <c r="B13" s="9" cm="1">
        <f t="array" aca="1" ref="B13" ca="1">INDEX('Enrollment Forecast'!$C$2:$Y$2,ROWS($A$2:B13))</f>
        <v>70</v>
      </c>
      <c r="C13" s="9" cm="1">
        <f t="array" ref="C13">INDEX('Enrollment Forecast'!$C$3:$Y$3,ROWS($A$2:C13))</f>
        <v>100</v>
      </c>
      <c r="D13" s="9" cm="1">
        <f t="array" aca="1" ref="D13" ca="1">INDEX('ER Scenarios'!$D$6:$AJ$6,ROWS($A$2:D13))</f>
        <v>47.668711656441722</v>
      </c>
      <c r="E13" s="9" cm="1">
        <f t="array" aca="1" ref="E13" ca="1">INDEX('ER Scenarios'!$D$7:$AJ$7,ROWS($A$2:E13))</f>
        <v>60.380368098159522</v>
      </c>
      <c r="F13" s="9" cm="1">
        <f t="array" aca="1" ref="F13" ca="1">INDEX('ER Scenarios'!$D$8:$AJ$8,ROWS($A$2:F13))</f>
        <v>69.914110429447859</v>
      </c>
      <c r="G13" s="9" cm="1">
        <f t="array" aca="1" ref="G13" ca="1">INDEX('ER Scenarios'!$D$9:$AJ$9,ROWS($A$2:G13))</f>
        <v>95.337423312883445</v>
      </c>
    </row>
    <row r="14" spans="1:16" x14ac:dyDescent="0.25">
      <c r="A14" s="4" cm="1">
        <f t="array" ref="A14">INDEX('Enrollment Forecast'!$C$5:$Y$5,ROWS($A$2:A14))</f>
        <v>46388</v>
      </c>
      <c r="B14" s="9" cm="1">
        <f t="array" aca="1" ref="B14" ca="1">INDEX('Enrollment Forecast'!$C$2:$Y$2,ROWS($A$2:B14))</f>
        <v>84</v>
      </c>
      <c r="C14" s="9" cm="1">
        <f t="array" ref="C14">INDEX('Enrollment Forecast'!$C$3:$Y$3,ROWS($A$2:C14))</f>
        <v>100</v>
      </c>
      <c r="D14" s="9" cm="1">
        <f t="array" aca="1" ref="D14" ca="1">INDEX('ER Scenarios'!$D$6:$AJ$6,ROWS($A$2:D14))</f>
        <v>57.202453987730067</v>
      </c>
      <c r="E14" s="9" cm="1">
        <f t="array" aca="1" ref="E14" ca="1">INDEX('ER Scenarios'!$D$7:$AJ$7,ROWS($A$2:E14))</f>
        <v>72.456441717791421</v>
      </c>
      <c r="F14" s="9" cm="1">
        <f t="array" aca="1" ref="F14" ca="1">INDEX('ER Scenarios'!$D$8:$AJ$8,ROWS($A$2:F14))</f>
        <v>83.896932515337426</v>
      </c>
      <c r="G14" s="9" cm="1">
        <f t="array" aca="1" ref="G14" ca="1">INDEX('ER Scenarios'!$D$9:$AJ$9,ROWS($A$2:G14))</f>
        <v>114.40490797546013</v>
      </c>
    </row>
    <row r="15" spans="1:16" x14ac:dyDescent="0.25">
      <c r="A15" s="4" cm="1">
        <f t="array" ref="A15">INDEX('Enrollment Forecast'!$C$5:$Y$5,ROWS($A$2:A15))</f>
        <v>46419</v>
      </c>
      <c r="B15" s="9" cm="1">
        <f t="array" aca="1" ref="B15" ca="1">INDEX('Enrollment Forecast'!$C$2:$Y$2,ROWS($A$2:B15))</f>
        <v>90</v>
      </c>
      <c r="C15" s="9" cm="1">
        <f t="array" ref="C15">INDEX('Enrollment Forecast'!$C$3:$Y$3,ROWS($A$2:C15))</f>
        <v>100</v>
      </c>
      <c r="D15" s="9" cm="1">
        <f t="array" aca="1" ref="D15" ca="1">INDEX('ER Scenarios'!$D$6:$AJ$6,ROWS($A$2:D15))</f>
        <v>61.288343558282214</v>
      </c>
      <c r="E15" s="9" cm="1">
        <f t="array" aca="1" ref="E15" ca="1">INDEX('ER Scenarios'!$D$7:$AJ$7,ROWS($A$2:E15))</f>
        <v>77.631901840490812</v>
      </c>
      <c r="F15" s="9" cm="1">
        <f t="array" aca="1" ref="F15" ca="1">INDEX('ER Scenarios'!$D$8:$AJ$8,ROWS($A$2:F15))</f>
        <v>89.889570552147248</v>
      </c>
      <c r="G15" s="9" cm="1">
        <f t="array" aca="1" ref="G15" ca="1">INDEX('ER Scenarios'!$D$9:$AJ$9,ROWS($A$2:G15))</f>
        <v>122.57668711656443</v>
      </c>
    </row>
    <row r="16" spans="1:16" x14ac:dyDescent="0.25">
      <c r="A16" s="4" cm="1">
        <f t="array" ref="A16">INDEX('Enrollment Forecast'!$C$5:$Y$5,ROWS($A$2:A16))</f>
        <v>46447</v>
      </c>
      <c r="B16" s="9" cm="1">
        <f t="array" aca="1" ref="B16" ca="1">INDEX('Enrollment Forecast'!$C$2:$Y$2,ROWS($A$2:B16))</f>
        <v>95</v>
      </c>
      <c r="C16" s="9" cm="1">
        <f t="array" ref="C16">INDEX('Enrollment Forecast'!$C$3:$Y$3,ROWS($A$2:C16))</f>
        <v>100</v>
      </c>
      <c r="D16" s="9" cm="1">
        <f t="array" aca="1" ref="D16" ca="1">INDEX('ER Scenarios'!$D$6:$AJ$6,ROWS($A$2:D16))</f>
        <v>64.693251533742341</v>
      </c>
      <c r="E16" s="9" cm="1">
        <f t="array" aca="1" ref="E16" ca="1">INDEX('ER Scenarios'!$D$7:$AJ$7,ROWS($A$2:E16))</f>
        <v>81.944785276073631</v>
      </c>
      <c r="F16" s="9" cm="1">
        <f t="array" aca="1" ref="F16" ca="1">INDEX('ER Scenarios'!$D$8:$AJ$8,ROWS($A$2:F16))</f>
        <v>94.883435582822102</v>
      </c>
      <c r="G16" s="9" cm="1">
        <f t="array" aca="1" ref="G16" ca="1">INDEX('ER Scenarios'!$D$9:$AJ$9,ROWS($A$2:G16))</f>
        <v>129.38650306748468</v>
      </c>
    </row>
    <row r="17" spans="1:7" x14ac:dyDescent="0.25">
      <c r="A17" s="4" cm="1">
        <f t="array" ref="A17">INDEX('Enrollment Forecast'!$C$5:$Y$5,ROWS($A$2:A17))</f>
        <v>46478</v>
      </c>
      <c r="B17" s="9" cm="1">
        <f t="array" aca="1" ref="B17" ca="1">INDEX('Enrollment Forecast'!$C$2:$Y$2,ROWS($A$2:B17))</f>
        <v>99</v>
      </c>
      <c r="C17" s="9" cm="1">
        <f t="array" ref="C17">INDEX('Enrollment Forecast'!$C$3:$Y$3,ROWS($A$2:C17))</f>
        <v>100</v>
      </c>
      <c r="D17" s="9" cm="1">
        <f t="array" aca="1" ref="D17" ca="1">INDEX('ER Scenarios'!$D$6:$AJ$6,ROWS($A$2:D17))</f>
        <v>67.417177914110439</v>
      </c>
      <c r="E17" s="9" cm="1">
        <f t="array" aca="1" ref="E17" ca="1">INDEX('ER Scenarios'!$D$7:$AJ$7,ROWS($A$2:E17))</f>
        <v>85.395092024539892</v>
      </c>
      <c r="F17" s="9" cm="1">
        <f t="array" aca="1" ref="F17" ca="1">INDEX('ER Scenarios'!$D$8:$AJ$8,ROWS($A$2:F17))</f>
        <v>98.878527607361988</v>
      </c>
      <c r="G17" s="9" cm="1">
        <f t="array" aca="1" ref="G17" ca="1">INDEX('ER Scenarios'!$D$9:$AJ$9,ROWS($A$2:G17))</f>
        <v>134.83435582822088</v>
      </c>
    </row>
    <row r="18" spans="1:7" x14ac:dyDescent="0.25">
      <c r="A18" s="4" cm="1">
        <f t="array" ref="A18">INDEX('Enrollment Forecast'!$C$5:$Y$5,ROWS($A$2:A18))</f>
        <v>46508</v>
      </c>
      <c r="B18" s="9" cm="1">
        <f t="array" aca="1" ref="B18" ca="1">INDEX('Enrollment Forecast'!$C$2:$Y$2,ROWS($A$2:B18))</f>
        <v>101</v>
      </c>
      <c r="C18" s="9" cm="1">
        <f t="array" ref="C18">INDEX('Enrollment Forecast'!$C$3:$Y$3,ROWS($A$2:C18))</f>
        <v>100</v>
      </c>
      <c r="D18" s="9" cm="1">
        <f t="array" aca="1" ref="D18" ca="1">INDEX('ER Scenarios'!$D$6:$AJ$6,ROWS($A$2:D18))</f>
        <v>68.779141104294482</v>
      </c>
      <c r="E18" s="9" cm="1">
        <f t="array" aca="1" ref="E18" ca="1">INDEX('ER Scenarios'!$D$7:$AJ$7,ROWS($A$2:E18))</f>
        <v>87.120245398773022</v>
      </c>
      <c r="F18" s="9" cm="1">
        <f t="array" aca="1" ref="F18" ca="1">INDEX('ER Scenarios'!$D$8:$AJ$8,ROWS($A$2:F18))</f>
        <v>100.87607361963191</v>
      </c>
      <c r="G18" s="9" cm="1">
        <f t="array" aca="1" ref="G18" ca="1">INDEX('ER Scenarios'!$D$9:$AJ$9,ROWS($A$2:G18))</f>
        <v>137.55828220858896</v>
      </c>
    </row>
    <row r="19" spans="1:7" x14ac:dyDescent="0.25">
      <c r="A19" s="4" cm="1">
        <f t="array" ref="A19">INDEX('Enrollment Forecast'!$C$5:$Y$5,ROWS($A$2:A19))</f>
        <v>46539</v>
      </c>
      <c r="B19" s="9" cm="1">
        <f t="array" aca="1" ref="B19" ca="1">INDEX('Enrollment Forecast'!$C$2:$Y$2,ROWS($A$2:B19))</f>
        <v>101</v>
      </c>
      <c r="C19" s="9" cm="1">
        <f t="array" ref="C19">INDEX('Enrollment Forecast'!$C$3:$Y$3,ROWS($A$2:C19))</f>
        <v>100</v>
      </c>
      <c r="D19" s="9" cm="1">
        <f t="array" aca="1" ref="D19" ca="1">INDEX('ER Scenarios'!$D$6:$AJ$6,ROWS($A$2:D19))</f>
        <v>68.779141104294482</v>
      </c>
      <c r="E19" s="9" cm="1">
        <f t="array" aca="1" ref="E19" ca="1">INDEX('ER Scenarios'!$D$7:$AJ$7,ROWS($A$2:E19))</f>
        <v>87.120245398773022</v>
      </c>
      <c r="F19" s="9" cm="1">
        <f t="array" aca="1" ref="F19" ca="1">INDEX('ER Scenarios'!$D$8:$AJ$8,ROWS($A$2:F19))</f>
        <v>100.87607361963191</v>
      </c>
      <c r="G19" s="9" cm="1">
        <f t="array" aca="1" ref="G19" ca="1">INDEX('ER Scenarios'!$D$9:$AJ$9,ROWS($A$2:G19))</f>
        <v>137.55828220858896</v>
      </c>
    </row>
    <row r="20" spans="1:7" x14ac:dyDescent="0.25">
      <c r="A20" s="4" cm="1">
        <f t="array" ref="A20">INDEX('Enrollment Forecast'!$C$5:$Y$5,ROWS($A$2:A20))</f>
        <v>46569</v>
      </c>
      <c r="B20" s="9" cm="1">
        <f t="array" aca="1" ref="B20" ca="1">INDEX('Enrollment Forecast'!$C$2:$Y$2,ROWS($A$2:B20))</f>
        <v>101</v>
      </c>
      <c r="C20" s="9" cm="1">
        <f t="array" ref="C20">INDEX('Enrollment Forecast'!$C$3:$Y$3,ROWS($A$2:C20))</f>
        <v>100</v>
      </c>
      <c r="D20" s="9" cm="1">
        <f t="array" aca="1" ref="D20" ca="1">INDEX('ER Scenarios'!$D$6:$AJ$6,ROWS($A$2:D20))</f>
        <v>68.779141104294482</v>
      </c>
      <c r="E20" s="9" cm="1">
        <f t="array" aca="1" ref="E20" ca="1">INDEX('ER Scenarios'!$D$7:$AJ$7,ROWS($A$2:E20))</f>
        <v>87.120245398773022</v>
      </c>
      <c r="F20" s="9" cm="1">
        <f t="array" aca="1" ref="F20" ca="1">INDEX('ER Scenarios'!$D$8:$AJ$8,ROWS($A$2:F20))</f>
        <v>100.87607361963191</v>
      </c>
      <c r="G20" s="9" cm="1">
        <f t="array" aca="1" ref="G20" ca="1">INDEX('ER Scenarios'!$D$9:$AJ$9,ROWS($A$2:G20))</f>
        <v>137.55828220858896</v>
      </c>
    </row>
    <row r="21" spans="1:7" x14ac:dyDescent="0.25">
      <c r="A21" s="4" cm="1">
        <f t="array" ref="A21">INDEX('Enrollment Forecast'!$C$5:$Y$5,ROWS($A$2:A21))</f>
        <v>46600</v>
      </c>
      <c r="B21" s="9" cm="1">
        <f t="array" aca="1" ref="B21" ca="1">INDEX('Enrollment Forecast'!$C$2:$Y$2,ROWS($A$2:B21))</f>
        <v>101</v>
      </c>
      <c r="C21" s="9" cm="1">
        <f t="array" ref="C21">INDEX('Enrollment Forecast'!$C$3:$Y$3,ROWS($A$2:C21))</f>
        <v>100</v>
      </c>
      <c r="D21" s="9" cm="1">
        <f t="array" aca="1" ref="D21" ca="1">INDEX('ER Scenarios'!$D$6:$AJ$6,ROWS($A$2:D21))</f>
        <v>68.779141104294482</v>
      </c>
      <c r="E21" s="9" cm="1">
        <f t="array" aca="1" ref="E21" ca="1">INDEX('ER Scenarios'!$D$7:$AJ$7,ROWS($A$2:E21))</f>
        <v>87.120245398773022</v>
      </c>
      <c r="F21" s="9" cm="1">
        <f t="array" aca="1" ref="F21" ca="1">INDEX('ER Scenarios'!$D$8:$AJ$8,ROWS($A$2:F21))</f>
        <v>100.87607361963191</v>
      </c>
      <c r="G21" s="9" cm="1">
        <f t="array" aca="1" ref="G21" ca="1">INDEX('ER Scenarios'!$D$9:$AJ$9,ROWS($A$2:G21))</f>
        <v>137.55828220858896</v>
      </c>
    </row>
    <row r="22" spans="1:7" x14ac:dyDescent="0.25">
      <c r="A22" s="4" cm="1">
        <f t="array" ref="A22">INDEX('Enrollment Forecast'!$C$5:$Y$5,ROWS($A$2:A22))</f>
        <v>46631</v>
      </c>
      <c r="B22" s="9" cm="1">
        <f t="array" aca="1" ref="B22" ca="1">INDEX('Enrollment Forecast'!$C$2:$Y$2,ROWS($A$2:B22))</f>
        <v>101</v>
      </c>
      <c r="C22" s="9" cm="1">
        <f t="array" ref="C22">INDEX('Enrollment Forecast'!$C$3:$Y$3,ROWS($A$2:C22))</f>
        <v>100</v>
      </c>
      <c r="D22" s="9" cm="1">
        <f t="array" aca="1" ref="D22" ca="1">INDEX('ER Scenarios'!$D$6:$AJ$6,ROWS($A$2:D22))</f>
        <v>68.779141104294482</v>
      </c>
      <c r="E22" s="9" cm="1">
        <f t="array" aca="1" ref="E22" ca="1">INDEX('ER Scenarios'!$D$7:$AJ$7,ROWS($A$2:E22))</f>
        <v>87.120245398773022</v>
      </c>
      <c r="F22" s="9" cm="1">
        <f t="array" aca="1" ref="F22" ca="1">INDEX('ER Scenarios'!$D$8:$AJ$8,ROWS($A$2:F22))</f>
        <v>100.87607361963191</v>
      </c>
      <c r="G22" s="9" cm="1">
        <f t="array" aca="1" ref="G22" ca="1">INDEX('ER Scenarios'!$D$9:$AJ$9,ROWS($A$2:G22))</f>
        <v>137.55828220858896</v>
      </c>
    </row>
    <row r="23" spans="1:7" x14ac:dyDescent="0.25">
      <c r="A23" s="4" cm="1">
        <f t="array" ref="A23">INDEX('Enrollment Forecast'!$C$5:$Y$5,ROWS($A$2:A23))</f>
        <v>46661</v>
      </c>
      <c r="B23" s="9" cm="1">
        <f t="array" aca="1" ref="B23" ca="1">INDEX('Enrollment Forecast'!$C$2:$Y$2,ROWS($A$2:B23))</f>
        <v>101</v>
      </c>
      <c r="C23" s="9" cm="1">
        <f t="array" ref="C23">INDEX('Enrollment Forecast'!$C$3:$Y$3,ROWS($A$2:C23))</f>
        <v>100</v>
      </c>
      <c r="D23" s="9" cm="1">
        <f t="array" aca="1" ref="D23" ca="1">INDEX('ER Scenarios'!$D$6:$AJ$6,ROWS($A$2:D23))</f>
        <v>68.779141104294482</v>
      </c>
      <c r="E23" s="9" cm="1">
        <f t="array" aca="1" ref="E23" ca="1">INDEX('ER Scenarios'!$D$7:$AJ$7,ROWS($A$2:E23))</f>
        <v>87.120245398773022</v>
      </c>
      <c r="F23" s="9" cm="1">
        <f t="array" aca="1" ref="F23" ca="1">INDEX('ER Scenarios'!$D$8:$AJ$8,ROWS($A$2:F23))</f>
        <v>100.87607361963191</v>
      </c>
      <c r="G23" s="9" cm="1">
        <f t="array" aca="1" ref="G23" ca="1">INDEX('ER Scenarios'!$D$9:$AJ$9,ROWS($A$2:G23))</f>
        <v>137.55828220858896</v>
      </c>
    </row>
    <row r="24" spans="1:7" x14ac:dyDescent="0.25">
      <c r="A24" s="4" cm="1">
        <f t="array" ref="A24">INDEX('Enrollment Forecast'!$C$5:$Y$5,ROWS($A$2:A24))</f>
        <v>46692</v>
      </c>
      <c r="B24" s="9" cm="1">
        <f t="array" aca="1" ref="B24" ca="1">INDEX('Enrollment Forecast'!$C$2:$Y$2,ROWS($A$2:B24))</f>
        <v>101</v>
      </c>
      <c r="C24" s="9" cm="1">
        <f t="array" ref="C24">INDEX('Enrollment Forecast'!$C$3:$Y$3,ROWS($A$2:C24))</f>
        <v>100</v>
      </c>
      <c r="D24" s="9" cm="1">
        <f t="array" aca="1" ref="D24" ca="1">INDEX('ER Scenarios'!$D$6:$AJ$6,ROWS($A$2:D24))</f>
        <v>68.779141104294482</v>
      </c>
      <c r="E24" s="9" cm="1">
        <f t="array" aca="1" ref="E24" ca="1">INDEX('ER Scenarios'!$D$7:$AJ$7,ROWS($A$2:E24))</f>
        <v>87.120245398773022</v>
      </c>
      <c r="F24" s="9" cm="1">
        <f t="array" aca="1" ref="F24" ca="1">INDEX('ER Scenarios'!$D$8:$AJ$8,ROWS($A$2:F24))</f>
        <v>100.87607361963191</v>
      </c>
      <c r="G24" s="9" cm="1">
        <f t="array" aca="1" ref="G24" ca="1">INDEX('ER Scenarios'!$D$9:$AJ$9,ROWS($A$2:G24))</f>
        <v>137.55828220858896</v>
      </c>
    </row>
    <row r="25" spans="1:7" x14ac:dyDescent="0.25">
      <c r="A25" s="4"/>
      <c r="B25" s="7"/>
      <c r="C25" s="9"/>
    </row>
    <row r="26" spans="1:7" x14ac:dyDescent="0.25">
      <c r="A26" s="4"/>
      <c r="B26" s="7"/>
      <c r="C26" s="9"/>
    </row>
    <row r="27" spans="1:7" x14ac:dyDescent="0.25">
      <c r="A27" s="4"/>
      <c r="B27" s="7"/>
      <c r="C27" s="9"/>
    </row>
    <row r="28" spans="1:7" x14ac:dyDescent="0.25">
      <c r="A28" s="4"/>
      <c r="B28" s="7"/>
      <c r="C28" s="9"/>
    </row>
    <row r="29" spans="1:7" x14ac:dyDescent="0.25">
      <c r="A29" s="4"/>
      <c r="B29" s="7"/>
      <c r="C29" s="9"/>
    </row>
    <row r="30" spans="1:7" x14ac:dyDescent="0.25">
      <c r="A30" s="4"/>
      <c r="B30" s="7"/>
      <c r="C30" s="9"/>
    </row>
    <row r="31" spans="1:7" x14ac:dyDescent="0.25">
      <c r="A31" s="4"/>
      <c r="B31" s="7"/>
      <c r="C31" s="9"/>
    </row>
    <row r="32" spans="1:7" x14ac:dyDescent="0.25">
      <c r="A32" s="4"/>
      <c r="B32" s="7"/>
    </row>
    <row r="33" spans="1:2" x14ac:dyDescent="0.25">
      <c r="A33" s="4"/>
      <c r="B33" s="7"/>
    </row>
    <row r="34" spans="1:2" x14ac:dyDescent="0.25">
      <c r="A34" s="4"/>
      <c r="B34" s="7"/>
    </row>
    <row r="35" spans="1:2" x14ac:dyDescent="0.25">
      <c r="A35" s="4"/>
      <c r="B35" s="7"/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9DFA0A2AD8F4694DC8CD2474FDAC3" ma:contentTypeVersion="15" ma:contentTypeDescription="Create a new document." ma:contentTypeScope="" ma:versionID="15ec86cec2207ca0acafdfdb177e63d9">
  <xsd:schema xmlns:xsd="http://www.w3.org/2001/XMLSchema" xmlns:xs="http://www.w3.org/2001/XMLSchema" xmlns:p="http://schemas.microsoft.com/office/2006/metadata/properties" xmlns:ns2="275448ff-0a77-4d18-8e16-09c6e97f7314" xmlns:ns3="b99ec34c-e72a-4449-9d18-e19924aa5887" targetNamespace="http://schemas.microsoft.com/office/2006/metadata/properties" ma:root="true" ma:fieldsID="41d6e58ae11c9f4850707446c62d69ed" ns2:_="" ns3:_="">
    <xsd:import namespace="275448ff-0a77-4d18-8e16-09c6e97f7314"/>
    <xsd:import namespace="b99ec34c-e72a-4449-9d18-e19924aa58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448ff-0a77-4d18-8e16-09c6e97f7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5da950e-97e8-4a9a-8b6f-9eb77ffa62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9ec34c-e72a-4449-9d18-e19924aa58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0c08d3d-205b-4901-82d2-57e74894121c}" ma:internalName="TaxCatchAll" ma:showField="CatchAllData" ma:web="b99ec34c-e72a-4449-9d18-e19924aa5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9ec34c-e72a-4449-9d18-e19924aa5887" xsi:nil="true"/>
    <lcf76f155ced4ddcb4097134ff3c332f xmlns="275448ff-0a77-4d18-8e16-09c6e97f73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073B09-25C9-409D-A0DB-19B6FA049A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5448ff-0a77-4d18-8e16-09c6e97f7314"/>
    <ds:schemaRef ds:uri="b99ec34c-e72a-4449-9d18-e19924aa58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D74D3B-D2C3-4D70-9B2A-22F4019DF200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275448ff-0a77-4d18-8e16-09c6e97f7314"/>
    <ds:schemaRef ds:uri="http://www.w3.org/XML/1998/namespace"/>
    <ds:schemaRef ds:uri="http://schemas.microsoft.com/office/infopath/2007/PartnerControls"/>
    <ds:schemaRef ds:uri="http://purl.org/dc/elements/1.1/"/>
    <ds:schemaRef ds:uri="b99ec34c-e72a-4449-9d18-e19924aa5887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50D6CC7-DEF0-41BF-941E-C126E5A9BB4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1fa97c-71fe-4f42-a823-eab0b6012858}" enabled="0" method="" siteId="{7a1fa97c-71fe-4f42-a823-eab0b601285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Study Information</vt:lpstr>
      <vt:lpstr>Site Information</vt:lpstr>
      <vt:lpstr>Scenario Tool</vt:lpstr>
      <vt:lpstr>Dashboard</vt:lpstr>
      <vt:lpstr>Country StartUp</vt:lpstr>
      <vt:lpstr>Enrollment Forecast</vt:lpstr>
      <vt:lpstr>ER Scenarios</vt:lpstr>
      <vt:lpstr>Scenario Enrollment Forecast</vt:lpstr>
      <vt:lpstr>Country Enrollment By Month</vt:lpstr>
      <vt:lpstr>Country Data</vt:lpstr>
      <vt:lpstr>PowerBI_KPIs</vt:lpstr>
      <vt:lpstr>PBI Country Data</vt:lpstr>
      <vt:lpstr>PBI Enrollment by CountryXMonth</vt:lpstr>
      <vt:lpstr>PBI_EnrollmentCurve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Grady</dc:creator>
  <cp:lastModifiedBy>Logan Grady</cp:lastModifiedBy>
  <dcterms:created xsi:type="dcterms:W3CDTF">2026-05-28T16:29:25Z</dcterms:created>
  <dcterms:modified xsi:type="dcterms:W3CDTF">2026-07-15T12:02:50Z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0x01010006F9DFA0A2AD8F4694DC8CD2474FDAC3</vt:lpwstr>
  </property>
  <property fmtid="{D5CDD505-2E9C-101B-9397-08002B2CF9AE}" pid="3" name="MediaServiceImageTags">
    <vt:lpwstr/>
  </property>
</Properties>
</file>